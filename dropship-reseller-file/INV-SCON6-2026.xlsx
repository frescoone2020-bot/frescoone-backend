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C:\Users\admin_fresco\Downloads\"/>
    </mc:Choice>
  </mc:AlternateContent>
  <xr:revisionPtr revIDLastSave="0" documentId="13_ncr:1_{3A6F237D-B521-4717-867E-0CA52F2B5315}" xr6:coauthVersionLast="47" xr6:coauthVersionMax="47" xr10:uidLastSave="{00000000-0000-0000-0000-000000000000}"/>
  <bookViews>
    <workbookView xWindow="-120" yWindow="-120" windowWidth="29040" windowHeight="15720" tabRatio="500" firstSheet="3" activeTab="7" xr2:uid="{00000000-000D-0000-FFFF-FFFF00000000}"/>
  </bookViews>
  <sheets>
    <sheet name="Invoice" sheetId="1" r:id="rId1"/>
    <sheet name="Pending DSP Entry" sheetId="2" r:id="rId2"/>
    <sheet name="Itemized Calculation" sheetId="3" r:id="rId3"/>
    <sheet name="Order-Level Summary" sheetId="4" r:id="rId4"/>
    <sheet name="Returns &amp; Refunds" sheetId="5" r:id="rId5"/>
    <sheet name="Cancelled &amp; Status Check" sheetId="6" r:id="rId6"/>
    <sheet name="Claims" sheetId="7" r:id="rId7"/>
    <sheet name="Summary Dashboard" sheetId="8" r:id="rId8"/>
    <sheet name="DSP Lookup" sheetId="9" state="hidden" r:id="rId9"/>
  </sheets>
  <definedNames>
    <definedName name="_xlnm._FilterDatabase" localSheetId="2" hidden="1">'Itemized Calculation'!$A$1:$Q$668</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54" i="8" l="1"/>
  <c r="A52" i="8"/>
  <c r="C42" i="8"/>
  <c r="C26" i="8"/>
  <c r="C25" i="8"/>
  <c r="F46" i="7"/>
  <c r="F45" i="7"/>
  <c r="A73" i="6"/>
  <c r="C25" i="5"/>
  <c r="E564" i="4"/>
  <c r="D563" i="4"/>
  <c r="D562" i="4"/>
  <c r="D561" i="4"/>
  <c r="D560" i="4"/>
  <c r="D559" i="4"/>
  <c r="D558" i="4"/>
  <c r="D557" i="4"/>
  <c r="D556" i="4"/>
  <c r="D555" i="4"/>
  <c r="D554" i="4"/>
  <c r="D553" i="4"/>
  <c r="D552" i="4"/>
  <c r="D551" i="4"/>
  <c r="D550" i="4"/>
  <c r="D549" i="4"/>
  <c r="D548" i="4"/>
  <c r="D547" i="4"/>
  <c r="D546" i="4"/>
  <c r="D545" i="4"/>
  <c r="D544" i="4"/>
  <c r="D543" i="4"/>
  <c r="D542" i="4"/>
  <c r="D541" i="4"/>
  <c r="D540" i="4"/>
  <c r="D539" i="4"/>
  <c r="D538" i="4"/>
  <c r="D537" i="4"/>
  <c r="D536" i="4"/>
  <c r="D535" i="4"/>
  <c r="D534" i="4"/>
  <c r="D533" i="4"/>
  <c r="D532" i="4"/>
  <c r="D531" i="4"/>
  <c r="D530" i="4"/>
  <c r="D529" i="4"/>
  <c r="D528" i="4"/>
  <c r="D527" i="4"/>
  <c r="D526" i="4"/>
  <c r="D525" i="4"/>
  <c r="D524" i="4"/>
  <c r="D523" i="4"/>
  <c r="D522" i="4"/>
  <c r="D521" i="4"/>
  <c r="D520" i="4"/>
  <c r="D519" i="4"/>
  <c r="D518" i="4"/>
  <c r="D517" i="4"/>
  <c r="D516" i="4"/>
  <c r="D515" i="4"/>
  <c r="D514" i="4"/>
  <c r="D513" i="4"/>
  <c r="D512" i="4"/>
  <c r="D511" i="4"/>
  <c r="D510" i="4"/>
  <c r="D509" i="4"/>
  <c r="D508" i="4"/>
  <c r="D507" i="4"/>
  <c r="D506" i="4"/>
  <c r="D505" i="4"/>
  <c r="D504" i="4"/>
  <c r="D503" i="4"/>
  <c r="D502" i="4"/>
  <c r="D501" i="4"/>
  <c r="D500" i="4"/>
  <c r="D499" i="4"/>
  <c r="D498" i="4"/>
  <c r="D497" i="4"/>
  <c r="D496" i="4"/>
  <c r="D495" i="4"/>
  <c r="D494" i="4"/>
  <c r="D493" i="4"/>
  <c r="D492" i="4"/>
  <c r="D491" i="4"/>
  <c r="D490" i="4"/>
  <c r="D489" i="4"/>
  <c r="D488" i="4"/>
  <c r="D487" i="4"/>
  <c r="D486" i="4"/>
  <c r="D485" i="4"/>
  <c r="D484" i="4"/>
  <c r="D483" i="4"/>
  <c r="D482" i="4"/>
  <c r="D481" i="4"/>
  <c r="D480" i="4"/>
  <c r="D479" i="4"/>
  <c r="D478" i="4"/>
  <c r="D477" i="4"/>
  <c r="D476" i="4"/>
  <c r="D475" i="4"/>
  <c r="D474" i="4"/>
  <c r="D473" i="4"/>
  <c r="D472" i="4"/>
  <c r="D471" i="4"/>
  <c r="D470" i="4"/>
  <c r="D469" i="4"/>
  <c r="D468" i="4"/>
  <c r="D467" i="4"/>
  <c r="D466" i="4"/>
  <c r="D465" i="4"/>
  <c r="D464" i="4"/>
  <c r="D463" i="4"/>
  <c r="D462" i="4"/>
  <c r="D461" i="4"/>
  <c r="D460" i="4"/>
  <c r="D459" i="4"/>
  <c r="D458" i="4"/>
  <c r="D457" i="4"/>
  <c r="D456" i="4"/>
  <c r="D455" i="4"/>
  <c r="D454" i="4"/>
  <c r="D453" i="4"/>
  <c r="D452" i="4"/>
  <c r="D451" i="4"/>
  <c r="D450" i="4"/>
  <c r="D449" i="4"/>
  <c r="D448" i="4"/>
  <c r="D447" i="4"/>
  <c r="D446" i="4"/>
  <c r="D445" i="4"/>
  <c r="D444" i="4"/>
  <c r="D443" i="4"/>
  <c r="D442" i="4"/>
  <c r="D441" i="4"/>
  <c r="D440" i="4"/>
  <c r="D439" i="4"/>
  <c r="D438" i="4"/>
  <c r="D437" i="4"/>
  <c r="D436" i="4"/>
  <c r="D435" i="4"/>
  <c r="D434" i="4"/>
  <c r="D433" i="4"/>
  <c r="D432" i="4"/>
  <c r="D431" i="4"/>
  <c r="D430" i="4"/>
  <c r="D429" i="4"/>
  <c r="D428" i="4"/>
  <c r="D427" i="4"/>
  <c r="D426" i="4"/>
  <c r="D425" i="4"/>
  <c r="D424" i="4"/>
  <c r="D423" i="4"/>
  <c r="D422" i="4"/>
  <c r="D421" i="4"/>
  <c r="D420" i="4"/>
  <c r="D419" i="4"/>
  <c r="D418" i="4"/>
  <c r="D417" i="4"/>
  <c r="D416" i="4"/>
  <c r="D415" i="4"/>
  <c r="D414" i="4"/>
  <c r="D413" i="4"/>
  <c r="D412" i="4"/>
  <c r="D411" i="4"/>
  <c r="D410" i="4"/>
  <c r="D409" i="4"/>
  <c r="D408" i="4"/>
  <c r="D407" i="4"/>
  <c r="D406" i="4"/>
  <c r="D405" i="4"/>
  <c r="D404" i="4"/>
  <c r="D403" i="4"/>
  <c r="D402" i="4"/>
  <c r="D401" i="4"/>
  <c r="D400" i="4"/>
  <c r="D399" i="4"/>
  <c r="D398" i="4"/>
  <c r="D397" i="4"/>
  <c r="D396" i="4"/>
  <c r="D395" i="4"/>
  <c r="D394" i="4"/>
  <c r="D393" i="4"/>
  <c r="D392" i="4"/>
  <c r="D391" i="4"/>
  <c r="D390" i="4"/>
  <c r="D389" i="4"/>
  <c r="D388" i="4"/>
  <c r="D387" i="4"/>
  <c r="D386" i="4"/>
  <c r="D385" i="4"/>
  <c r="D384" i="4"/>
  <c r="D383" i="4"/>
  <c r="D382" i="4"/>
  <c r="D381" i="4"/>
  <c r="D380" i="4"/>
  <c r="D379" i="4"/>
  <c r="D378" i="4"/>
  <c r="D377" i="4"/>
  <c r="D376" i="4"/>
  <c r="D375" i="4"/>
  <c r="D374" i="4"/>
  <c r="D373" i="4"/>
  <c r="D372" i="4"/>
  <c r="D371" i="4"/>
  <c r="D370" i="4"/>
  <c r="D369" i="4"/>
  <c r="D368" i="4"/>
  <c r="D367" i="4"/>
  <c r="D366" i="4"/>
  <c r="D365" i="4"/>
  <c r="D364" i="4"/>
  <c r="D363" i="4"/>
  <c r="D362" i="4"/>
  <c r="D361" i="4"/>
  <c r="D360" i="4"/>
  <c r="D359" i="4"/>
  <c r="D358" i="4"/>
  <c r="D357" i="4"/>
  <c r="D356" i="4"/>
  <c r="D355" i="4"/>
  <c r="D354" i="4"/>
  <c r="D353" i="4"/>
  <c r="D352" i="4"/>
  <c r="D351" i="4"/>
  <c r="D350" i="4"/>
  <c r="D349" i="4"/>
  <c r="D348" i="4"/>
  <c r="D347" i="4"/>
  <c r="D346" i="4"/>
  <c r="D345" i="4"/>
  <c r="D344" i="4"/>
  <c r="D343" i="4"/>
  <c r="D342" i="4"/>
  <c r="D341" i="4"/>
  <c r="D340" i="4"/>
  <c r="D339" i="4"/>
  <c r="D338" i="4"/>
  <c r="D337" i="4"/>
  <c r="D336" i="4"/>
  <c r="D335" i="4"/>
  <c r="D334" i="4"/>
  <c r="D333" i="4"/>
  <c r="D332" i="4"/>
  <c r="D331" i="4"/>
  <c r="D330" i="4"/>
  <c r="D329" i="4"/>
  <c r="D328" i="4"/>
  <c r="D327" i="4"/>
  <c r="D326" i="4"/>
  <c r="D325" i="4"/>
  <c r="D324" i="4"/>
  <c r="D323" i="4"/>
  <c r="D322" i="4"/>
  <c r="D321" i="4"/>
  <c r="D320" i="4"/>
  <c r="D319" i="4"/>
  <c r="D318" i="4"/>
  <c r="D317" i="4"/>
  <c r="D316" i="4"/>
  <c r="D315" i="4"/>
  <c r="D314" i="4"/>
  <c r="D313" i="4"/>
  <c r="D312" i="4"/>
  <c r="D311" i="4"/>
  <c r="D310" i="4"/>
  <c r="D309" i="4"/>
  <c r="D308" i="4"/>
  <c r="D307" i="4"/>
  <c r="D306" i="4"/>
  <c r="D305" i="4"/>
  <c r="D304" i="4"/>
  <c r="D303" i="4"/>
  <c r="D302" i="4"/>
  <c r="D301" i="4"/>
  <c r="D300" i="4"/>
  <c r="D299" i="4"/>
  <c r="D298" i="4"/>
  <c r="D297" i="4"/>
  <c r="D296" i="4"/>
  <c r="D295" i="4"/>
  <c r="D294" i="4"/>
  <c r="D293" i="4"/>
  <c r="D292" i="4"/>
  <c r="D291" i="4"/>
  <c r="D290" i="4"/>
  <c r="D289" i="4"/>
  <c r="D288" i="4"/>
  <c r="D287" i="4"/>
  <c r="D286" i="4"/>
  <c r="D285" i="4"/>
  <c r="D284" i="4"/>
  <c r="D283" i="4"/>
  <c r="D282" i="4"/>
  <c r="D281" i="4"/>
  <c r="D280" i="4"/>
  <c r="D279" i="4"/>
  <c r="D278" i="4"/>
  <c r="D277" i="4"/>
  <c r="D276" i="4"/>
  <c r="D275" i="4"/>
  <c r="D274" i="4"/>
  <c r="D273" i="4"/>
  <c r="D272" i="4"/>
  <c r="D271" i="4"/>
  <c r="D270" i="4"/>
  <c r="D269" i="4"/>
  <c r="D268" i="4"/>
  <c r="D267" i="4"/>
  <c r="D266" i="4"/>
  <c r="D265" i="4"/>
  <c r="D264" i="4"/>
  <c r="D263" i="4"/>
  <c r="D262" i="4"/>
  <c r="D261" i="4"/>
  <c r="D260" i="4"/>
  <c r="D259" i="4"/>
  <c r="D258" i="4"/>
  <c r="D257" i="4"/>
  <c r="D256" i="4"/>
  <c r="D255" i="4"/>
  <c r="D254" i="4"/>
  <c r="D253" i="4"/>
  <c r="D252" i="4"/>
  <c r="D251" i="4"/>
  <c r="D250" i="4"/>
  <c r="D249" i="4"/>
  <c r="D248" i="4"/>
  <c r="D247" i="4"/>
  <c r="D246" i="4"/>
  <c r="D245" i="4"/>
  <c r="D244" i="4"/>
  <c r="D243" i="4"/>
  <c r="D242" i="4"/>
  <c r="D241" i="4"/>
  <c r="D240" i="4"/>
  <c r="D239" i="4"/>
  <c r="D238" i="4"/>
  <c r="D237" i="4"/>
  <c r="D236" i="4"/>
  <c r="D235" i="4"/>
  <c r="D234" i="4"/>
  <c r="D233" i="4"/>
  <c r="D232" i="4"/>
  <c r="D231" i="4"/>
  <c r="D230" i="4"/>
  <c r="D229" i="4"/>
  <c r="D228" i="4"/>
  <c r="D227" i="4"/>
  <c r="D226" i="4"/>
  <c r="D225" i="4"/>
  <c r="D224" i="4"/>
  <c r="D223" i="4"/>
  <c r="D222" i="4"/>
  <c r="D221" i="4"/>
  <c r="D220" i="4"/>
  <c r="D219" i="4"/>
  <c r="D218" i="4"/>
  <c r="D217" i="4"/>
  <c r="D216" i="4"/>
  <c r="D215" i="4"/>
  <c r="D214" i="4"/>
  <c r="D213" i="4"/>
  <c r="D212" i="4"/>
  <c r="D211" i="4"/>
  <c r="D210" i="4"/>
  <c r="D209" i="4"/>
  <c r="D208" i="4"/>
  <c r="D207" i="4"/>
  <c r="D206" i="4"/>
  <c r="D205" i="4"/>
  <c r="D204" i="4"/>
  <c r="D203" i="4"/>
  <c r="D202" i="4"/>
  <c r="D201" i="4"/>
  <c r="D200" i="4"/>
  <c r="D199" i="4"/>
  <c r="D198" i="4"/>
  <c r="D197" i="4"/>
  <c r="D196" i="4"/>
  <c r="D195" i="4"/>
  <c r="D194" i="4"/>
  <c r="D193" i="4"/>
  <c r="D192" i="4"/>
  <c r="D191" i="4"/>
  <c r="D190" i="4"/>
  <c r="D189" i="4"/>
  <c r="D188" i="4"/>
  <c r="D187" i="4"/>
  <c r="D186" i="4"/>
  <c r="D185" i="4"/>
  <c r="D184" i="4"/>
  <c r="D183" i="4"/>
  <c r="D182" i="4"/>
  <c r="D181" i="4"/>
  <c r="D180" i="4"/>
  <c r="D179" i="4"/>
  <c r="D178" i="4"/>
  <c r="D177" i="4"/>
  <c r="D176" i="4"/>
  <c r="D175" i="4"/>
  <c r="D174" i="4"/>
  <c r="D173" i="4"/>
  <c r="D172" i="4"/>
  <c r="D171" i="4"/>
  <c r="D170" i="4"/>
  <c r="D169" i="4"/>
  <c r="D168" i="4"/>
  <c r="D167" i="4"/>
  <c r="D166" i="4"/>
  <c r="D165" i="4"/>
  <c r="D164" i="4"/>
  <c r="D163" i="4"/>
  <c r="D162" i="4"/>
  <c r="D161" i="4"/>
  <c r="D160" i="4"/>
  <c r="D159" i="4"/>
  <c r="D158" i="4"/>
  <c r="D157" i="4"/>
  <c r="D156" i="4"/>
  <c r="D155" i="4"/>
  <c r="D154" i="4"/>
  <c r="D153" i="4"/>
  <c r="D152" i="4"/>
  <c r="D151" i="4"/>
  <c r="D150" i="4"/>
  <c r="D149" i="4"/>
  <c r="D148" i="4"/>
  <c r="D147" i="4"/>
  <c r="D146" i="4"/>
  <c r="D145" i="4"/>
  <c r="D144" i="4"/>
  <c r="D143" i="4"/>
  <c r="D142" i="4"/>
  <c r="D141" i="4"/>
  <c r="D140" i="4"/>
  <c r="D139" i="4"/>
  <c r="D138" i="4"/>
  <c r="D137" i="4"/>
  <c r="D136" i="4"/>
  <c r="D135" i="4"/>
  <c r="D134" i="4"/>
  <c r="D133" i="4"/>
  <c r="D132" i="4"/>
  <c r="D131" i="4"/>
  <c r="D130" i="4"/>
  <c r="D129" i="4"/>
  <c r="D128" i="4"/>
  <c r="D127" i="4"/>
  <c r="D126" i="4"/>
  <c r="D125" i="4"/>
  <c r="D124" i="4"/>
  <c r="D123" i="4"/>
  <c r="D122" i="4"/>
  <c r="D121" i="4"/>
  <c r="D120" i="4"/>
  <c r="D119" i="4"/>
  <c r="D118" i="4"/>
  <c r="D117" i="4"/>
  <c r="D116" i="4"/>
  <c r="D115" i="4"/>
  <c r="D114" i="4"/>
  <c r="D113" i="4"/>
  <c r="D112" i="4"/>
  <c r="D111" i="4"/>
  <c r="D110" i="4"/>
  <c r="D109"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F668" i="3"/>
  <c r="J667" i="3"/>
  <c r="Q667" i="3" s="1"/>
  <c r="K667" i="3" s="1"/>
  <c r="F563" i="4" s="1"/>
  <c r="G563" i="4" s="1"/>
  <c r="Q666" i="3"/>
  <c r="K666" i="3" s="1"/>
  <c r="F562" i="4" s="1"/>
  <c r="G562" i="4" s="1"/>
  <c r="J666" i="3"/>
  <c r="J665" i="3"/>
  <c r="Q665" i="3" s="1"/>
  <c r="K665" i="3" s="1"/>
  <c r="F561" i="4" s="1"/>
  <c r="G561" i="4" s="1"/>
  <c r="J664" i="3"/>
  <c r="Q664" i="3" s="1"/>
  <c r="K664" i="3" s="1"/>
  <c r="F560" i="4" s="1"/>
  <c r="G560" i="4" s="1"/>
  <c r="J663" i="3"/>
  <c r="Q663" i="3" s="1"/>
  <c r="K663" i="3" s="1"/>
  <c r="F559" i="4" s="1"/>
  <c r="G559" i="4" s="1"/>
  <c r="J662" i="3"/>
  <c r="Q662" i="3" s="1"/>
  <c r="K662" i="3" s="1"/>
  <c r="K661" i="3"/>
  <c r="J661" i="3"/>
  <c r="Q661" i="3" s="1"/>
  <c r="J660" i="3"/>
  <c r="Q660" i="3" s="1"/>
  <c r="J659" i="3"/>
  <c r="Q659" i="3" s="1"/>
  <c r="K659" i="3" s="1"/>
  <c r="J658" i="3"/>
  <c r="Q658" i="3" s="1"/>
  <c r="K658" i="3" s="1"/>
  <c r="J657" i="3"/>
  <c r="Q657" i="3" s="1"/>
  <c r="K657" i="3" s="1"/>
  <c r="F555" i="4" s="1"/>
  <c r="G555" i="4" s="1"/>
  <c r="K656" i="3"/>
  <c r="F554" i="4" s="1"/>
  <c r="G554" i="4" s="1"/>
  <c r="J656" i="3"/>
  <c r="Q656" i="3" s="1"/>
  <c r="J655" i="3"/>
  <c r="Q655" i="3" s="1"/>
  <c r="K655" i="3" s="1"/>
  <c r="F553" i="4" s="1"/>
  <c r="G553" i="4" s="1"/>
  <c r="J654" i="3"/>
  <c r="Q654" i="3" s="1"/>
  <c r="K654" i="3" s="1"/>
  <c r="F552" i="4" s="1"/>
  <c r="G552" i="4" s="1"/>
  <c r="Q653" i="3"/>
  <c r="K653" i="3" s="1"/>
  <c r="F551" i="4" s="1"/>
  <c r="G551" i="4" s="1"/>
  <c r="J653" i="3"/>
  <c r="Q652" i="3"/>
  <c r="K652" i="3" s="1"/>
  <c r="F550" i="4" s="1"/>
  <c r="G550" i="4" s="1"/>
  <c r="J652" i="3"/>
  <c r="Q651" i="3"/>
  <c r="K651" i="3" s="1"/>
  <c r="F549" i="4" s="1"/>
  <c r="G549" i="4" s="1"/>
  <c r="J651" i="3"/>
  <c r="Q650" i="3"/>
  <c r="K650" i="3" s="1"/>
  <c r="F548" i="4" s="1"/>
  <c r="G548" i="4" s="1"/>
  <c r="J650" i="3"/>
  <c r="Q649" i="3"/>
  <c r="K649" i="3" s="1"/>
  <c r="F547" i="4" s="1"/>
  <c r="G547" i="4" s="1"/>
  <c r="J649" i="3"/>
  <c r="J648" i="3"/>
  <c r="Q648" i="3" s="1"/>
  <c r="K648" i="3" s="1"/>
  <c r="F546" i="4" s="1"/>
  <c r="G546" i="4" s="1"/>
  <c r="J647" i="3"/>
  <c r="Q647" i="3" s="1"/>
  <c r="K647" i="3" s="1"/>
  <c r="F545" i="4" s="1"/>
  <c r="G545" i="4" s="1"/>
  <c r="J646" i="3"/>
  <c r="Q646" i="3" s="1"/>
  <c r="K646" i="3" s="1"/>
  <c r="F544" i="4" s="1"/>
  <c r="G544" i="4" s="1"/>
  <c r="J645" i="3"/>
  <c r="Q645" i="3" s="1"/>
  <c r="K645" i="3" s="1"/>
  <c r="F543" i="4" s="1"/>
  <c r="G543" i="4" s="1"/>
  <c r="J644" i="3"/>
  <c r="Q644" i="3" s="1"/>
  <c r="K644" i="3" s="1"/>
  <c r="J643" i="3"/>
  <c r="Q643" i="3" s="1"/>
  <c r="K643" i="3" s="1"/>
  <c r="J642" i="3"/>
  <c r="Q642" i="3" s="1"/>
  <c r="K642" i="3" s="1"/>
  <c r="F541" i="4" s="1"/>
  <c r="G541" i="4" s="1"/>
  <c r="P641" i="3"/>
  <c r="I641" i="3"/>
  <c r="J641" i="3" s="1"/>
  <c r="Q641" i="3" s="1"/>
  <c r="K641" i="3" s="1"/>
  <c r="P640" i="3"/>
  <c r="J640" i="3"/>
  <c r="Q640" i="3" s="1"/>
  <c r="K640" i="3" s="1"/>
  <c r="I640" i="3"/>
  <c r="Q639" i="3"/>
  <c r="K639" i="3" s="1"/>
  <c r="P639" i="3"/>
  <c r="J639" i="3"/>
  <c r="I639" i="3"/>
  <c r="J638" i="3"/>
  <c r="Q638" i="3" s="1"/>
  <c r="K638" i="3" s="1"/>
  <c r="F539" i="4" s="1"/>
  <c r="G539" i="4" s="1"/>
  <c r="J637" i="3"/>
  <c r="Q637" i="3" s="1"/>
  <c r="K637" i="3" s="1"/>
  <c r="F538" i="4" s="1"/>
  <c r="G538" i="4" s="1"/>
  <c r="J636" i="3"/>
  <c r="Q636" i="3" s="1"/>
  <c r="K636" i="3" s="1"/>
  <c r="F537" i="4" s="1"/>
  <c r="G537" i="4" s="1"/>
  <c r="J635" i="3"/>
  <c r="Q635" i="3" s="1"/>
  <c r="K635" i="3" s="1"/>
  <c r="F536" i="4" s="1"/>
  <c r="G536" i="4" s="1"/>
  <c r="J634" i="3"/>
  <c r="Q634" i="3" s="1"/>
  <c r="K634" i="3" s="1"/>
  <c r="F535" i="4" s="1"/>
  <c r="G535" i="4" s="1"/>
  <c r="Q633" i="3"/>
  <c r="K633" i="3" s="1"/>
  <c r="F534" i="4" s="1"/>
  <c r="G534" i="4" s="1"/>
  <c r="J633" i="3"/>
  <c r="J632" i="3"/>
  <c r="Q632" i="3" s="1"/>
  <c r="K632" i="3" s="1"/>
  <c r="F533" i="4" s="1"/>
  <c r="G533" i="4" s="1"/>
  <c r="J631" i="3"/>
  <c r="Q631" i="3" s="1"/>
  <c r="K631" i="3" s="1"/>
  <c r="F532" i="4" s="1"/>
  <c r="G532" i="4" s="1"/>
  <c r="J630" i="3"/>
  <c r="Q630" i="3" s="1"/>
  <c r="K630" i="3" s="1"/>
  <c r="F531" i="4" s="1"/>
  <c r="G531" i="4" s="1"/>
  <c r="J629" i="3"/>
  <c r="Q629" i="3" s="1"/>
  <c r="K629" i="3" s="1"/>
  <c r="F530" i="4" s="1"/>
  <c r="G530" i="4" s="1"/>
  <c r="P628" i="3"/>
  <c r="I628" i="3"/>
  <c r="J627" i="3"/>
  <c r="Q627" i="3" s="1"/>
  <c r="K627" i="3" s="1"/>
  <c r="F528" i="4" s="1"/>
  <c r="G528" i="4" s="1"/>
  <c r="P626" i="3"/>
  <c r="I626" i="3"/>
  <c r="J626" i="3" s="1"/>
  <c r="Q626" i="3" s="1"/>
  <c r="K626" i="3" s="1"/>
  <c r="P625" i="3"/>
  <c r="I625" i="3"/>
  <c r="J625" i="3" s="1"/>
  <c r="Q625" i="3" s="1"/>
  <c r="K625" i="3" s="1"/>
  <c r="J624" i="3"/>
  <c r="Q624" i="3" s="1"/>
  <c r="K624" i="3" s="1"/>
  <c r="F526" i="4" s="1"/>
  <c r="G526" i="4" s="1"/>
  <c r="Q623" i="3"/>
  <c r="K623" i="3" s="1"/>
  <c r="F525" i="4" s="1"/>
  <c r="G525" i="4" s="1"/>
  <c r="J623" i="3"/>
  <c r="Q622" i="3"/>
  <c r="K622" i="3" s="1"/>
  <c r="F524" i="4" s="1"/>
  <c r="G524" i="4" s="1"/>
  <c r="J622" i="3"/>
  <c r="J621" i="3"/>
  <c r="Q621" i="3" s="1"/>
  <c r="K621" i="3" s="1"/>
  <c r="F523" i="4" s="1"/>
  <c r="G523" i="4" s="1"/>
  <c r="J620" i="3"/>
  <c r="Q620" i="3" s="1"/>
  <c r="K620" i="3" s="1"/>
  <c r="F522" i="4" s="1"/>
  <c r="G522" i="4" s="1"/>
  <c r="J619" i="3"/>
  <c r="Q619" i="3" s="1"/>
  <c r="K619" i="3" s="1"/>
  <c r="F521" i="4" s="1"/>
  <c r="G521" i="4" s="1"/>
  <c r="J618" i="3"/>
  <c r="Q618" i="3" s="1"/>
  <c r="K618" i="3" s="1"/>
  <c r="F520" i="4" s="1"/>
  <c r="G520" i="4" s="1"/>
  <c r="P617" i="3"/>
  <c r="K617" i="3"/>
  <c r="I617" i="3"/>
  <c r="J617" i="3" s="1"/>
  <c r="Q617" i="3" s="1"/>
  <c r="P616" i="3"/>
  <c r="J616" i="3"/>
  <c r="Q616" i="3" s="1"/>
  <c r="K616" i="3" s="1"/>
  <c r="I616" i="3"/>
  <c r="P615" i="3"/>
  <c r="J615" i="3"/>
  <c r="Q615" i="3" s="1"/>
  <c r="K615" i="3" s="1"/>
  <c r="I615" i="3"/>
  <c r="P614" i="3"/>
  <c r="J614" i="3"/>
  <c r="Q614" i="3" s="1"/>
  <c r="K614" i="3" s="1"/>
  <c r="I614" i="3"/>
  <c r="Q613" i="3"/>
  <c r="K613" i="3" s="1"/>
  <c r="F518" i="4" s="1"/>
  <c r="G518" i="4" s="1"/>
  <c r="J613" i="3"/>
  <c r="Q612" i="3"/>
  <c r="K612" i="3" s="1"/>
  <c r="F517" i="4" s="1"/>
  <c r="G517" i="4" s="1"/>
  <c r="J612" i="3"/>
  <c r="Q611" i="3"/>
  <c r="K611" i="3" s="1"/>
  <c r="J611" i="3"/>
  <c r="Q610" i="3"/>
  <c r="K610" i="3" s="1"/>
  <c r="J610" i="3"/>
  <c r="Q609" i="3"/>
  <c r="K609" i="3" s="1"/>
  <c r="F515" i="4" s="1"/>
  <c r="G515" i="4" s="1"/>
  <c r="J609" i="3"/>
  <c r="J608" i="3"/>
  <c r="Q608" i="3" s="1"/>
  <c r="K608" i="3" s="1"/>
  <c r="F514" i="4" s="1"/>
  <c r="G514" i="4" s="1"/>
  <c r="J607" i="3"/>
  <c r="Q607" i="3" s="1"/>
  <c r="K607" i="3" s="1"/>
  <c r="F513" i="4" s="1"/>
  <c r="G513" i="4" s="1"/>
  <c r="J606" i="3"/>
  <c r="Q606" i="3" s="1"/>
  <c r="K606" i="3" s="1"/>
  <c r="J605" i="3"/>
  <c r="Q605" i="3" s="1"/>
  <c r="K605" i="3" s="1"/>
  <c r="J604" i="3"/>
  <c r="Q604" i="3" s="1"/>
  <c r="K604" i="3" s="1"/>
  <c r="F511" i="4" s="1"/>
  <c r="G511" i="4" s="1"/>
  <c r="J603" i="3"/>
  <c r="Q603" i="3" s="1"/>
  <c r="K603" i="3" s="1"/>
  <c r="F510" i="4" s="1"/>
  <c r="G510" i="4" s="1"/>
  <c r="J602" i="3"/>
  <c r="Q602" i="3" s="1"/>
  <c r="K602" i="3" s="1"/>
  <c r="J601" i="3"/>
  <c r="Q601" i="3" s="1"/>
  <c r="K601" i="3" s="1"/>
  <c r="K600" i="3"/>
  <c r="F508" i="4" s="1"/>
  <c r="G508" i="4" s="1"/>
  <c r="J600" i="3"/>
  <c r="Q600" i="3" s="1"/>
  <c r="Q599" i="3"/>
  <c r="K599" i="3" s="1"/>
  <c r="J599" i="3"/>
  <c r="Q598" i="3"/>
  <c r="K598" i="3" s="1"/>
  <c r="J598" i="3"/>
  <c r="J597" i="3"/>
  <c r="Q597" i="3" s="1"/>
  <c r="K597" i="3" s="1"/>
  <c r="F506" i="4" s="1"/>
  <c r="G506" i="4" s="1"/>
  <c r="J596" i="3"/>
  <c r="Q596" i="3" s="1"/>
  <c r="K596" i="3" s="1"/>
  <c r="F505" i="4" s="1"/>
  <c r="G505" i="4" s="1"/>
  <c r="J595" i="3"/>
  <c r="Q595" i="3" s="1"/>
  <c r="K595" i="3" s="1"/>
  <c r="F504" i="4" s="1"/>
  <c r="G504" i="4" s="1"/>
  <c r="J594" i="3"/>
  <c r="Q594" i="3" s="1"/>
  <c r="K594" i="3" s="1"/>
  <c r="F503" i="4" s="1"/>
  <c r="G503" i="4" s="1"/>
  <c r="J593" i="3"/>
  <c r="Q593" i="3" s="1"/>
  <c r="K593" i="3" s="1"/>
  <c r="F502" i="4" s="1"/>
  <c r="G502" i="4" s="1"/>
  <c r="J592" i="3"/>
  <c r="Q592" i="3" s="1"/>
  <c r="K592" i="3" s="1"/>
  <c r="F501" i="4" s="1"/>
  <c r="G501" i="4" s="1"/>
  <c r="J591" i="3"/>
  <c r="Q591" i="3" s="1"/>
  <c r="K591" i="3" s="1"/>
  <c r="F500" i="4" s="1"/>
  <c r="G500" i="4" s="1"/>
  <c r="J590" i="3"/>
  <c r="Q590" i="3" s="1"/>
  <c r="K590" i="3" s="1"/>
  <c r="J589" i="3"/>
  <c r="Q589" i="3" s="1"/>
  <c r="K589" i="3" s="1"/>
  <c r="J588" i="3"/>
  <c r="Q588" i="3" s="1"/>
  <c r="K588" i="3" s="1"/>
  <c r="F498" i="4" s="1"/>
  <c r="G498" i="4" s="1"/>
  <c r="P587" i="3"/>
  <c r="J587" i="3"/>
  <c r="Q587" i="3" s="1"/>
  <c r="K587" i="3" s="1"/>
  <c r="I587" i="3"/>
  <c r="P586" i="3"/>
  <c r="J586" i="3"/>
  <c r="Q586" i="3" s="1"/>
  <c r="K586" i="3" s="1"/>
  <c r="I586" i="3"/>
  <c r="P585" i="3"/>
  <c r="I585" i="3"/>
  <c r="J585" i="3" s="1"/>
  <c r="Q585" i="3" s="1"/>
  <c r="K585" i="3" s="1"/>
  <c r="J584" i="3"/>
  <c r="Q584" i="3" s="1"/>
  <c r="K584" i="3" s="1"/>
  <c r="F496" i="4" s="1"/>
  <c r="G496" i="4" s="1"/>
  <c r="J583" i="3"/>
  <c r="Q583" i="3" s="1"/>
  <c r="K583" i="3" s="1"/>
  <c r="F495" i="4" s="1"/>
  <c r="G495" i="4" s="1"/>
  <c r="P582" i="3"/>
  <c r="J582" i="3"/>
  <c r="Q582" i="3" s="1"/>
  <c r="K582" i="3" s="1"/>
  <c r="I582" i="3"/>
  <c r="P581" i="3"/>
  <c r="K581" i="3"/>
  <c r="I581" i="3"/>
  <c r="J581" i="3" s="1"/>
  <c r="Q581" i="3" s="1"/>
  <c r="J580" i="3"/>
  <c r="Q580" i="3" s="1"/>
  <c r="K580" i="3" s="1"/>
  <c r="J579" i="3"/>
  <c r="Q579" i="3" s="1"/>
  <c r="K579" i="3" s="1"/>
  <c r="F493" i="4" s="1"/>
  <c r="G493" i="4" s="1"/>
  <c r="P578" i="3"/>
  <c r="J578" i="3"/>
  <c r="Q578" i="3" s="1"/>
  <c r="K578" i="3" s="1"/>
  <c r="I578" i="3"/>
  <c r="P577" i="3"/>
  <c r="I577" i="3"/>
  <c r="J577" i="3" s="1"/>
  <c r="Q577" i="3" s="1"/>
  <c r="K577" i="3" s="1"/>
  <c r="J576" i="3"/>
  <c r="Q576" i="3" s="1"/>
  <c r="K576" i="3" s="1"/>
  <c r="J575" i="3"/>
  <c r="Q575" i="3" s="1"/>
  <c r="K575" i="3" s="1"/>
  <c r="J574" i="3"/>
  <c r="Q574" i="3" s="1"/>
  <c r="K574" i="3" s="1"/>
  <c r="F490" i="4" s="1"/>
  <c r="G490" i="4" s="1"/>
  <c r="J573" i="3"/>
  <c r="Q573" i="3" s="1"/>
  <c r="K573" i="3" s="1"/>
  <c r="F489" i="4" s="1"/>
  <c r="G489" i="4" s="1"/>
  <c r="J572" i="3"/>
  <c r="Q572" i="3" s="1"/>
  <c r="K572" i="3" s="1"/>
  <c r="F488" i="4" s="1"/>
  <c r="G488" i="4" s="1"/>
  <c r="J571" i="3"/>
  <c r="Q571" i="3" s="1"/>
  <c r="K571" i="3" s="1"/>
  <c r="F487" i="4" s="1"/>
  <c r="G487" i="4" s="1"/>
  <c r="J570" i="3"/>
  <c r="Q570" i="3" s="1"/>
  <c r="K570" i="3" s="1"/>
  <c r="F486" i="4" s="1"/>
  <c r="G486" i="4" s="1"/>
  <c r="J569" i="3"/>
  <c r="Q569" i="3" s="1"/>
  <c r="K569" i="3" s="1"/>
  <c r="J568" i="3"/>
  <c r="Q568" i="3" s="1"/>
  <c r="K568" i="3" s="1"/>
  <c r="J567" i="3"/>
  <c r="Q567" i="3" s="1"/>
  <c r="K567" i="3" s="1"/>
  <c r="J566" i="3"/>
  <c r="Q566" i="3" s="1"/>
  <c r="K566" i="3" s="1"/>
  <c r="J565" i="3"/>
  <c r="Q565" i="3" s="1"/>
  <c r="K565" i="3" s="1"/>
  <c r="F483" i="4" s="1"/>
  <c r="G483" i="4" s="1"/>
  <c r="J564" i="3"/>
  <c r="Q564" i="3" s="1"/>
  <c r="K564" i="3" s="1"/>
  <c r="F482" i="4" s="1"/>
  <c r="G482" i="4" s="1"/>
  <c r="J563" i="3"/>
  <c r="Q563" i="3" s="1"/>
  <c r="K563" i="3" s="1"/>
  <c r="F481" i="4" s="1"/>
  <c r="G481" i="4" s="1"/>
  <c r="P562" i="3"/>
  <c r="I562" i="3"/>
  <c r="J561" i="3"/>
  <c r="Q561" i="3" s="1"/>
  <c r="K561" i="3" s="1"/>
  <c r="F479" i="4" s="1"/>
  <c r="G479" i="4" s="1"/>
  <c r="J560" i="3"/>
  <c r="Q560" i="3" s="1"/>
  <c r="K560" i="3" s="1"/>
  <c r="F478" i="4" s="1"/>
  <c r="G478" i="4" s="1"/>
  <c r="P559" i="3"/>
  <c r="I559" i="3"/>
  <c r="J558" i="3"/>
  <c r="Q558" i="3" s="1"/>
  <c r="K558" i="3" s="1"/>
  <c r="F476" i="4" s="1"/>
  <c r="G476" i="4" s="1"/>
  <c r="J557" i="3"/>
  <c r="Q557" i="3" s="1"/>
  <c r="K557" i="3" s="1"/>
  <c r="F475" i="4" s="1"/>
  <c r="G475" i="4" s="1"/>
  <c r="J556" i="3"/>
  <c r="Q556" i="3" s="1"/>
  <c r="K556" i="3" s="1"/>
  <c r="F474" i="4" s="1"/>
  <c r="G474" i="4" s="1"/>
  <c r="Q555" i="3"/>
  <c r="K555" i="3" s="1"/>
  <c r="F473" i="4" s="1"/>
  <c r="G473" i="4" s="1"/>
  <c r="J555" i="3"/>
  <c r="J554" i="3"/>
  <c r="Q554" i="3" s="1"/>
  <c r="K554" i="3" s="1"/>
  <c r="F472" i="4" s="1"/>
  <c r="G472" i="4" s="1"/>
  <c r="J553" i="3"/>
  <c r="Q553" i="3" s="1"/>
  <c r="K553" i="3" s="1"/>
  <c r="F471" i="4" s="1"/>
  <c r="G471" i="4" s="1"/>
  <c r="Q552" i="3"/>
  <c r="K552" i="3" s="1"/>
  <c r="F470" i="4" s="1"/>
  <c r="G470" i="4" s="1"/>
  <c r="J552" i="3"/>
  <c r="J551" i="3"/>
  <c r="Q551" i="3" s="1"/>
  <c r="K551" i="3" s="1"/>
  <c r="F469" i="4" s="1"/>
  <c r="G469" i="4" s="1"/>
  <c r="J550" i="3"/>
  <c r="Q550" i="3" s="1"/>
  <c r="K550" i="3" s="1"/>
  <c r="F468" i="4" s="1"/>
  <c r="G468" i="4" s="1"/>
  <c r="J549" i="3"/>
  <c r="Q549" i="3" s="1"/>
  <c r="K549" i="3" s="1"/>
  <c r="F467" i="4" s="1"/>
  <c r="G467" i="4" s="1"/>
  <c r="P548" i="3"/>
  <c r="I548" i="3"/>
  <c r="J548" i="3" s="1"/>
  <c r="Q548" i="3" s="1"/>
  <c r="K548" i="3" s="1"/>
  <c r="P547" i="3"/>
  <c r="I547" i="3"/>
  <c r="J547" i="3" s="1"/>
  <c r="Q547" i="3" s="1"/>
  <c r="K547" i="3" s="1"/>
  <c r="J546" i="3"/>
  <c r="Q546" i="3" s="1"/>
  <c r="K546" i="3" s="1"/>
  <c r="F465" i="4" s="1"/>
  <c r="G465" i="4" s="1"/>
  <c r="J545" i="3"/>
  <c r="Q545" i="3" s="1"/>
  <c r="K545" i="3" s="1"/>
  <c r="F464" i="4" s="1"/>
  <c r="G464" i="4" s="1"/>
  <c r="J544" i="3"/>
  <c r="Q544" i="3" s="1"/>
  <c r="K544" i="3" s="1"/>
  <c r="F463" i="4" s="1"/>
  <c r="G463" i="4" s="1"/>
  <c r="Q543" i="3"/>
  <c r="K543" i="3" s="1"/>
  <c r="J543" i="3"/>
  <c r="K542" i="3"/>
  <c r="J542" i="3"/>
  <c r="Q542" i="3" s="1"/>
  <c r="J541" i="3"/>
  <c r="Q541" i="3" s="1"/>
  <c r="K541" i="3" s="1"/>
  <c r="F461" i="4" s="1"/>
  <c r="G461" i="4" s="1"/>
  <c r="J540" i="3"/>
  <c r="Q540" i="3" s="1"/>
  <c r="K540" i="3" s="1"/>
  <c r="F460" i="4" s="1"/>
  <c r="G460" i="4" s="1"/>
  <c r="J539" i="3"/>
  <c r="Q539" i="3" s="1"/>
  <c r="K539" i="3" s="1"/>
  <c r="F459" i="4" s="1"/>
  <c r="G459" i="4" s="1"/>
  <c r="P538" i="3"/>
  <c r="J538" i="3"/>
  <c r="Q538" i="3" s="1"/>
  <c r="K538" i="3" s="1"/>
  <c r="F458" i="4" s="1"/>
  <c r="G458" i="4" s="1"/>
  <c r="I538" i="3"/>
  <c r="J537" i="3"/>
  <c r="Q537" i="3" s="1"/>
  <c r="K537" i="3" s="1"/>
  <c r="F457" i="4" s="1"/>
  <c r="G457" i="4" s="1"/>
  <c r="J536" i="3"/>
  <c r="Q536" i="3" s="1"/>
  <c r="K536" i="3" s="1"/>
  <c r="J535" i="3"/>
  <c r="Q535" i="3" s="1"/>
  <c r="K535" i="3" s="1"/>
  <c r="J534" i="3"/>
  <c r="Q534" i="3" s="1"/>
  <c r="K534" i="3" s="1"/>
  <c r="F455" i="4" s="1"/>
  <c r="G455" i="4" s="1"/>
  <c r="J533" i="3"/>
  <c r="Q533" i="3" s="1"/>
  <c r="K533" i="3" s="1"/>
  <c r="F454" i="4" s="1"/>
  <c r="G454" i="4" s="1"/>
  <c r="J532" i="3"/>
  <c r="Q532" i="3" s="1"/>
  <c r="K532" i="3" s="1"/>
  <c r="F453" i="4" s="1"/>
  <c r="G453" i="4" s="1"/>
  <c r="Q531" i="3"/>
  <c r="K531" i="3" s="1"/>
  <c r="F452" i="4" s="1"/>
  <c r="G452" i="4" s="1"/>
  <c r="J531" i="3"/>
  <c r="Q530" i="3"/>
  <c r="K530" i="3" s="1"/>
  <c r="J530" i="3"/>
  <c r="J529" i="3"/>
  <c r="Q529" i="3" s="1"/>
  <c r="K529" i="3" s="1"/>
  <c r="J528" i="3"/>
  <c r="Q528" i="3" s="1"/>
  <c r="K528" i="3" s="1"/>
  <c r="F450" i="4" s="1"/>
  <c r="G450" i="4" s="1"/>
  <c r="J527" i="3"/>
  <c r="Q527" i="3" s="1"/>
  <c r="K527" i="3" s="1"/>
  <c r="F449" i="4" s="1"/>
  <c r="G449" i="4" s="1"/>
  <c r="J526" i="3"/>
  <c r="Q526" i="3" s="1"/>
  <c r="K526" i="3" s="1"/>
  <c r="F448" i="4" s="1"/>
  <c r="G448" i="4" s="1"/>
  <c r="J525" i="3"/>
  <c r="Q525" i="3" s="1"/>
  <c r="K525" i="3" s="1"/>
  <c r="J524" i="3"/>
  <c r="Q524" i="3" s="1"/>
  <c r="K524" i="3" s="1"/>
  <c r="P523" i="3"/>
  <c r="I523" i="3"/>
  <c r="J523" i="3" s="1"/>
  <c r="Q523" i="3" s="1"/>
  <c r="K523" i="3" s="1"/>
  <c r="F446" i="4" s="1"/>
  <c r="G446" i="4" s="1"/>
  <c r="J522" i="3"/>
  <c r="Q522" i="3" s="1"/>
  <c r="K522" i="3" s="1"/>
  <c r="F445" i="4" s="1"/>
  <c r="G445" i="4" s="1"/>
  <c r="J521" i="3"/>
  <c r="Q521" i="3" s="1"/>
  <c r="K521" i="3" s="1"/>
  <c r="F444" i="4" s="1"/>
  <c r="G444" i="4" s="1"/>
  <c r="J520" i="3"/>
  <c r="Q520" i="3" s="1"/>
  <c r="K520" i="3" s="1"/>
  <c r="F443" i="4" s="1"/>
  <c r="G443" i="4" s="1"/>
  <c r="J519" i="3"/>
  <c r="Q519" i="3" s="1"/>
  <c r="K519" i="3" s="1"/>
  <c r="F442" i="4" s="1"/>
  <c r="G442" i="4" s="1"/>
  <c r="J518" i="3"/>
  <c r="Q518" i="3" s="1"/>
  <c r="K518" i="3" s="1"/>
  <c r="F441" i="4" s="1"/>
  <c r="G441" i="4" s="1"/>
  <c r="J517" i="3"/>
  <c r="Q517" i="3" s="1"/>
  <c r="K517" i="3" s="1"/>
  <c r="F440" i="4" s="1"/>
  <c r="G440" i="4" s="1"/>
  <c r="J516" i="3"/>
  <c r="Q516" i="3" s="1"/>
  <c r="K516" i="3" s="1"/>
  <c r="J515" i="3"/>
  <c r="Q515" i="3" s="1"/>
  <c r="K515" i="3" s="1"/>
  <c r="J514" i="3"/>
  <c r="Q514" i="3" s="1"/>
  <c r="K514" i="3" s="1"/>
  <c r="F438" i="4" s="1"/>
  <c r="G438" i="4" s="1"/>
  <c r="J513" i="3"/>
  <c r="Q513" i="3" s="1"/>
  <c r="K513" i="3" s="1"/>
  <c r="F437" i="4" s="1"/>
  <c r="G437" i="4" s="1"/>
  <c r="Q512" i="3"/>
  <c r="K512" i="3" s="1"/>
  <c r="F436" i="4" s="1"/>
  <c r="G436" i="4" s="1"/>
  <c r="J512" i="3"/>
  <c r="J511" i="3"/>
  <c r="Q511" i="3" s="1"/>
  <c r="K511" i="3" s="1"/>
  <c r="F435" i="4" s="1"/>
  <c r="G435" i="4" s="1"/>
  <c r="J510" i="3"/>
  <c r="Q510" i="3" s="1"/>
  <c r="K510" i="3" s="1"/>
  <c r="F434" i="4" s="1"/>
  <c r="G434" i="4" s="1"/>
  <c r="J509" i="3"/>
  <c r="Q509" i="3" s="1"/>
  <c r="K509" i="3" s="1"/>
  <c r="F433" i="4" s="1"/>
  <c r="G433" i="4" s="1"/>
  <c r="J508" i="3"/>
  <c r="Q508" i="3" s="1"/>
  <c r="K508" i="3" s="1"/>
  <c r="F432" i="4" s="1"/>
  <c r="G432" i="4" s="1"/>
  <c r="J507" i="3"/>
  <c r="Q507" i="3" s="1"/>
  <c r="K507" i="3" s="1"/>
  <c r="F431" i="4" s="1"/>
  <c r="G431" i="4" s="1"/>
  <c r="J506" i="3"/>
  <c r="Q506" i="3" s="1"/>
  <c r="K506" i="3" s="1"/>
  <c r="P505" i="3"/>
  <c r="I505" i="3"/>
  <c r="J505" i="3" s="1"/>
  <c r="Q505" i="3" s="1"/>
  <c r="K505" i="3" s="1"/>
  <c r="J504" i="3"/>
  <c r="Q504" i="3" s="1"/>
  <c r="K504" i="3" s="1"/>
  <c r="F429" i="4" s="1"/>
  <c r="G429" i="4" s="1"/>
  <c r="J503" i="3"/>
  <c r="Q503" i="3" s="1"/>
  <c r="K503" i="3" s="1"/>
  <c r="F428" i="4" s="1"/>
  <c r="G428" i="4" s="1"/>
  <c r="J502" i="3"/>
  <c r="Q502" i="3" s="1"/>
  <c r="K502" i="3" s="1"/>
  <c r="F427" i="4" s="1"/>
  <c r="G427" i="4" s="1"/>
  <c r="J501" i="3"/>
  <c r="Q501" i="3" s="1"/>
  <c r="K501" i="3" s="1"/>
  <c r="F426" i="4" s="1"/>
  <c r="G426" i="4" s="1"/>
  <c r="J500" i="3"/>
  <c r="Q500" i="3" s="1"/>
  <c r="K500" i="3" s="1"/>
  <c r="F425" i="4" s="1"/>
  <c r="G425" i="4" s="1"/>
  <c r="J499" i="3"/>
  <c r="Q499" i="3" s="1"/>
  <c r="K499" i="3" s="1"/>
  <c r="F424" i="4" s="1"/>
  <c r="G424" i="4" s="1"/>
  <c r="J498" i="3"/>
  <c r="Q498" i="3" s="1"/>
  <c r="K498" i="3" s="1"/>
  <c r="J497" i="3"/>
  <c r="Q497" i="3" s="1"/>
  <c r="K497" i="3" s="1"/>
  <c r="J496" i="3"/>
  <c r="Q496" i="3" s="1"/>
  <c r="K496" i="3" s="1"/>
  <c r="K495" i="3"/>
  <c r="J495" i="3"/>
  <c r="Q495" i="3" s="1"/>
  <c r="Q494" i="3"/>
  <c r="K494" i="3" s="1"/>
  <c r="J494" i="3"/>
  <c r="Q493" i="3"/>
  <c r="K493" i="3" s="1"/>
  <c r="J493" i="3"/>
  <c r="Q492" i="3"/>
  <c r="K492" i="3" s="1"/>
  <c r="J492" i="3"/>
  <c r="J491" i="3"/>
  <c r="Q491" i="3" s="1"/>
  <c r="K491" i="3" s="1"/>
  <c r="F422" i="4" s="1"/>
  <c r="G422" i="4" s="1"/>
  <c r="J490" i="3"/>
  <c r="Q490" i="3" s="1"/>
  <c r="K490" i="3" s="1"/>
  <c r="F421" i="4" s="1"/>
  <c r="G421" i="4" s="1"/>
  <c r="J489" i="3"/>
  <c r="Q489" i="3" s="1"/>
  <c r="K489" i="3" s="1"/>
  <c r="F420" i="4" s="1"/>
  <c r="G420" i="4" s="1"/>
  <c r="J488" i="3"/>
  <c r="Q488" i="3" s="1"/>
  <c r="K488" i="3" s="1"/>
  <c r="F419" i="4" s="1"/>
  <c r="G419" i="4" s="1"/>
  <c r="J487" i="3"/>
  <c r="Q487" i="3" s="1"/>
  <c r="K487" i="3" s="1"/>
  <c r="F418" i="4" s="1"/>
  <c r="G418" i="4" s="1"/>
  <c r="J486" i="3"/>
  <c r="Q486" i="3" s="1"/>
  <c r="K486" i="3" s="1"/>
  <c r="F417" i="4" s="1"/>
  <c r="G417" i="4" s="1"/>
  <c r="Q485" i="3"/>
  <c r="K485" i="3" s="1"/>
  <c r="F416" i="4" s="1"/>
  <c r="G416" i="4" s="1"/>
  <c r="J485" i="3"/>
  <c r="J484" i="3"/>
  <c r="Q484" i="3" s="1"/>
  <c r="K484" i="3" s="1"/>
  <c r="J483" i="3"/>
  <c r="Q483" i="3" s="1"/>
  <c r="K483" i="3" s="1"/>
  <c r="J482" i="3"/>
  <c r="Q482" i="3" s="1"/>
  <c r="K482" i="3" s="1"/>
  <c r="F414" i="4" s="1"/>
  <c r="G414" i="4" s="1"/>
  <c r="J481" i="3"/>
  <c r="Q481" i="3" s="1"/>
  <c r="K481" i="3" s="1"/>
  <c r="J480" i="3"/>
  <c r="Q480" i="3" s="1"/>
  <c r="K480" i="3" s="1"/>
  <c r="J479" i="3"/>
  <c r="Q479" i="3" s="1"/>
  <c r="K479" i="3" s="1"/>
  <c r="F412" i="4" s="1"/>
  <c r="G412" i="4" s="1"/>
  <c r="Q478" i="3"/>
  <c r="K478" i="3" s="1"/>
  <c r="F411" i="4" s="1"/>
  <c r="G411" i="4" s="1"/>
  <c r="J478" i="3"/>
  <c r="J477" i="3"/>
  <c r="Q477" i="3" s="1"/>
  <c r="K477" i="3" s="1"/>
  <c r="F410" i="4" s="1"/>
  <c r="G410" i="4" s="1"/>
  <c r="J476" i="3"/>
  <c r="Q476" i="3" s="1"/>
  <c r="K476" i="3" s="1"/>
  <c r="F409" i="4" s="1"/>
  <c r="G409" i="4" s="1"/>
  <c r="J475" i="3"/>
  <c r="Q475" i="3" s="1"/>
  <c r="K475" i="3" s="1"/>
  <c r="F408" i="4" s="1"/>
  <c r="G408" i="4" s="1"/>
  <c r="J474" i="3"/>
  <c r="Q474" i="3" s="1"/>
  <c r="K474" i="3" s="1"/>
  <c r="F407" i="4" s="1"/>
  <c r="G407" i="4" s="1"/>
  <c r="Q473" i="3"/>
  <c r="K473" i="3" s="1"/>
  <c r="F406" i="4" s="1"/>
  <c r="G406" i="4" s="1"/>
  <c r="P473" i="3"/>
  <c r="I473" i="3"/>
  <c r="J473" i="3" s="1"/>
  <c r="J472" i="3"/>
  <c r="Q472" i="3" s="1"/>
  <c r="K472" i="3" s="1"/>
  <c r="F405" i="4" s="1"/>
  <c r="G405" i="4" s="1"/>
  <c r="J471" i="3"/>
  <c r="Q471" i="3" s="1"/>
  <c r="K471" i="3" s="1"/>
  <c r="F404" i="4" s="1"/>
  <c r="G404" i="4" s="1"/>
  <c r="J470" i="3"/>
  <c r="Q470" i="3" s="1"/>
  <c r="K470" i="3" s="1"/>
  <c r="F403" i="4" s="1"/>
  <c r="G403" i="4" s="1"/>
  <c r="J469" i="3"/>
  <c r="Q469" i="3" s="1"/>
  <c r="K469" i="3" s="1"/>
  <c r="F402" i="4" s="1"/>
  <c r="G402" i="4" s="1"/>
  <c r="J468" i="3"/>
  <c r="Q468" i="3" s="1"/>
  <c r="K468" i="3" s="1"/>
  <c r="F401" i="4" s="1"/>
  <c r="G401" i="4" s="1"/>
  <c r="J467" i="3"/>
  <c r="Q467" i="3" s="1"/>
  <c r="K467" i="3" s="1"/>
  <c r="F400" i="4" s="1"/>
  <c r="G400" i="4" s="1"/>
  <c r="J466" i="3"/>
  <c r="Q466" i="3" s="1"/>
  <c r="K466" i="3" s="1"/>
  <c r="F399" i="4" s="1"/>
  <c r="G399" i="4" s="1"/>
  <c r="J465" i="3"/>
  <c r="Q465" i="3" s="1"/>
  <c r="K465" i="3" s="1"/>
  <c r="F398" i="4" s="1"/>
  <c r="G398" i="4" s="1"/>
  <c r="J464" i="3"/>
  <c r="Q464" i="3" s="1"/>
  <c r="K464" i="3" s="1"/>
  <c r="F397" i="4" s="1"/>
  <c r="G397" i="4" s="1"/>
  <c r="J463" i="3"/>
  <c r="Q463" i="3" s="1"/>
  <c r="K463" i="3" s="1"/>
  <c r="F396" i="4" s="1"/>
  <c r="G396" i="4" s="1"/>
  <c r="J462" i="3"/>
  <c r="Q462" i="3" s="1"/>
  <c r="K462" i="3" s="1"/>
  <c r="F395" i="4" s="1"/>
  <c r="G395" i="4" s="1"/>
  <c r="Q461" i="3"/>
  <c r="K461" i="3" s="1"/>
  <c r="F394" i="4" s="1"/>
  <c r="G394" i="4" s="1"/>
  <c r="J461" i="3"/>
  <c r="Q460" i="3"/>
  <c r="K460" i="3" s="1"/>
  <c r="J460" i="3"/>
  <c r="P459" i="3"/>
  <c r="I459" i="3"/>
  <c r="J459" i="3" s="1"/>
  <c r="Q459" i="3" s="1"/>
  <c r="K459" i="3" s="1"/>
  <c r="J458" i="3"/>
  <c r="Q458" i="3" s="1"/>
  <c r="K458" i="3" s="1"/>
  <c r="F392" i="4" s="1"/>
  <c r="G392" i="4" s="1"/>
  <c r="J457" i="3"/>
  <c r="Q457" i="3" s="1"/>
  <c r="K457" i="3" s="1"/>
  <c r="F391" i="4" s="1"/>
  <c r="G391" i="4" s="1"/>
  <c r="J456" i="3"/>
  <c r="Q456" i="3" s="1"/>
  <c r="K456" i="3" s="1"/>
  <c r="F390" i="4" s="1"/>
  <c r="G390" i="4" s="1"/>
  <c r="J455" i="3"/>
  <c r="Q455" i="3" s="1"/>
  <c r="K455" i="3" s="1"/>
  <c r="F389" i="4" s="1"/>
  <c r="G389" i="4" s="1"/>
  <c r="J454" i="3"/>
  <c r="Q454" i="3" s="1"/>
  <c r="K454" i="3" s="1"/>
  <c r="F388" i="4" s="1"/>
  <c r="G388" i="4" s="1"/>
  <c r="K453" i="3"/>
  <c r="F387" i="4" s="1"/>
  <c r="G387" i="4" s="1"/>
  <c r="J453" i="3"/>
  <c r="Q453" i="3" s="1"/>
  <c r="J452" i="3"/>
  <c r="Q452" i="3" s="1"/>
  <c r="K452" i="3" s="1"/>
  <c r="F386" i="4" s="1"/>
  <c r="G386" i="4" s="1"/>
  <c r="P451" i="3"/>
  <c r="I451" i="3"/>
  <c r="J451" i="3" s="1"/>
  <c r="Q451" i="3" s="1"/>
  <c r="K451" i="3" s="1"/>
  <c r="J450" i="3"/>
  <c r="Q450" i="3" s="1"/>
  <c r="K450" i="3" s="1"/>
  <c r="P449" i="3"/>
  <c r="J449" i="3"/>
  <c r="Q449" i="3" s="1"/>
  <c r="K449" i="3" s="1"/>
  <c r="I449" i="3"/>
  <c r="J448" i="3"/>
  <c r="Q448" i="3" s="1"/>
  <c r="K448" i="3" s="1"/>
  <c r="F384" i="4" s="1"/>
  <c r="G384" i="4" s="1"/>
  <c r="J447" i="3"/>
  <c r="Q447" i="3" s="1"/>
  <c r="K447" i="3" s="1"/>
  <c r="F383" i="4" s="1"/>
  <c r="G383" i="4" s="1"/>
  <c r="J446" i="3"/>
  <c r="Q446" i="3" s="1"/>
  <c r="K446" i="3" s="1"/>
  <c r="F382" i="4" s="1"/>
  <c r="G382" i="4" s="1"/>
  <c r="J445" i="3"/>
  <c r="Q445" i="3" s="1"/>
  <c r="K445" i="3" s="1"/>
  <c r="F381" i="4" s="1"/>
  <c r="G381" i="4" s="1"/>
  <c r="J444" i="3"/>
  <c r="Q444" i="3" s="1"/>
  <c r="K444" i="3" s="1"/>
  <c r="F380" i="4" s="1"/>
  <c r="G380" i="4" s="1"/>
  <c r="J443" i="3"/>
  <c r="Q443" i="3" s="1"/>
  <c r="K443" i="3" s="1"/>
  <c r="F379" i="4" s="1"/>
  <c r="G379" i="4" s="1"/>
  <c r="J442" i="3"/>
  <c r="Q442" i="3" s="1"/>
  <c r="K442" i="3" s="1"/>
  <c r="F378" i="4" s="1"/>
  <c r="G378" i="4" s="1"/>
  <c r="J441" i="3"/>
  <c r="Q441" i="3" s="1"/>
  <c r="K441" i="3" s="1"/>
  <c r="J440" i="3"/>
  <c r="Q440" i="3" s="1"/>
  <c r="K440" i="3" s="1"/>
  <c r="J439" i="3"/>
  <c r="Q439" i="3" s="1"/>
  <c r="K439" i="3" s="1"/>
  <c r="J438" i="3"/>
  <c r="Q438" i="3" s="1"/>
  <c r="K438" i="3" s="1"/>
  <c r="J437" i="3"/>
  <c r="Q437" i="3" s="1"/>
  <c r="K437" i="3" s="1"/>
  <c r="F375" i="4" s="1"/>
  <c r="G375" i="4" s="1"/>
  <c r="K436" i="3"/>
  <c r="F374" i="4" s="1"/>
  <c r="G374" i="4" s="1"/>
  <c r="J436" i="3"/>
  <c r="Q436" i="3" s="1"/>
  <c r="Q435" i="3"/>
  <c r="K435" i="3" s="1"/>
  <c r="F373" i="4" s="1"/>
  <c r="G373" i="4" s="1"/>
  <c r="J435" i="3"/>
  <c r="Q434" i="3"/>
  <c r="K434" i="3" s="1"/>
  <c r="F372" i="4" s="1"/>
  <c r="G372" i="4" s="1"/>
  <c r="J434" i="3"/>
  <c r="Q433" i="3"/>
  <c r="K433" i="3" s="1"/>
  <c r="F371" i="4" s="1"/>
  <c r="G371" i="4" s="1"/>
  <c r="P433" i="3"/>
  <c r="I433" i="3"/>
  <c r="J433" i="3" s="1"/>
  <c r="Q432" i="3"/>
  <c r="K432" i="3" s="1"/>
  <c r="F370" i="4" s="1"/>
  <c r="G370" i="4" s="1"/>
  <c r="J432" i="3"/>
  <c r="Q431" i="3"/>
  <c r="K431" i="3" s="1"/>
  <c r="F369" i="4" s="1"/>
  <c r="G369" i="4" s="1"/>
  <c r="J431" i="3"/>
  <c r="J430" i="3"/>
  <c r="Q430" i="3" s="1"/>
  <c r="K430" i="3" s="1"/>
  <c r="J429" i="3"/>
  <c r="Q429" i="3" s="1"/>
  <c r="K429" i="3" s="1"/>
  <c r="J428" i="3"/>
  <c r="Q428" i="3" s="1"/>
  <c r="K428" i="3" s="1"/>
  <c r="F367" i="4" s="1"/>
  <c r="G367" i="4" s="1"/>
  <c r="J427" i="3"/>
  <c r="Q427" i="3" s="1"/>
  <c r="K427" i="3" s="1"/>
  <c r="F366" i="4" s="1"/>
  <c r="G366" i="4" s="1"/>
  <c r="J426" i="3"/>
  <c r="Q426" i="3" s="1"/>
  <c r="K426" i="3" s="1"/>
  <c r="F365" i="4" s="1"/>
  <c r="G365" i="4" s="1"/>
  <c r="P425" i="3"/>
  <c r="J425" i="3"/>
  <c r="Q425" i="3" s="1"/>
  <c r="K425" i="3" s="1"/>
  <c r="I425" i="3"/>
  <c r="Q424" i="3"/>
  <c r="K424" i="3" s="1"/>
  <c r="F364" i="4" s="1"/>
  <c r="G364" i="4" s="1"/>
  <c r="P424" i="3"/>
  <c r="J424" i="3"/>
  <c r="I424" i="3"/>
  <c r="J423" i="3"/>
  <c r="Q423" i="3" s="1"/>
  <c r="K423" i="3" s="1"/>
  <c r="Q422" i="3"/>
  <c r="K422" i="3" s="1"/>
  <c r="J422" i="3"/>
  <c r="J421" i="3"/>
  <c r="Q421" i="3" s="1"/>
  <c r="K421" i="3" s="1"/>
  <c r="F362" i="4" s="1"/>
  <c r="G362" i="4" s="1"/>
  <c r="J420" i="3"/>
  <c r="Q420" i="3" s="1"/>
  <c r="K420" i="3" s="1"/>
  <c r="F361" i="4" s="1"/>
  <c r="G361" i="4" s="1"/>
  <c r="J419" i="3"/>
  <c r="Q419" i="3" s="1"/>
  <c r="K419" i="3" s="1"/>
  <c r="F360" i="4" s="1"/>
  <c r="G360" i="4" s="1"/>
  <c r="J418" i="3"/>
  <c r="Q418" i="3" s="1"/>
  <c r="K418" i="3" s="1"/>
  <c r="F359" i="4" s="1"/>
  <c r="G359" i="4" s="1"/>
  <c r="J417" i="3"/>
  <c r="Q417" i="3" s="1"/>
  <c r="K417" i="3" s="1"/>
  <c r="F358" i="4" s="1"/>
  <c r="G358" i="4" s="1"/>
  <c r="J416" i="3"/>
  <c r="Q416" i="3" s="1"/>
  <c r="K416" i="3" s="1"/>
  <c r="F357" i="4" s="1"/>
  <c r="G357" i="4" s="1"/>
  <c r="P415" i="3"/>
  <c r="J415" i="3"/>
  <c r="Q415" i="3" s="1"/>
  <c r="K415" i="3" s="1"/>
  <c r="I415" i="3"/>
  <c r="P414" i="3"/>
  <c r="I414" i="3"/>
  <c r="J414" i="3" s="1"/>
  <c r="Q414" i="3" s="1"/>
  <c r="K414" i="3" s="1"/>
  <c r="P413" i="3"/>
  <c r="J413" i="3"/>
  <c r="Q413" i="3" s="1"/>
  <c r="K413" i="3" s="1"/>
  <c r="I413" i="3"/>
  <c r="J412" i="3"/>
  <c r="Q412" i="3" s="1"/>
  <c r="K412" i="3" s="1"/>
  <c r="F355" i="4" s="1"/>
  <c r="G355" i="4" s="1"/>
  <c r="J411" i="3"/>
  <c r="Q411" i="3" s="1"/>
  <c r="K411" i="3" s="1"/>
  <c r="F354" i="4" s="1"/>
  <c r="G354" i="4" s="1"/>
  <c r="J410" i="3"/>
  <c r="Q410" i="3" s="1"/>
  <c r="K410" i="3" s="1"/>
  <c r="J409" i="3"/>
  <c r="Q409" i="3" s="1"/>
  <c r="K409" i="3" s="1"/>
  <c r="P408" i="3"/>
  <c r="J408" i="3"/>
  <c r="Q408" i="3" s="1"/>
  <c r="K408" i="3" s="1"/>
  <c r="I408" i="3"/>
  <c r="P407" i="3"/>
  <c r="J407" i="3"/>
  <c r="Q407" i="3" s="1"/>
  <c r="K407" i="3" s="1"/>
  <c r="F352" i="4" s="1"/>
  <c r="G352" i="4" s="1"/>
  <c r="I407" i="3"/>
  <c r="J406" i="3"/>
  <c r="Q406" i="3" s="1"/>
  <c r="K406" i="3" s="1"/>
  <c r="F351" i="4" s="1"/>
  <c r="G351" i="4" s="1"/>
  <c r="J405" i="3"/>
  <c r="Q405" i="3" s="1"/>
  <c r="K405" i="3" s="1"/>
  <c r="F350" i="4" s="1"/>
  <c r="G350" i="4" s="1"/>
  <c r="K404" i="3"/>
  <c r="J404" i="3"/>
  <c r="Q404" i="3" s="1"/>
  <c r="Q403" i="3"/>
  <c r="K403" i="3" s="1"/>
  <c r="J403" i="3"/>
  <c r="J402" i="3"/>
  <c r="Q402" i="3" s="1"/>
  <c r="K402" i="3" s="1"/>
  <c r="F348" i="4" s="1"/>
  <c r="G348" i="4" s="1"/>
  <c r="J401" i="3"/>
  <c r="Q401" i="3" s="1"/>
  <c r="K401" i="3" s="1"/>
  <c r="F347" i="4" s="1"/>
  <c r="G347" i="4" s="1"/>
  <c r="K400" i="3"/>
  <c r="F346" i="4" s="1"/>
  <c r="G346" i="4" s="1"/>
  <c r="J400" i="3"/>
  <c r="Q400" i="3" s="1"/>
  <c r="G10" i="5" s="1"/>
  <c r="I10" i="5" s="1"/>
  <c r="J399" i="3"/>
  <c r="Q399" i="3" s="1"/>
  <c r="K399" i="3" s="1"/>
  <c r="F345" i="4" s="1"/>
  <c r="G345" i="4" s="1"/>
  <c r="P398" i="3"/>
  <c r="I398" i="3"/>
  <c r="J398" i="3" s="1"/>
  <c r="Q398" i="3" s="1"/>
  <c r="K398" i="3" s="1"/>
  <c r="F344" i="4" s="1"/>
  <c r="G344" i="4" s="1"/>
  <c r="J397" i="3"/>
  <c r="Q397" i="3" s="1"/>
  <c r="K397" i="3" s="1"/>
  <c r="F343" i="4" s="1"/>
  <c r="G343" i="4" s="1"/>
  <c r="Q396" i="3"/>
  <c r="K396" i="3" s="1"/>
  <c r="F342" i="4" s="1"/>
  <c r="G342" i="4" s="1"/>
  <c r="J396" i="3"/>
  <c r="J395" i="3"/>
  <c r="Q395" i="3" s="1"/>
  <c r="K395" i="3" s="1"/>
  <c r="J394" i="3"/>
  <c r="Q394" i="3" s="1"/>
  <c r="K394" i="3" s="1"/>
  <c r="J393" i="3"/>
  <c r="Q393" i="3" s="1"/>
  <c r="K393" i="3" s="1"/>
  <c r="F340" i="4" s="1"/>
  <c r="G340" i="4" s="1"/>
  <c r="J392" i="3"/>
  <c r="Q392" i="3" s="1"/>
  <c r="K392" i="3" s="1"/>
  <c r="F339" i="4" s="1"/>
  <c r="G339" i="4" s="1"/>
  <c r="Q391" i="3"/>
  <c r="K391" i="3" s="1"/>
  <c r="F338" i="4" s="1"/>
  <c r="G338" i="4" s="1"/>
  <c r="J391" i="3"/>
  <c r="J390" i="3"/>
  <c r="Q390" i="3" s="1"/>
  <c r="K390" i="3" s="1"/>
  <c r="F337" i="4" s="1"/>
  <c r="G337" i="4" s="1"/>
  <c r="J389" i="3"/>
  <c r="Q389" i="3" s="1"/>
  <c r="K389" i="3" s="1"/>
  <c r="F336" i="4" s="1"/>
  <c r="G336" i="4" s="1"/>
  <c r="Q388" i="3"/>
  <c r="K388" i="3" s="1"/>
  <c r="F335" i="4" s="1"/>
  <c r="G335" i="4" s="1"/>
  <c r="J388" i="3"/>
  <c r="J387" i="3"/>
  <c r="Q387" i="3" s="1"/>
  <c r="K387" i="3" s="1"/>
  <c r="J386" i="3"/>
  <c r="Q386" i="3" s="1"/>
  <c r="K386" i="3" s="1"/>
  <c r="J385" i="3"/>
  <c r="Q385" i="3" s="1"/>
  <c r="K385" i="3" s="1"/>
  <c r="F333" i="4" s="1"/>
  <c r="G333" i="4" s="1"/>
  <c r="J384" i="3"/>
  <c r="Q384" i="3" s="1"/>
  <c r="K384" i="3" s="1"/>
  <c r="F332" i="4" s="1"/>
  <c r="G332" i="4" s="1"/>
  <c r="J383" i="3"/>
  <c r="Q383" i="3" s="1"/>
  <c r="K383" i="3" s="1"/>
  <c r="F331" i="4" s="1"/>
  <c r="G331" i="4" s="1"/>
  <c r="J382" i="3"/>
  <c r="Q382" i="3" s="1"/>
  <c r="K382" i="3" s="1"/>
  <c r="F330" i="4" s="1"/>
  <c r="G330" i="4" s="1"/>
  <c r="P381" i="3"/>
  <c r="J381" i="3"/>
  <c r="Q381" i="3" s="1"/>
  <c r="K381" i="3" s="1"/>
  <c r="F329" i="4" s="1"/>
  <c r="G329" i="4" s="1"/>
  <c r="I381" i="3"/>
  <c r="J380" i="3"/>
  <c r="Q380" i="3" s="1"/>
  <c r="K380" i="3" s="1"/>
  <c r="F328" i="4" s="1"/>
  <c r="G328" i="4" s="1"/>
  <c r="J379" i="3"/>
  <c r="Q379" i="3" s="1"/>
  <c r="K379" i="3" s="1"/>
  <c r="F327" i="4" s="1"/>
  <c r="G327" i="4" s="1"/>
  <c r="Q378" i="3"/>
  <c r="K378" i="3" s="1"/>
  <c r="F326" i="4" s="1"/>
  <c r="G326" i="4" s="1"/>
  <c r="J378" i="3"/>
  <c r="J377" i="3"/>
  <c r="Q377" i="3" s="1"/>
  <c r="K377" i="3" s="1"/>
  <c r="F325" i="4" s="1"/>
  <c r="G325" i="4" s="1"/>
  <c r="J376" i="3"/>
  <c r="Q376" i="3" s="1"/>
  <c r="K376" i="3" s="1"/>
  <c r="F324" i="4" s="1"/>
  <c r="G324" i="4" s="1"/>
  <c r="Q375" i="3"/>
  <c r="K375" i="3" s="1"/>
  <c r="F323" i="4" s="1"/>
  <c r="G323" i="4" s="1"/>
  <c r="J375" i="3"/>
  <c r="J374" i="3"/>
  <c r="Q374" i="3" s="1"/>
  <c r="K374" i="3" s="1"/>
  <c r="F322" i="4" s="1"/>
  <c r="G322" i="4" s="1"/>
  <c r="J373" i="3"/>
  <c r="Q373" i="3" s="1"/>
  <c r="K373" i="3" s="1"/>
  <c r="F321" i="4" s="1"/>
  <c r="G321" i="4" s="1"/>
  <c r="J372" i="3"/>
  <c r="Q372" i="3" s="1"/>
  <c r="K372" i="3" s="1"/>
  <c r="J371" i="3"/>
  <c r="Q371" i="3" s="1"/>
  <c r="K371" i="3" s="1"/>
  <c r="J370" i="3"/>
  <c r="Q370" i="3" s="1"/>
  <c r="K370" i="3" s="1"/>
  <c r="F319" i="4" s="1"/>
  <c r="G319" i="4" s="1"/>
  <c r="Q369" i="3"/>
  <c r="K369" i="3" s="1"/>
  <c r="F318" i="4" s="1"/>
  <c r="G318" i="4" s="1"/>
  <c r="J369" i="3"/>
  <c r="J368" i="3"/>
  <c r="Q368" i="3" s="1"/>
  <c r="K368" i="3" s="1"/>
  <c r="F317" i="4" s="1"/>
  <c r="G317" i="4" s="1"/>
  <c r="J367" i="3"/>
  <c r="Q367" i="3" s="1"/>
  <c r="K367" i="3" s="1"/>
  <c r="F316" i="4" s="1"/>
  <c r="G316" i="4" s="1"/>
  <c r="P366" i="3"/>
  <c r="J366" i="3"/>
  <c r="Q366" i="3" s="1"/>
  <c r="K366" i="3" s="1"/>
  <c r="F315" i="4" s="1"/>
  <c r="G315" i="4" s="1"/>
  <c r="I366" i="3"/>
  <c r="J365" i="3"/>
  <c r="Q365" i="3" s="1"/>
  <c r="K365" i="3" s="1"/>
  <c r="F314" i="4" s="1"/>
  <c r="G314" i="4" s="1"/>
  <c r="Q364" i="3"/>
  <c r="K364" i="3" s="1"/>
  <c r="F313" i="4" s="1"/>
  <c r="G313" i="4" s="1"/>
  <c r="J364" i="3"/>
  <c r="J363" i="3"/>
  <c r="Q363" i="3" s="1"/>
  <c r="K363" i="3" s="1"/>
  <c r="F312" i="4" s="1"/>
  <c r="G312" i="4" s="1"/>
  <c r="P362" i="3"/>
  <c r="I362" i="3"/>
  <c r="J362" i="3" s="1"/>
  <c r="Q362" i="3" s="1"/>
  <c r="K362" i="3" s="1"/>
  <c r="P361" i="3"/>
  <c r="K361" i="3"/>
  <c r="I361" i="3"/>
  <c r="J361" i="3" s="1"/>
  <c r="Q361" i="3" s="1"/>
  <c r="P360" i="3"/>
  <c r="J360" i="3"/>
  <c r="Q360" i="3" s="1"/>
  <c r="K360" i="3" s="1"/>
  <c r="I360" i="3"/>
  <c r="J359" i="3"/>
  <c r="Q359" i="3" s="1"/>
  <c r="K359" i="3" s="1"/>
  <c r="F310" i="4" s="1"/>
  <c r="G310" i="4" s="1"/>
  <c r="J358" i="3"/>
  <c r="Q358" i="3" s="1"/>
  <c r="K358" i="3" s="1"/>
  <c r="P357" i="3"/>
  <c r="I357" i="3"/>
  <c r="J357" i="3" s="1"/>
  <c r="Q357" i="3" s="1"/>
  <c r="K357" i="3" s="1"/>
  <c r="P356" i="3"/>
  <c r="I356" i="3"/>
  <c r="J356" i="3" s="1"/>
  <c r="Q356" i="3" s="1"/>
  <c r="K356" i="3" s="1"/>
  <c r="J355" i="3"/>
  <c r="Q355" i="3" s="1"/>
  <c r="K355" i="3" s="1"/>
  <c r="P354" i="3"/>
  <c r="I354" i="3"/>
  <c r="J354" i="3" s="1"/>
  <c r="Q354" i="3" s="1"/>
  <c r="K354" i="3" s="1"/>
  <c r="F308" i="4" s="1"/>
  <c r="G308" i="4" s="1"/>
  <c r="Q353" i="3"/>
  <c r="K353" i="3" s="1"/>
  <c r="F307" i="4" s="1"/>
  <c r="G307" i="4" s="1"/>
  <c r="J353" i="3"/>
  <c r="J352" i="3"/>
  <c r="Q352" i="3" s="1"/>
  <c r="K352" i="3" s="1"/>
  <c r="F306" i="4" s="1"/>
  <c r="G306" i="4" s="1"/>
  <c r="J351" i="3"/>
  <c r="Q351" i="3" s="1"/>
  <c r="K351" i="3" s="1"/>
  <c r="F305" i="4" s="1"/>
  <c r="G305" i="4" s="1"/>
  <c r="J350" i="3"/>
  <c r="Q350" i="3" s="1"/>
  <c r="K350" i="3" s="1"/>
  <c r="F304" i="4" s="1"/>
  <c r="G304" i="4" s="1"/>
  <c r="J349" i="3"/>
  <c r="Q349" i="3" s="1"/>
  <c r="K349" i="3" s="1"/>
  <c r="F303" i="4" s="1"/>
  <c r="G303" i="4" s="1"/>
  <c r="J348" i="3"/>
  <c r="Q348" i="3" s="1"/>
  <c r="K348" i="3" s="1"/>
  <c r="J347" i="3"/>
  <c r="Q347" i="3" s="1"/>
  <c r="K347" i="3" s="1"/>
  <c r="J346" i="3"/>
  <c r="Q346" i="3" s="1"/>
  <c r="K346" i="3" s="1"/>
  <c r="F301" i="4" s="1"/>
  <c r="G301" i="4" s="1"/>
  <c r="J345" i="3"/>
  <c r="Q345" i="3" s="1"/>
  <c r="K345" i="3" s="1"/>
  <c r="F300" i="4" s="1"/>
  <c r="G300" i="4" s="1"/>
  <c r="Q344" i="3"/>
  <c r="K344" i="3" s="1"/>
  <c r="F299" i="4" s="1"/>
  <c r="G299" i="4" s="1"/>
  <c r="J344" i="3"/>
  <c r="J343" i="3"/>
  <c r="Q343" i="3" s="1"/>
  <c r="K343" i="3" s="1"/>
  <c r="F298" i="4" s="1"/>
  <c r="G298" i="4" s="1"/>
  <c r="J342" i="3"/>
  <c r="Q342" i="3" s="1"/>
  <c r="K342" i="3" s="1"/>
  <c r="F297" i="4" s="1"/>
  <c r="G297" i="4" s="1"/>
  <c r="J341" i="3"/>
  <c r="Q341" i="3" s="1"/>
  <c r="K341" i="3" s="1"/>
  <c r="F296" i="4" s="1"/>
  <c r="G296" i="4" s="1"/>
  <c r="J340" i="3"/>
  <c r="Q340" i="3" s="1"/>
  <c r="K340" i="3" s="1"/>
  <c r="F295" i="4" s="1"/>
  <c r="G295" i="4" s="1"/>
  <c r="J339" i="3"/>
  <c r="Q339" i="3" s="1"/>
  <c r="K339" i="3" s="1"/>
  <c r="F294" i="4" s="1"/>
  <c r="G294" i="4" s="1"/>
  <c r="J338" i="3"/>
  <c r="Q338" i="3" s="1"/>
  <c r="K338" i="3" s="1"/>
  <c r="F293" i="4" s="1"/>
  <c r="G293" i="4" s="1"/>
  <c r="J337" i="3"/>
  <c r="Q337" i="3" s="1"/>
  <c r="K337" i="3" s="1"/>
  <c r="F292" i="4" s="1"/>
  <c r="G292" i="4" s="1"/>
  <c r="J336" i="3"/>
  <c r="Q336" i="3" s="1"/>
  <c r="K336" i="3" s="1"/>
  <c r="F291" i="4" s="1"/>
  <c r="G291" i="4" s="1"/>
  <c r="J335" i="3"/>
  <c r="Q335" i="3" s="1"/>
  <c r="K335" i="3" s="1"/>
  <c r="F290" i="4" s="1"/>
  <c r="G290" i="4" s="1"/>
  <c r="J334" i="3"/>
  <c r="Q334" i="3" s="1"/>
  <c r="K334" i="3" s="1"/>
  <c r="Q333" i="3"/>
  <c r="K333" i="3" s="1"/>
  <c r="J333" i="3"/>
  <c r="J332" i="3"/>
  <c r="Q332" i="3" s="1"/>
  <c r="K332" i="3" s="1"/>
  <c r="F288" i="4" s="1"/>
  <c r="G288" i="4" s="1"/>
  <c r="J331" i="3"/>
  <c r="Q331" i="3" s="1"/>
  <c r="K331" i="3" s="1"/>
  <c r="F287" i="4" s="1"/>
  <c r="G287" i="4" s="1"/>
  <c r="J330" i="3"/>
  <c r="Q330" i="3" s="1"/>
  <c r="K330" i="3" s="1"/>
  <c r="F286" i="4" s="1"/>
  <c r="G286" i="4" s="1"/>
  <c r="J329" i="3"/>
  <c r="Q329" i="3" s="1"/>
  <c r="K329" i="3" s="1"/>
  <c r="F285" i="4" s="1"/>
  <c r="G285" i="4" s="1"/>
  <c r="J328" i="3"/>
  <c r="Q328" i="3" s="1"/>
  <c r="K328" i="3" s="1"/>
  <c r="F284" i="4" s="1"/>
  <c r="G284" i="4" s="1"/>
  <c r="J327" i="3"/>
  <c r="Q327" i="3" s="1"/>
  <c r="K327" i="3" s="1"/>
  <c r="F283" i="4" s="1"/>
  <c r="G283" i="4" s="1"/>
  <c r="J326" i="3"/>
  <c r="Q326" i="3" s="1"/>
  <c r="K326" i="3" s="1"/>
  <c r="F282" i="4" s="1"/>
  <c r="G282" i="4" s="1"/>
  <c r="J325" i="3"/>
  <c r="Q325" i="3" s="1"/>
  <c r="K325" i="3" s="1"/>
  <c r="F281" i="4" s="1"/>
  <c r="G281" i="4" s="1"/>
  <c r="J324" i="3"/>
  <c r="Q324" i="3" s="1"/>
  <c r="K324" i="3" s="1"/>
  <c r="F280" i="4" s="1"/>
  <c r="G280" i="4" s="1"/>
  <c r="J323" i="3"/>
  <c r="Q323" i="3" s="1"/>
  <c r="K323" i="3" s="1"/>
  <c r="F279" i="4" s="1"/>
  <c r="G279" i="4" s="1"/>
  <c r="P322" i="3"/>
  <c r="J322" i="3"/>
  <c r="Q322" i="3" s="1"/>
  <c r="K322" i="3" s="1"/>
  <c r="I322" i="3"/>
  <c r="P321" i="3"/>
  <c r="J321" i="3"/>
  <c r="Q321" i="3" s="1"/>
  <c r="K321" i="3" s="1"/>
  <c r="I321" i="3"/>
  <c r="P320" i="3"/>
  <c r="I320" i="3"/>
  <c r="J320" i="3" s="1"/>
  <c r="Q320" i="3" s="1"/>
  <c r="K320" i="3" s="1"/>
  <c r="J319" i="3"/>
  <c r="Q319" i="3" s="1"/>
  <c r="K319" i="3" s="1"/>
  <c r="P318" i="3"/>
  <c r="I318" i="3"/>
  <c r="J318" i="3" s="1"/>
  <c r="Q318" i="3" s="1"/>
  <c r="K318" i="3" s="1"/>
  <c r="P317" i="3"/>
  <c r="I317" i="3"/>
  <c r="J317" i="3" s="1"/>
  <c r="Q317" i="3" s="1"/>
  <c r="J316" i="3"/>
  <c r="Q316" i="3" s="1"/>
  <c r="K316" i="3" s="1"/>
  <c r="F276" i="4" s="1"/>
  <c r="G276" i="4" s="1"/>
  <c r="J315" i="3"/>
  <c r="Q315" i="3" s="1"/>
  <c r="K315" i="3" s="1"/>
  <c r="F275" i="4" s="1"/>
  <c r="G275" i="4" s="1"/>
  <c r="J314" i="3"/>
  <c r="Q314" i="3" s="1"/>
  <c r="K314" i="3" s="1"/>
  <c r="J313" i="3"/>
  <c r="Q313" i="3" s="1"/>
  <c r="K313" i="3" s="1"/>
  <c r="J312" i="3"/>
  <c r="Q312" i="3" s="1"/>
  <c r="K312" i="3" s="1"/>
  <c r="F273" i="4" s="1"/>
  <c r="G273" i="4" s="1"/>
  <c r="J311" i="3"/>
  <c r="Q311" i="3" s="1"/>
  <c r="K311" i="3" s="1"/>
  <c r="F272" i="4" s="1"/>
  <c r="G272" i="4" s="1"/>
  <c r="P310" i="3"/>
  <c r="I310" i="3"/>
  <c r="J310" i="3" s="1"/>
  <c r="Q310" i="3" s="1"/>
  <c r="K310" i="3" s="1"/>
  <c r="J309" i="3"/>
  <c r="Q309" i="3" s="1"/>
  <c r="K309" i="3" s="1"/>
  <c r="Q308" i="3"/>
  <c r="K308" i="3" s="1"/>
  <c r="J308" i="3"/>
  <c r="K307" i="3"/>
  <c r="J307" i="3"/>
  <c r="Q307" i="3" s="1"/>
  <c r="Q306" i="3"/>
  <c r="K306" i="3" s="1"/>
  <c r="J306" i="3"/>
  <c r="Q305" i="3"/>
  <c r="K305" i="3" s="1"/>
  <c r="F270" i="4" s="1"/>
  <c r="G270" i="4" s="1"/>
  <c r="J305" i="3"/>
  <c r="J304" i="3"/>
  <c r="Q304" i="3" s="1"/>
  <c r="K304" i="3" s="1"/>
  <c r="F269" i="4" s="1"/>
  <c r="G269" i="4" s="1"/>
  <c r="J303" i="3"/>
  <c r="Q303" i="3" s="1"/>
  <c r="K303" i="3" s="1"/>
  <c r="F268" i="4" s="1"/>
  <c r="G268" i="4" s="1"/>
  <c r="J302" i="3"/>
  <c r="Q302" i="3" s="1"/>
  <c r="K302" i="3" s="1"/>
  <c r="F267" i="4" s="1"/>
  <c r="G267" i="4" s="1"/>
  <c r="J301" i="3"/>
  <c r="Q301" i="3" s="1"/>
  <c r="K301" i="3" s="1"/>
  <c r="F266" i="4" s="1"/>
  <c r="G266" i="4" s="1"/>
  <c r="J300" i="3"/>
  <c r="Q300" i="3" s="1"/>
  <c r="K300" i="3" s="1"/>
  <c r="F265" i="4" s="1"/>
  <c r="G265" i="4" s="1"/>
  <c r="K299" i="3"/>
  <c r="F264" i="4" s="1"/>
  <c r="G264" i="4" s="1"/>
  <c r="J299" i="3"/>
  <c r="Q299" i="3" s="1"/>
  <c r="Q298" i="3"/>
  <c r="K298" i="3" s="1"/>
  <c r="F263" i="4" s="1"/>
  <c r="G263" i="4" s="1"/>
  <c r="J298" i="3"/>
  <c r="Q297" i="3"/>
  <c r="K297" i="3" s="1"/>
  <c r="F262" i="4" s="1"/>
  <c r="G262" i="4" s="1"/>
  <c r="J297" i="3"/>
  <c r="J296" i="3"/>
  <c r="Q296" i="3" s="1"/>
  <c r="K296" i="3" s="1"/>
  <c r="F261" i="4" s="1"/>
  <c r="G261" i="4" s="1"/>
  <c r="J295" i="3"/>
  <c r="Q295" i="3" s="1"/>
  <c r="K295" i="3" s="1"/>
  <c r="F260" i="4" s="1"/>
  <c r="G260" i="4" s="1"/>
  <c r="J294" i="3"/>
  <c r="Q294" i="3" s="1"/>
  <c r="K294" i="3" s="1"/>
  <c r="F259" i="4" s="1"/>
  <c r="G259" i="4" s="1"/>
  <c r="J293" i="3"/>
  <c r="Q293" i="3" s="1"/>
  <c r="K293" i="3" s="1"/>
  <c r="Q292" i="3"/>
  <c r="K292" i="3" s="1"/>
  <c r="J292" i="3"/>
  <c r="P291" i="3"/>
  <c r="J291" i="3"/>
  <c r="Q291" i="3" s="1"/>
  <c r="K291" i="3" s="1"/>
  <c r="F257" i="4" s="1"/>
  <c r="G257" i="4" s="1"/>
  <c r="I291" i="3"/>
  <c r="J290" i="3"/>
  <c r="Q290" i="3" s="1"/>
  <c r="K290" i="3" s="1"/>
  <c r="J289" i="3"/>
  <c r="Q289" i="3" s="1"/>
  <c r="K289" i="3" s="1"/>
  <c r="F256" i="4" s="1"/>
  <c r="G256" i="4" s="1"/>
  <c r="J288" i="3"/>
  <c r="Q288" i="3" s="1"/>
  <c r="K288" i="3" s="1"/>
  <c r="F255" i="4" s="1"/>
  <c r="G255" i="4" s="1"/>
  <c r="J287" i="3"/>
  <c r="Q287" i="3" s="1"/>
  <c r="K287" i="3" s="1"/>
  <c r="F254" i="4" s="1"/>
  <c r="G254" i="4" s="1"/>
  <c r="J286" i="3"/>
  <c r="Q286" i="3" s="1"/>
  <c r="K286" i="3" s="1"/>
  <c r="F253" i="4" s="1"/>
  <c r="G253" i="4" s="1"/>
  <c r="J285" i="3"/>
  <c r="Q285" i="3" s="1"/>
  <c r="K285" i="3" s="1"/>
  <c r="F252" i="4" s="1"/>
  <c r="G252" i="4" s="1"/>
  <c r="J284" i="3"/>
  <c r="Q284" i="3" s="1"/>
  <c r="K284" i="3" s="1"/>
  <c r="F251" i="4" s="1"/>
  <c r="G251" i="4" s="1"/>
  <c r="P283" i="3"/>
  <c r="I283" i="3"/>
  <c r="J283" i="3" s="1"/>
  <c r="Q283" i="3" s="1"/>
  <c r="K283" i="3" s="1"/>
  <c r="F250" i="4" s="1"/>
  <c r="G250" i="4" s="1"/>
  <c r="J282" i="3"/>
  <c r="Q282" i="3" s="1"/>
  <c r="K282" i="3" s="1"/>
  <c r="J281" i="3"/>
  <c r="Q281" i="3" s="1"/>
  <c r="K281" i="3" s="1"/>
  <c r="J280" i="3"/>
  <c r="Q280" i="3" s="1"/>
  <c r="K280" i="3" s="1"/>
  <c r="F248" i="4" s="1"/>
  <c r="G248" i="4" s="1"/>
  <c r="J279" i="3"/>
  <c r="Q279" i="3" s="1"/>
  <c r="K279" i="3" s="1"/>
  <c r="F247" i="4" s="1"/>
  <c r="G247" i="4" s="1"/>
  <c r="J278" i="3"/>
  <c r="Q278" i="3" s="1"/>
  <c r="K278" i="3" s="1"/>
  <c r="F246" i="4" s="1"/>
  <c r="G246" i="4" s="1"/>
  <c r="J277" i="3"/>
  <c r="Q277" i="3" s="1"/>
  <c r="K277" i="3" s="1"/>
  <c r="F245" i="4" s="1"/>
  <c r="G245" i="4" s="1"/>
  <c r="J276" i="3"/>
  <c r="Q276" i="3" s="1"/>
  <c r="K276" i="3" s="1"/>
  <c r="P275" i="3"/>
  <c r="J275" i="3"/>
  <c r="Q275" i="3" s="1"/>
  <c r="K275" i="3" s="1"/>
  <c r="I275" i="3"/>
  <c r="P274" i="3"/>
  <c r="I274" i="3"/>
  <c r="J274" i="3" s="1"/>
  <c r="Q274" i="3" s="1"/>
  <c r="K274" i="3" s="1"/>
  <c r="P273" i="3"/>
  <c r="I273" i="3"/>
  <c r="J273" i="3" s="1"/>
  <c r="Q273" i="3" s="1"/>
  <c r="K273" i="3" s="1"/>
  <c r="P272" i="3"/>
  <c r="J272" i="3"/>
  <c r="Q272" i="3" s="1"/>
  <c r="K272" i="3" s="1"/>
  <c r="I272" i="3"/>
  <c r="J271" i="3"/>
  <c r="Q271" i="3" s="1"/>
  <c r="K271" i="3" s="1"/>
  <c r="J270" i="3"/>
  <c r="Q270" i="3" s="1"/>
  <c r="K270" i="3" s="1"/>
  <c r="J269" i="3"/>
  <c r="Q269" i="3" s="1"/>
  <c r="K269" i="3" s="1"/>
  <c r="F242" i="4" s="1"/>
  <c r="G242" i="4" s="1"/>
  <c r="J268" i="3"/>
  <c r="Q268" i="3" s="1"/>
  <c r="K268" i="3" s="1"/>
  <c r="F241" i="4" s="1"/>
  <c r="G241" i="4" s="1"/>
  <c r="K267" i="3"/>
  <c r="J267" i="3"/>
  <c r="Q267" i="3" s="1"/>
  <c r="J266" i="3"/>
  <c r="Q266" i="3" s="1"/>
  <c r="K266" i="3" s="1"/>
  <c r="J265" i="3"/>
  <c r="Q265" i="3" s="1"/>
  <c r="K265" i="3" s="1"/>
  <c r="F239" i="4" s="1"/>
  <c r="G239" i="4" s="1"/>
  <c r="J264" i="3"/>
  <c r="Q264" i="3" s="1"/>
  <c r="K264" i="3" s="1"/>
  <c r="F238" i="4" s="1"/>
  <c r="G238" i="4" s="1"/>
  <c r="J263" i="3"/>
  <c r="Q263" i="3" s="1"/>
  <c r="K263" i="3" s="1"/>
  <c r="F237" i="4" s="1"/>
  <c r="G237" i="4" s="1"/>
  <c r="J262" i="3"/>
  <c r="Q262" i="3" s="1"/>
  <c r="K262" i="3" s="1"/>
  <c r="F236" i="4" s="1"/>
  <c r="G236" i="4" s="1"/>
  <c r="J261" i="3"/>
  <c r="Q261" i="3" s="1"/>
  <c r="K261" i="3" s="1"/>
  <c r="F235" i="4" s="1"/>
  <c r="G235" i="4" s="1"/>
  <c r="J260" i="3"/>
  <c r="Q260" i="3" s="1"/>
  <c r="K260" i="3" s="1"/>
  <c r="F234" i="4" s="1"/>
  <c r="G234" i="4" s="1"/>
  <c r="J259" i="3"/>
  <c r="Q259" i="3" s="1"/>
  <c r="K259" i="3" s="1"/>
  <c r="F233" i="4" s="1"/>
  <c r="G233" i="4" s="1"/>
  <c r="J258" i="3"/>
  <c r="Q258" i="3" s="1"/>
  <c r="K258" i="3" s="1"/>
  <c r="F232" i="4" s="1"/>
  <c r="G232" i="4" s="1"/>
  <c r="J257" i="3"/>
  <c r="Q257" i="3" s="1"/>
  <c r="K257" i="3" s="1"/>
  <c r="F231" i="4" s="1"/>
  <c r="G231" i="4" s="1"/>
  <c r="J256" i="3"/>
  <c r="Q256" i="3" s="1"/>
  <c r="K256" i="3" s="1"/>
  <c r="F230" i="4" s="1"/>
  <c r="G230" i="4" s="1"/>
  <c r="K255" i="3"/>
  <c r="F229" i="4" s="1"/>
  <c r="G229" i="4" s="1"/>
  <c r="J255" i="3"/>
  <c r="Q255" i="3" s="1"/>
  <c r="P254" i="3"/>
  <c r="I254" i="3"/>
  <c r="J254" i="3" s="1"/>
  <c r="Q254" i="3" s="1"/>
  <c r="K254" i="3" s="1"/>
  <c r="F228" i="4" s="1"/>
  <c r="G228" i="4" s="1"/>
  <c r="J253" i="3"/>
  <c r="Q253" i="3" s="1"/>
  <c r="K253" i="3" s="1"/>
  <c r="F227" i="4" s="1"/>
  <c r="G227" i="4" s="1"/>
  <c r="J252" i="3"/>
  <c r="Q252" i="3" s="1"/>
  <c r="K252" i="3" s="1"/>
  <c r="F226" i="4" s="1"/>
  <c r="G226" i="4" s="1"/>
  <c r="J251" i="3"/>
  <c r="Q251" i="3" s="1"/>
  <c r="K251" i="3" s="1"/>
  <c r="F225" i="4" s="1"/>
  <c r="G225" i="4" s="1"/>
  <c r="J250" i="3"/>
  <c r="Q250" i="3" s="1"/>
  <c r="K250" i="3" s="1"/>
  <c r="F224" i="4" s="1"/>
  <c r="G224" i="4" s="1"/>
  <c r="J249" i="3"/>
  <c r="Q249" i="3" s="1"/>
  <c r="K249" i="3" s="1"/>
  <c r="F223" i="4" s="1"/>
  <c r="G223" i="4" s="1"/>
  <c r="J248" i="3"/>
  <c r="Q248" i="3" s="1"/>
  <c r="K248" i="3" s="1"/>
  <c r="F222" i="4" s="1"/>
  <c r="G222" i="4" s="1"/>
  <c r="J247" i="3"/>
  <c r="Q247" i="3" s="1"/>
  <c r="K247" i="3" s="1"/>
  <c r="F221" i="4" s="1"/>
  <c r="G221" i="4" s="1"/>
  <c r="J246" i="3"/>
  <c r="Q246" i="3" s="1"/>
  <c r="K246" i="3" s="1"/>
  <c r="F220" i="4" s="1"/>
  <c r="G220" i="4" s="1"/>
  <c r="Q245" i="3"/>
  <c r="K245" i="3" s="1"/>
  <c r="F219" i="4" s="1"/>
  <c r="G219" i="4" s="1"/>
  <c r="J245" i="3"/>
  <c r="Q244" i="3"/>
  <c r="K244" i="3" s="1"/>
  <c r="J244" i="3"/>
  <c r="J243" i="3"/>
  <c r="Q243" i="3" s="1"/>
  <c r="K243" i="3" s="1"/>
  <c r="F218" i="4" s="1"/>
  <c r="G218" i="4" s="1"/>
  <c r="J242" i="3"/>
  <c r="Q242" i="3" s="1"/>
  <c r="K242" i="3" s="1"/>
  <c r="F217" i="4" s="1"/>
  <c r="G217" i="4" s="1"/>
  <c r="J241" i="3"/>
  <c r="Q241" i="3" s="1"/>
  <c r="K241" i="3" s="1"/>
  <c r="F216" i="4" s="1"/>
  <c r="G216" i="4" s="1"/>
  <c r="P240" i="3"/>
  <c r="I240" i="3"/>
  <c r="J240" i="3" s="1"/>
  <c r="Q240" i="3" s="1"/>
  <c r="K240" i="3" s="1"/>
  <c r="F215" i="4" s="1"/>
  <c r="G215" i="4" s="1"/>
  <c r="J239" i="3"/>
  <c r="Q239" i="3" s="1"/>
  <c r="K239" i="3" s="1"/>
  <c r="F214" i="4" s="1"/>
  <c r="G214" i="4" s="1"/>
  <c r="J238" i="3"/>
  <c r="Q238" i="3" s="1"/>
  <c r="K238" i="3" s="1"/>
  <c r="F213" i="4" s="1"/>
  <c r="G213" i="4" s="1"/>
  <c r="J237" i="3"/>
  <c r="Q237" i="3" s="1"/>
  <c r="K237" i="3" s="1"/>
  <c r="F212" i="4" s="1"/>
  <c r="G212" i="4" s="1"/>
  <c r="J236" i="3"/>
  <c r="Q236" i="3" s="1"/>
  <c r="K236" i="3" s="1"/>
  <c r="F211" i="4" s="1"/>
  <c r="G211" i="4" s="1"/>
  <c r="J235" i="3"/>
  <c r="Q235" i="3" s="1"/>
  <c r="K235" i="3" s="1"/>
  <c r="F210" i="4" s="1"/>
  <c r="G210" i="4" s="1"/>
  <c r="J234" i="3"/>
  <c r="Q234" i="3" s="1"/>
  <c r="K234" i="3" s="1"/>
  <c r="F209" i="4" s="1"/>
  <c r="G209" i="4" s="1"/>
  <c r="J233" i="3"/>
  <c r="Q233" i="3" s="1"/>
  <c r="K233" i="3" s="1"/>
  <c r="F208" i="4" s="1"/>
  <c r="G208" i="4" s="1"/>
  <c r="J232" i="3"/>
  <c r="Q232" i="3" s="1"/>
  <c r="K232" i="3" s="1"/>
  <c r="F207" i="4" s="1"/>
  <c r="G207" i="4" s="1"/>
  <c r="J231" i="3"/>
  <c r="Q231" i="3" s="1"/>
  <c r="K231" i="3" s="1"/>
  <c r="J230" i="3"/>
  <c r="Q230" i="3" s="1"/>
  <c r="K230" i="3" s="1"/>
  <c r="Q229" i="3"/>
  <c r="K229" i="3" s="1"/>
  <c r="F205" i="4" s="1"/>
  <c r="G205" i="4" s="1"/>
  <c r="J229" i="3"/>
  <c r="J228" i="3"/>
  <c r="Q228" i="3" s="1"/>
  <c r="K228" i="3" s="1"/>
  <c r="J227" i="3"/>
  <c r="Q227" i="3" s="1"/>
  <c r="K227" i="3" s="1"/>
  <c r="J226" i="3"/>
  <c r="Q226" i="3" s="1"/>
  <c r="K226" i="3" s="1"/>
  <c r="F203" i="4" s="1"/>
  <c r="G203" i="4" s="1"/>
  <c r="J225" i="3"/>
  <c r="Q225" i="3" s="1"/>
  <c r="K225" i="3" s="1"/>
  <c r="F202" i="4" s="1"/>
  <c r="G202" i="4" s="1"/>
  <c r="J224" i="3"/>
  <c r="Q224" i="3" s="1"/>
  <c r="K224" i="3" s="1"/>
  <c r="J223" i="3"/>
  <c r="Q223" i="3" s="1"/>
  <c r="K223" i="3" s="1"/>
  <c r="J222" i="3"/>
  <c r="Q222" i="3" s="1"/>
  <c r="K222" i="3" s="1"/>
  <c r="F200" i="4" s="1"/>
  <c r="G200" i="4" s="1"/>
  <c r="Q221" i="3"/>
  <c r="K221" i="3" s="1"/>
  <c r="F199" i="4" s="1"/>
  <c r="G199" i="4" s="1"/>
  <c r="J221" i="3"/>
  <c r="J220" i="3"/>
  <c r="Q220" i="3" s="1"/>
  <c r="K220" i="3" s="1"/>
  <c r="F198" i="4" s="1"/>
  <c r="G198" i="4" s="1"/>
  <c r="J219" i="3"/>
  <c r="Q219" i="3" s="1"/>
  <c r="K219" i="3" s="1"/>
  <c r="F197" i="4" s="1"/>
  <c r="G197" i="4" s="1"/>
  <c r="J218" i="3"/>
  <c r="Q218" i="3" s="1"/>
  <c r="K218" i="3" s="1"/>
  <c r="F196" i="4" s="1"/>
  <c r="G196" i="4" s="1"/>
  <c r="J217" i="3"/>
  <c r="Q217" i="3" s="1"/>
  <c r="K217" i="3" s="1"/>
  <c r="F195" i="4" s="1"/>
  <c r="G195" i="4" s="1"/>
  <c r="J216" i="3"/>
  <c r="Q216" i="3" s="1"/>
  <c r="K216" i="3" s="1"/>
  <c r="F194" i="4" s="1"/>
  <c r="G194" i="4" s="1"/>
  <c r="J215" i="3"/>
  <c r="Q215" i="3" s="1"/>
  <c r="K215" i="3" s="1"/>
  <c r="F193" i="4" s="1"/>
  <c r="G193" i="4" s="1"/>
  <c r="J214" i="3"/>
  <c r="Q214" i="3" s="1"/>
  <c r="K214" i="3" s="1"/>
  <c r="F192" i="4" s="1"/>
  <c r="G192" i="4" s="1"/>
  <c r="J213" i="3"/>
  <c r="Q213" i="3" s="1"/>
  <c r="K213" i="3" s="1"/>
  <c r="F191" i="4" s="1"/>
  <c r="G191" i="4" s="1"/>
  <c r="J212" i="3"/>
  <c r="Q212" i="3" s="1"/>
  <c r="K212" i="3" s="1"/>
  <c r="J211" i="3"/>
  <c r="Q211" i="3" s="1"/>
  <c r="K211" i="3" s="1"/>
  <c r="J210" i="3"/>
  <c r="Q210" i="3" s="1"/>
  <c r="K210" i="3" s="1"/>
  <c r="F189" i="4" s="1"/>
  <c r="G189" i="4" s="1"/>
  <c r="J209" i="3"/>
  <c r="Q209" i="3" s="1"/>
  <c r="K209" i="3" s="1"/>
  <c r="F188" i="4" s="1"/>
  <c r="G188" i="4" s="1"/>
  <c r="J208" i="3"/>
  <c r="Q208" i="3" s="1"/>
  <c r="K208" i="3" s="1"/>
  <c r="F187" i="4" s="1"/>
  <c r="G187" i="4" s="1"/>
  <c r="J207" i="3"/>
  <c r="Q207" i="3" s="1"/>
  <c r="K207" i="3" s="1"/>
  <c r="F186" i="4" s="1"/>
  <c r="G186" i="4" s="1"/>
  <c r="J206" i="3"/>
  <c r="Q206" i="3" s="1"/>
  <c r="K206" i="3" s="1"/>
  <c r="F185" i="4" s="1"/>
  <c r="G185" i="4" s="1"/>
  <c r="J205" i="3"/>
  <c r="Q205" i="3" s="1"/>
  <c r="K205" i="3" s="1"/>
  <c r="F184" i="4" s="1"/>
  <c r="G184" i="4" s="1"/>
  <c r="J204" i="3"/>
  <c r="Q204" i="3" s="1"/>
  <c r="K204" i="3" s="1"/>
  <c r="F183" i="4" s="1"/>
  <c r="G183" i="4" s="1"/>
  <c r="P203" i="3"/>
  <c r="J203" i="3"/>
  <c r="Q203" i="3" s="1"/>
  <c r="K203" i="3" s="1"/>
  <c r="I203" i="3"/>
  <c r="P202" i="3"/>
  <c r="J202" i="3"/>
  <c r="Q202" i="3" s="1"/>
  <c r="K202" i="3" s="1"/>
  <c r="I202" i="3"/>
  <c r="J201" i="3"/>
  <c r="Q201" i="3" s="1"/>
  <c r="K201" i="3" s="1"/>
  <c r="F181" i="4" s="1"/>
  <c r="G181" i="4" s="1"/>
  <c r="J200" i="3"/>
  <c r="Q200" i="3" s="1"/>
  <c r="K200" i="3" s="1"/>
  <c r="F180" i="4" s="1"/>
  <c r="G180" i="4" s="1"/>
  <c r="P199" i="3"/>
  <c r="J199" i="3"/>
  <c r="Q199" i="3" s="1"/>
  <c r="K199" i="3" s="1"/>
  <c r="I199" i="3"/>
  <c r="P198" i="3"/>
  <c r="J198" i="3"/>
  <c r="Q198" i="3" s="1"/>
  <c r="K198" i="3" s="1"/>
  <c r="I198" i="3"/>
  <c r="J197" i="3"/>
  <c r="Q197" i="3" s="1"/>
  <c r="K197" i="3" s="1"/>
  <c r="F178" i="4" s="1"/>
  <c r="G178" i="4" s="1"/>
  <c r="J196" i="3"/>
  <c r="Q196" i="3" s="1"/>
  <c r="K196" i="3" s="1"/>
  <c r="F177" i="4" s="1"/>
  <c r="G177" i="4" s="1"/>
  <c r="J195" i="3"/>
  <c r="Q195" i="3" s="1"/>
  <c r="K195" i="3" s="1"/>
  <c r="F176" i="4" s="1"/>
  <c r="G176" i="4" s="1"/>
  <c r="J194" i="3"/>
  <c r="Q194" i="3" s="1"/>
  <c r="K194" i="3" s="1"/>
  <c r="F175" i="4" s="1"/>
  <c r="G175" i="4" s="1"/>
  <c r="J193" i="3"/>
  <c r="Q193" i="3" s="1"/>
  <c r="K193" i="3" s="1"/>
  <c r="J192" i="3"/>
  <c r="Q192" i="3" s="1"/>
  <c r="K192" i="3" s="1"/>
  <c r="J191" i="3"/>
  <c r="Q191" i="3" s="1"/>
  <c r="K191" i="3" s="1"/>
  <c r="F173" i="4" s="1"/>
  <c r="G173" i="4" s="1"/>
  <c r="J190" i="3"/>
  <c r="Q190" i="3" s="1"/>
  <c r="K190" i="3" s="1"/>
  <c r="Q189" i="3"/>
  <c r="K189" i="3" s="1"/>
  <c r="J189" i="3"/>
  <c r="Q188" i="3"/>
  <c r="K188" i="3" s="1"/>
  <c r="F171" i="4" s="1"/>
  <c r="G171" i="4" s="1"/>
  <c r="J188" i="3"/>
  <c r="J187" i="3"/>
  <c r="Q187" i="3" s="1"/>
  <c r="K187" i="3" s="1"/>
  <c r="F170" i="4" s="1"/>
  <c r="G170" i="4" s="1"/>
  <c r="J186" i="3"/>
  <c r="Q186" i="3" s="1"/>
  <c r="K186" i="3" s="1"/>
  <c r="J185" i="3"/>
  <c r="Q185" i="3" s="1"/>
  <c r="K185" i="3" s="1"/>
  <c r="J184" i="3"/>
  <c r="Q184" i="3" s="1"/>
  <c r="K184" i="3" s="1"/>
  <c r="F168" i="4" s="1"/>
  <c r="G168" i="4" s="1"/>
  <c r="J183" i="3"/>
  <c r="Q183" i="3" s="1"/>
  <c r="K183" i="3" s="1"/>
  <c r="J182" i="3"/>
  <c r="Q182" i="3" s="1"/>
  <c r="K182" i="3" s="1"/>
  <c r="P181" i="3"/>
  <c r="J181" i="3"/>
  <c r="Q181" i="3" s="1"/>
  <c r="K181" i="3" s="1"/>
  <c r="F166" i="4" s="1"/>
  <c r="G166" i="4" s="1"/>
  <c r="I181" i="3"/>
  <c r="J180" i="3"/>
  <c r="Q180" i="3" s="1"/>
  <c r="K180" i="3" s="1"/>
  <c r="F165" i="4" s="1"/>
  <c r="G165" i="4" s="1"/>
  <c r="J179" i="3"/>
  <c r="Q179" i="3" s="1"/>
  <c r="K179" i="3" s="1"/>
  <c r="F164" i="4" s="1"/>
  <c r="G164" i="4" s="1"/>
  <c r="J178" i="3"/>
  <c r="Q178" i="3" s="1"/>
  <c r="K178" i="3" s="1"/>
  <c r="F163" i="4" s="1"/>
  <c r="G163" i="4" s="1"/>
  <c r="Q177" i="3"/>
  <c r="K177" i="3" s="1"/>
  <c r="F162" i="4" s="1"/>
  <c r="G162" i="4" s="1"/>
  <c r="J177" i="3"/>
  <c r="J176" i="3"/>
  <c r="Q176" i="3" s="1"/>
  <c r="K176" i="3" s="1"/>
  <c r="F161" i="4" s="1"/>
  <c r="G161" i="4" s="1"/>
  <c r="J175" i="3"/>
  <c r="Q175" i="3" s="1"/>
  <c r="J174" i="3"/>
  <c r="Q174" i="3" s="1"/>
  <c r="K174" i="3" s="1"/>
  <c r="F159" i="4" s="1"/>
  <c r="G159" i="4" s="1"/>
  <c r="J173" i="3"/>
  <c r="Q173" i="3" s="1"/>
  <c r="K173" i="3" s="1"/>
  <c r="F158" i="4" s="1"/>
  <c r="G158" i="4" s="1"/>
  <c r="J172" i="3"/>
  <c r="Q172" i="3" s="1"/>
  <c r="K172" i="3" s="1"/>
  <c r="F157" i="4" s="1"/>
  <c r="G157" i="4" s="1"/>
  <c r="J171" i="3"/>
  <c r="Q171" i="3" s="1"/>
  <c r="K171" i="3" s="1"/>
  <c r="F156" i="4" s="1"/>
  <c r="G156" i="4" s="1"/>
  <c r="J170" i="3"/>
  <c r="Q170" i="3" s="1"/>
  <c r="K170" i="3" s="1"/>
  <c r="F155" i="4" s="1"/>
  <c r="G155" i="4" s="1"/>
  <c r="Q169" i="3"/>
  <c r="K169" i="3" s="1"/>
  <c r="F154" i="4" s="1"/>
  <c r="G154" i="4" s="1"/>
  <c r="J169" i="3"/>
  <c r="J168" i="3"/>
  <c r="Q168" i="3" s="1"/>
  <c r="K168" i="3" s="1"/>
  <c r="F153" i="4" s="1"/>
  <c r="G153" i="4" s="1"/>
  <c r="J167" i="3"/>
  <c r="Q167" i="3" s="1"/>
  <c r="K167" i="3" s="1"/>
  <c r="F152" i="4" s="1"/>
  <c r="G152" i="4" s="1"/>
  <c r="J166" i="3"/>
  <c r="Q166" i="3" s="1"/>
  <c r="K166" i="3" s="1"/>
  <c r="F151" i="4" s="1"/>
  <c r="G151" i="4" s="1"/>
  <c r="J165" i="3"/>
  <c r="Q165" i="3" s="1"/>
  <c r="K165" i="3" s="1"/>
  <c r="F150" i="4" s="1"/>
  <c r="G150" i="4" s="1"/>
  <c r="J164" i="3"/>
  <c r="Q164" i="3" s="1"/>
  <c r="K164" i="3" s="1"/>
  <c r="F149" i="4" s="1"/>
  <c r="G149" i="4" s="1"/>
  <c r="J163" i="3"/>
  <c r="Q163" i="3" s="1"/>
  <c r="K163" i="3" s="1"/>
  <c r="F148" i="4" s="1"/>
  <c r="G148" i="4" s="1"/>
  <c r="J162" i="3"/>
  <c r="Q162" i="3" s="1"/>
  <c r="K162" i="3" s="1"/>
  <c r="F147" i="4" s="1"/>
  <c r="G147" i="4" s="1"/>
  <c r="J161" i="3"/>
  <c r="Q161" i="3" s="1"/>
  <c r="K161" i="3" s="1"/>
  <c r="F146" i="4" s="1"/>
  <c r="G146" i="4" s="1"/>
  <c r="J160" i="3"/>
  <c r="Q160" i="3" s="1"/>
  <c r="K160" i="3" s="1"/>
  <c r="Q159" i="3"/>
  <c r="K159" i="3" s="1"/>
  <c r="J159" i="3"/>
  <c r="J158" i="3"/>
  <c r="Q158" i="3" s="1"/>
  <c r="K158" i="3" s="1"/>
  <c r="F144" i="4" s="1"/>
  <c r="G144" i="4" s="1"/>
  <c r="J157" i="3"/>
  <c r="Q157" i="3" s="1"/>
  <c r="K157" i="3" s="1"/>
  <c r="F143" i="4" s="1"/>
  <c r="G143" i="4" s="1"/>
  <c r="Q156" i="3"/>
  <c r="K156" i="3" s="1"/>
  <c r="F142" i="4" s="1"/>
  <c r="G142" i="4" s="1"/>
  <c r="J156" i="3"/>
  <c r="Q155" i="3"/>
  <c r="K155" i="3" s="1"/>
  <c r="F141" i="4" s="1"/>
  <c r="G141" i="4" s="1"/>
  <c r="J155" i="3"/>
  <c r="J154" i="3"/>
  <c r="Q154" i="3" s="1"/>
  <c r="K154" i="3" s="1"/>
  <c r="F140" i="4" s="1"/>
  <c r="G140" i="4" s="1"/>
  <c r="J153" i="3"/>
  <c r="Q153" i="3" s="1"/>
  <c r="K153" i="3" s="1"/>
  <c r="F139" i="4" s="1"/>
  <c r="G139" i="4" s="1"/>
  <c r="J152" i="3"/>
  <c r="Q152" i="3" s="1"/>
  <c r="K152" i="3" s="1"/>
  <c r="F138" i="4" s="1"/>
  <c r="G138" i="4" s="1"/>
  <c r="J151" i="3"/>
  <c r="Q151" i="3" s="1"/>
  <c r="K151" i="3" s="1"/>
  <c r="F137" i="4" s="1"/>
  <c r="G137" i="4" s="1"/>
  <c r="J150" i="3"/>
  <c r="Q150" i="3" s="1"/>
  <c r="K150" i="3" s="1"/>
  <c r="F136" i="4" s="1"/>
  <c r="G136" i="4" s="1"/>
  <c r="J149" i="3"/>
  <c r="Q149" i="3" s="1"/>
  <c r="K149" i="3" s="1"/>
  <c r="F135" i="4" s="1"/>
  <c r="G135" i="4" s="1"/>
  <c r="J148" i="3"/>
  <c r="Q148" i="3" s="1"/>
  <c r="K148" i="3" s="1"/>
  <c r="F134" i="4" s="1"/>
  <c r="G134" i="4" s="1"/>
  <c r="J147" i="3"/>
  <c r="Q147" i="3" s="1"/>
  <c r="K147" i="3" s="1"/>
  <c r="F133" i="4" s="1"/>
  <c r="G133" i="4" s="1"/>
  <c r="J146" i="3"/>
  <c r="Q146" i="3" s="1"/>
  <c r="K146" i="3" s="1"/>
  <c r="F132" i="4" s="1"/>
  <c r="G132" i="4" s="1"/>
  <c r="J145" i="3"/>
  <c r="Q145" i="3" s="1"/>
  <c r="K145" i="3" s="1"/>
  <c r="F131" i="4" s="1"/>
  <c r="G131" i="4" s="1"/>
  <c r="J144" i="3"/>
  <c r="Q144" i="3" s="1"/>
  <c r="K144" i="3" s="1"/>
  <c r="F130" i="4" s="1"/>
  <c r="G130" i="4" s="1"/>
  <c r="J143" i="3"/>
  <c r="Q143" i="3" s="1"/>
  <c r="K143" i="3" s="1"/>
  <c r="F129" i="4" s="1"/>
  <c r="G129" i="4" s="1"/>
  <c r="Q142" i="3"/>
  <c r="K142" i="3" s="1"/>
  <c r="F128" i="4" s="1"/>
  <c r="G128" i="4" s="1"/>
  <c r="J142" i="3"/>
  <c r="K141" i="3"/>
  <c r="F127" i="4" s="1"/>
  <c r="G127" i="4" s="1"/>
  <c r="J141" i="3"/>
  <c r="Q141" i="3" s="1"/>
  <c r="J140" i="3"/>
  <c r="Q140" i="3" s="1"/>
  <c r="K140" i="3" s="1"/>
  <c r="F126" i="4" s="1"/>
  <c r="G126" i="4" s="1"/>
  <c r="J139" i="3"/>
  <c r="Q139" i="3" s="1"/>
  <c r="K139" i="3" s="1"/>
  <c r="F125" i="4" s="1"/>
  <c r="G125" i="4" s="1"/>
  <c r="J138" i="3"/>
  <c r="Q138" i="3" s="1"/>
  <c r="K138" i="3" s="1"/>
  <c r="F124" i="4" s="1"/>
  <c r="G124" i="4" s="1"/>
  <c r="Q137" i="3"/>
  <c r="K137" i="3"/>
  <c r="F123" i="4" s="1"/>
  <c r="G123" i="4" s="1"/>
  <c r="J137" i="3"/>
  <c r="Q136" i="3"/>
  <c r="K136" i="3" s="1"/>
  <c r="F122" i="4" s="1"/>
  <c r="G122" i="4" s="1"/>
  <c r="J136" i="3"/>
  <c r="J135" i="3"/>
  <c r="Q135" i="3" s="1"/>
  <c r="K135" i="3" s="1"/>
  <c r="F121" i="4" s="1"/>
  <c r="G121" i="4" s="1"/>
  <c r="J134" i="3"/>
  <c r="Q134" i="3" s="1"/>
  <c r="K134" i="3" s="1"/>
  <c r="F120" i="4" s="1"/>
  <c r="G120" i="4" s="1"/>
  <c r="J133" i="3"/>
  <c r="Q133" i="3" s="1"/>
  <c r="K133" i="3" s="1"/>
  <c r="F119" i="4" s="1"/>
  <c r="G119" i="4" s="1"/>
  <c r="J132" i="3"/>
  <c r="Q132" i="3" s="1"/>
  <c r="K132" i="3" s="1"/>
  <c r="F118" i="4" s="1"/>
  <c r="G118" i="4" s="1"/>
  <c r="J131" i="3"/>
  <c r="Q131" i="3" s="1"/>
  <c r="K131" i="3" s="1"/>
  <c r="F117" i="4" s="1"/>
  <c r="G117" i="4" s="1"/>
  <c r="P130" i="3"/>
  <c r="I130" i="3"/>
  <c r="J130" i="3" s="1"/>
  <c r="Q130" i="3" s="1"/>
  <c r="K130" i="3" s="1"/>
  <c r="F116" i="4" s="1"/>
  <c r="G116" i="4" s="1"/>
  <c r="J129" i="3"/>
  <c r="Q129" i="3" s="1"/>
  <c r="J128" i="3"/>
  <c r="Q128" i="3" s="1"/>
  <c r="K128" i="3" s="1"/>
  <c r="F114" i="4" s="1"/>
  <c r="G114" i="4" s="1"/>
  <c r="J127" i="3"/>
  <c r="Q127" i="3" s="1"/>
  <c r="K127" i="3" s="1"/>
  <c r="J126" i="3"/>
  <c r="Q126" i="3" s="1"/>
  <c r="K126" i="3" s="1"/>
  <c r="J125" i="3"/>
  <c r="Q125" i="3" s="1"/>
  <c r="K125" i="3" s="1"/>
  <c r="F112" i="4" s="1"/>
  <c r="G112" i="4" s="1"/>
  <c r="J124" i="3"/>
  <c r="Q124" i="3" s="1"/>
  <c r="K124" i="3" s="1"/>
  <c r="J123" i="3"/>
  <c r="Q123" i="3" s="1"/>
  <c r="K123" i="3" s="1"/>
  <c r="J122" i="3"/>
  <c r="Q122" i="3" s="1"/>
  <c r="K122" i="3" s="1"/>
  <c r="F110" i="4" s="1"/>
  <c r="G110" i="4" s="1"/>
  <c r="Q121" i="3"/>
  <c r="K121" i="3"/>
  <c r="F109" i="4" s="1"/>
  <c r="G109" i="4" s="1"/>
  <c r="J121" i="3"/>
  <c r="J120" i="3"/>
  <c r="Q120" i="3" s="1"/>
  <c r="K120" i="3" s="1"/>
  <c r="J119" i="3"/>
  <c r="Q119" i="3" s="1"/>
  <c r="K119" i="3" s="1"/>
  <c r="Q118" i="3"/>
  <c r="K118" i="3" s="1"/>
  <c r="F107" i="4" s="1"/>
  <c r="G107" i="4" s="1"/>
  <c r="J118" i="3"/>
  <c r="J117" i="3"/>
  <c r="Q117" i="3" s="1"/>
  <c r="K117" i="3" s="1"/>
  <c r="F106" i="4" s="1"/>
  <c r="G106" i="4" s="1"/>
  <c r="J116" i="3"/>
  <c r="Q116" i="3" s="1"/>
  <c r="K116" i="3" s="1"/>
  <c r="F105" i="4" s="1"/>
  <c r="G105" i="4" s="1"/>
  <c r="K115" i="3"/>
  <c r="F104" i="4" s="1"/>
  <c r="G104" i="4" s="1"/>
  <c r="J115" i="3"/>
  <c r="Q115" i="3" s="1"/>
  <c r="J114" i="3"/>
  <c r="Q114" i="3" s="1"/>
  <c r="K114" i="3" s="1"/>
  <c r="J113" i="3"/>
  <c r="Q113" i="3" s="1"/>
  <c r="K113" i="3" s="1"/>
  <c r="J112" i="3"/>
  <c r="Q112" i="3" s="1"/>
  <c r="K112" i="3" s="1"/>
  <c r="F102" i="4" s="1"/>
  <c r="G102" i="4" s="1"/>
  <c r="Q111" i="3"/>
  <c r="K111" i="3"/>
  <c r="F101" i="4" s="1"/>
  <c r="G101" i="4" s="1"/>
  <c r="J111" i="3"/>
  <c r="Q110" i="3"/>
  <c r="K110" i="3" s="1"/>
  <c r="F100" i="4" s="1"/>
  <c r="G100" i="4" s="1"/>
  <c r="J110" i="3"/>
  <c r="J109" i="3"/>
  <c r="Q109" i="3" s="1"/>
  <c r="K109" i="3" s="1"/>
  <c r="F99" i="4" s="1"/>
  <c r="G99" i="4" s="1"/>
  <c r="J108" i="3"/>
  <c r="Q108" i="3" s="1"/>
  <c r="K108" i="3" s="1"/>
  <c r="F98" i="4" s="1"/>
  <c r="G98" i="4" s="1"/>
  <c r="J107" i="3"/>
  <c r="Q107" i="3" s="1"/>
  <c r="K107" i="3" s="1"/>
  <c r="F97" i="4" s="1"/>
  <c r="G97" i="4" s="1"/>
  <c r="J106" i="3"/>
  <c r="Q106" i="3" s="1"/>
  <c r="K106" i="3" s="1"/>
  <c r="P105" i="3"/>
  <c r="I105" i="3"/>
  <c r="J105" i="3" s="1"/>
  <c r="Q105" i="3" s="1"/>
  <c r="K105" i="3" s="1"/>
  <c r="J104" i="3"/>
  <c r="Q104" i="3" s="1"/>
  <c r="K104" i="3" s="1"/>
  <c r="F95" i="4" s="1"/>
  <c r="G95" i="4" s="1"/>
  <c r="J103" i="3"/>
  <c r="Q103" i="3" s="1"/>
  <c r="K103" i="3" s="1"/>
  <c r="F94" i="4" s="1"/>
  <c r="G94" i="4" s="1"/>
  <c r="J102" i="3"/>
  <c r="Q102" i="3" s="1"/>
  <c r="K102" i="3" s="1"/>
  <c r="F93" i="4" s="1"/>
  <c r="G93" i="4" s="1"/>
  <c r="P101" i="3"/>
  <c r="J101" i="3"/>
  <c r="Q101" i="3" s="1"/>
  <c r="K101" i="3" s="1"/>
  <c r="F92" i="4" s="1"/>
  <c r="G92" i="4" s="1"/>
  <c r="I101" i="3"/>
  <c r="J100" i="3"/>
  <c r="Q100" i="3" s="1"/>
  <c r="K100" i="3" s="1"/>
  <c r="F91" i="4" s="1"/>
  <c r="G91" i="4" s="1"/>
  <c r="P99" i="3"/>
  <c r="J99" i="3"/>
  <c r="Q99" i="3" s="1"/>
  <c r="K99" i="3" s="1"/>
  <c r="F90" i="4" s="1"/>
  <c r="G90" i="4" s="1"/>
  <c r="I99" i="3"/>
  <c r="J98" i="3"/>
  <c r="Q98" i="3" s="1"/>
  <c r="K98" i="3" s="1"/>
  <c r="F89" i="4" s="1"/>
  <c r="G89" i="4" s="1"/>
  <c r="P97" i="3"/>
  <c r="I97" i="3"/>
  <c r="G97" i="3"/>
  <c r="J96" i="3"/>
  <c r="Q96" i="3" s="1"/>
  <c r="K96" i="3" s="1"/>
  <c r="F87" i="4" s="1"/>
  <c r="G87" i="4" s="1"/>
  <c r="J95" i="3"/>
  <c r="Q95" i="3" s="1"/>
  <c r="K95" i="3" s="1"/>
  <c r="F86" i="4" s="1"/>
  <c r="G86" i="4" s="1"/>
  <c r="J94" i="3"/>
  <c r="Q94" i="3" s="1"/>
  <c r="K94" i="3" s="1"/>
  <c r="F85" i="4" s="1"/>
  <c r="G85" i="4" s="1"/>
  <c r="J93" i="3"/>
  <c r="Q93" i="3" s="1"/>
  <c r="K93" i="3" s="1"/>
  <c r="F84" i="4" s="1"/>
  <c r="G84" i="4" s="1"/>
  <c r="J92" i="3"/>
  <c r="Q92" i="3" s="1"/>
  <c r="K92" i="3" s="1"/>
  <c r="F83" i="4" s="1"/>
  <c r="G83" i="4" s="1"/>
  <c r="J91" i="3"/>
  <c r="Q91" i="3" s="1"/>
  <c r="K91" i="3" s="1"/>
  <c r="F82" i="4" s="1"/>
  <c r="G82" i="4" s="1"/>
  <c r="J90" i="3"/>
  <c r="Q90" i="3" s="1"/>
  <c r="K90" i="3" s="1"/>
  <c r="F81" i="4" s="1"/>
  <c r="G81" i="4" s="1"/>
  <c r="J89" i="3"/>
  <c r="Q89" i="3" s="1"/>
  <c r="K89" i="3" s="1"/>
  <c r="F80" i="4" s="1"/>
  <c r="G80" i="4" s="1"/>
  <c r="J88" i="3"/>
  <c r="Q88" i="3" s="1"/>
  <c r="K88" i="3" s="1"/>
  <c r="F79" i="4" s="1"/>
  <c r="G79" i="4" s="1"/>
  <c r="J87" i="3"/>
  <c r="Q87" i="3" s="1"/>
  <c r="K87" i="3" s="1"/>
  <c r="F78" i="4" s="1"/>
  <c r="G78" i="4" s="1"/>
  <c r="J86" i="3"/>
  <c r="Q86" i="3" s="1"/>
  <c r="K86" i="3" s="1"/>
  <c r="J85" i="3"/>
  <c r="Q85" i="3" s="1"/>
  <c r="K85" i="3" s="1"/>
  <c r="J84" i="3"/>
  <c r="Q84" i="3" s="1"/>
  <c r="K84" i="3" s="1"/>
  <c r="F76" i="4" s="1"/>
  <c r="G76" i="4" s="1"/>
  <c r="J83" i="3"/>
  <c r="Q83" i="3" s="1"/>
  <c r="K83" i="3" s="1"/>
  <c r="F75" i="4" s="1"/>
  <c r="G75" i="4" s="1"/>
  <c r="J82" i="3"/>
  <c r="Q82" i="3" s="1"/>
  <c r="K82" i="3" s="1"/>
  <c r="P81" i="3"/>
  <c r="I81" i="3"/>
  <c r="J81" i="3" s="1"/>
  <c r="Q81" i="3" s="1"/>
  <c r="K81" i="3" s="1"/>
  <c r="P80" i="3"/>
  <c r="I80" i="3"/>
  <c r="J80" i="3" s="1"/>
  <c r="Q80" i="3" s="1"/>
  <c r="K80" i="3" s="1"/>
  <c r="P79" i="3"/>
  <c r="J79" i="3"/>
  <c r="Q79" i="3" s="1"/>
  <c r="K79" i="3" s="1"/>
  <c r="I79" i="3"/>
  <c r="P78" i="3"/>
  <c r="I78" i="3"/>
  <c r="J78" i="3" s="1"/>
  <c r="Q78" i="3" s="1"/>
  <c r="K78" i="3" s="1"/>
  <c r="J77" i="3"/>
  <c r="Q77" i="3" s="1"/>
  <c r="K77" i="3" s="1"/>
  <c r="F73" i="4" s="1"/>
  <c r="G73" i="4" s="1"/>
  <c r="J76" i="3"/>
  <c r="Q76" i="3" s="1"/>
  <c r="K76" i="3" s="1"/>
  <c r="F72" i="4" s="1"/>
  <c r="G72" i="4" s="1"/>
  <c r="J75" i="3"/>
  <c r="Q75" i="3" s="1"/>
  <c r="K75" i="3" s="1"/>
  <c r="F71" i="4" s="1"/>
  <c r="G71" i="4" s="1"/>
  <c r="J74" i="3"/>
  <c r="Q74" i="3" s="1"/>
  <c r="K74" i="3" s="1"/>
  <c r="F70" i="4" s="1"/>
  <c r="G70" i="4" s="1"/>
  <c r="J73" i="3"/>
  <c r="Q73" i="3" s="1"/>
  <c r="K73" i="3" s="1"/>
  <c r="F69" i="4" s="1"/>
  <c r="G69" i="4" s="1"/>
  <c r="J72" i="3"/>
  <c r="Q72" i="3" s="1"/>
  <c r="K72" i="3" s="1"/>
  <c r="F68" i="4" s="1"/>
  <c r="G68" i="4" s="1"/>
  <c r="J71" i="3"/>
  <c r="Q71" i="3" s="1"/>
  <c r="K71" i="3" s="1"/>
  <c r="F67" i="4" s="1"/>
  <c r="G67" i="4" s="1"/>
  <c r="J70" i="3"/>
  <c r="Q70" i="3" s="1"/>
  <c r="K70" i="3" s="1"/>
  <c r="F66" i="4" s="1"/>
  <c r="G66" i="4" s="1"/>
  <c r="J69" i="3"/>
  <c r="Q69" i="3" s="1"/>
  <c r="K69" i="3" s="1"/>
  <c r="F65" i="4" s="1"/>
  <c r="G65" i="4" s="1"/>
  <c r="J68" i="3"/>
  <c r="Q68" i="3" s="1"/>
  <c r="K68" i="3" s="1"/>
  <c r="F64" i="4" s="1"/>
  <c r="G64" i="4" s="1"/>
  <c r="J67" i="3"/>
  <c r="Q67" i="3" s="1"/>
  <c r="K67" i="3" s="1"/>
  <c r="F63" i="4" s="1"/>
  <c r="G63" i="4" s="1"/>
  <c r="Q66" i="3"/>
  <c r="K66" i="3" s="1"/>
  <c r="F62" i="4" s="1"/>
  <c r="G62" i="4" s="1"/>
  <c r="J66" i="3"/>
  <c r="J65" i="3"/>
  <c r="Q65" i="3" s="1"/>
  <c r="K65" i="3" s="1"/>
  <c r="F61" i="4" s="1"/>
  <c r="G61" i="4" s="1"/>
  <c r="J64" i="3"/>
  <c r="Q64" i="3" s="1"/>
  <c r="K64" i="3" s="1"/>
  <c r="F60" i="4" s="1"/>
  <c r="G60" i="4" s="1"/>
  <c r="J63" i="3"/>
  <c r="Q63" i="3" s="1"/>
  <c r="K63" i="3" s="1"/>
  <c r="F59" i="4" s="1"/>
  <c r="G59" i="4" s="1"/>
  <c r="J62" i="3"/>
  <c r="Q62" i="3" s="1"/>
  <c r="K62" i="3" s="1"/>
  <c r="F58" i="4" s="1"/>
  <c r="G58" i="4" s="1"/>
  <c r="J61" i="3"/>
  <c r="Q61" i="3" s="1"/>
  <c r="K61" i="3" s="1"/>
  <c r="F57" i="4" s="1"/>
  <c r="G57" i="4" s="1"/>
  <c r="Q60" i="3"/>
  <c r="K60" i="3" s="1"/>
  <c r="F56" i="4" s="1"/>
  <c r="G56" i="4" s="1"/>
  <c r="J60" i="3"/>
  <c r="Q59" i="3"/>
  <c r="K59" i="3" s="1"/>
  <c r="F55" i="4" s="1"/>
  <c r="G55" i="4" s="1"/>
  <c r="J59" i="3"/>
  <c r="J58" i="3"/>
  <c r="Q58" i="3" s="1"/>
  <c r="K58" i="3" s="1"/>
  <c r="F54" i="4" s="1"/>
  <c r="G54" i="4" s="1"/>
  <c r="J57" i="3"/>
  <c r="Q57" i="3" s="1"/>
  <c r="K57" i="3" s="1"/>
  <c r="F53" i="4" s="1"/>
  <c r="G53" i="4" s="1"/>
  <c r="J56" i="3"/>
  <c r="Q56" i="3" s="1"/>
  <c r="K56" i="3" s="1"/>
  <c r="F52" i="4" s="1"/>
  <c r="G52" i="4" s="1"/>
  <c r="J55" i="3"/>
  <c r="Q55" i="3" s="1"/>
  <c r="K55" i="3" s="1"/>
  <c r="F51" i="4" s="1"/>
  <c r="G51" i="4" s="1"/>
  <c r="J54" i="3"/>
  <c r="Q54" i="3" s="1"/>
  <c r="K54" i="3" s="1"/>
  <c r="F50" i="4" s="1"/>
  <c r="G50" i="4" s="1"/>
  <c r="J53" i="3"/>
  <c r="Q53" i="3" s="1"/>
  <c r="K53" i="3" s="1"/>
  <c r="F49" i="4" s="1"/>
  <c r="G49" i="4" s="1"/>
  <c r="J52" i="3"/>
  <c r="Q52" i="3" s="1"/>
  <c r="K52" i="3" s="1"/>
  <c r="F48" i="4" s="1"/>
  <c r="G48" i="4" s="1"/>
  <c r="J51" i="3"/>
  <c r="Q51" i="3" s="1"/>
  <c r="K51" i="3" s="1"/>
  <c r="J50" i="3"/>
  <c r="Q50" i="3" s="1"/>
  <c r="K50" i="3" s="1"/>
  <c r="K49" i="3"/>
  <c r="F46" i="4" s="1"/>
  <c r="G46" i="4" s="1"/>
  <c r="J49" i="3"/>
  <c r="Q49" i="3" s="1"/>
  <c r="J48" i="3"/>
  <c r="Q48" i="3" s="1"/>
  <c r="K48" i="3" s="1"/>
  <c r="F45" i="4" s="1"/>
  <c r="G45" i="4" s="1"/>
  <c r="J47" i="3"/>
  <c r="Q47" i="3" s="1"/>
  <c r="K47" i="3" s="1"/>
  <c r="F44" i="4" s="1"/>
  <c r="G44" i="4" s="1"/>
  <c r="J46" i="3"/>
  <c r="Q46" i="3" s="1"/>
  <c r="K46" i="3" s="1"/>
  <c r="F43" i="4" s="1"/>
  <c r="G43" i="4" s="1"/>
  <c r="J45" i="3"/>
  <c r="Q45" i="3" s="1"/>
  <c r="K45" i="3" s="1"/>
  <c r="F42" i="4" s="1"/>
  <c r="G42" i="4" s="1"/>
  <c r="J44" i="3"/>
  <c r="Q44" i="3" s="1"/>
  <c r="K44" i="3" s="1"/>
  <c r="J43" i="3"/>
  <c r="Q43" i="3" s="1"/>
  <c r="K43" i="3" s="1"/>
  <c r="J42" i="3"/>
  <c r="Q42" i="3" s="1"/>
  <c r="K42" i="3" s="1"/>
  <c r="F40" i="4" s="1"/>
  <c r="G40" i="4" s="1"/>
  <c r="J41" i="3"/>
  <c r="Q41" i="3" s="1"/>
  <c r="K41" i="3" s="1"/>
  <c r="F39" i="4" s="1"/>
  <c r="G39" i="4" s="1"/>
  <c r="J40" i="3"/>
  <c r="Q40" i="3" s="1"/>
  <c r="K40" i="3" s="1"/>
  <c r="F38" i="4" s="1"/>
  <c r="G38" i="4" s="1"/>
  <c r="P39" i="3"/>
  <c r="I39" i="3"/>
  <c r="H39" i="3"/>
  <c r="J38" i="3"/>
  <c r="Q38" i="3" s="1"/>
  <c r="K38" i="3" s="1"/>
  <c r="F36" i="4" s="1"/>
  <c r="G36" i="4" s="1"/>
  <c r="J37" i="3"/>
  <c r="Q37" i="3" s="1"/>
  <c r="K37" i="3" s="1"/>
  <c r="F35" i="4" s="1"/>
  <c r="G35" i="4" s="1"/>
  <c r="J36" i="3"/>
  <c r="Q36" i="3" s="1"/>
  <c r="K36" i="3" s="1"/>
  <c r="F34" i="4" s="1"/>
  <c r="G34" i="4" s="1"/>
  <c r="J35" i="3"/>
  <c r="Q35" i="3" s="1"/>
  <c r="K35" i="3" s="1"/>
  <c r="F33" i="4" s="1"/>
  <c r="G33" i="4" s="1"/>
  <c r="J34" i="3"/>
  <c r="Q34" i="3" s="1"/>
  <c r="K34" i="3" s="1"/>
  <c r="F32" i="4" s="1"/>
  <c r="G32" i="4" s="1"/>
  <c r="J33" i="3"/>
  <c r="Q33" i="3" s="1"/>
  <c r="K33" i="3" s="1"/>
  <c r="F31" i="4" s="1"/>
  <c r="G31" i="4" s="1"/>
  <c r="J32" i="3"/>
  <c r="Q32" i="3" s="1"/>
  <c r="K32" i="3" s="1"/>
  <c r="F30" i="4" s="1"/>
  <c r="G30" i="4" s="1"/>
  <c r="J31" i="3"/>
  <c r="Q31" i="3" s="1"/>
  <c r="K31" i="3" s="1"/>
  <c r="F29" i="4" s="1"/>
  <c r="G29" i="4" s="1"/>
  <c r="J30" i="3"/>
  <c r="Q30" i="3" s="1"/>
  <c r="K30" i="3" s="1"/>
  <c r="F28" i="4" s="1"/>
  <c r="G28" i="4" s="1"/>
  <c r="J29" i="3"/>
  <c r="Q29" i="3" s="1"/>
  <c r="K29" i="3" s="1"/>
  <c r="F27" i="4" s="1"/>
  <c r="G27" i="4" s="1"/>
  <c r="J28" i="3"/>
  <c r="Q28" i="3" s="1"/>
  <c r="K28" i="3" s="1"/>
  <c r="F26" i="4" s="1"/>
  <c r="G26" i="4" s="1"/>
  <c r="J27" i="3"/>
  <c r="Q27" i="3" s="1"/>
  <c r="K27" i="3" s="1"/>
  <c r="F25" i="4" s="1"/>
  <c r="G25" i="4" s="1"/>
  <c r="J26" i="3"/>
  <c r="Q26" i="3" s="1"/>
  <c r="K26" i="3" s="1"/>
  <c r="F24" i="4" s="1"/>
  <c r="G24" i="4" s="1"/>
  <c r="J25" i="3"/>
  <c r="Q25" i="3" s="1"/>
  <c r="K25" i="3" s="1"/>
  <c r="Q24" i="3"/>
  <c r="K24" i="3" s="1"/>
  <c r="J24" i="3"/>
  <c r="Q23" i="3"/>
  <c r="K23" i="3" s="1"/>
  <c r="F22" i="4" s="1"/>
  <c r="G22" i="4" s="1"/>
  <c r="J23" i="3"/>
  <c r="J22" i="3"/>
  <c r="Q22" i="3" s="1"/>
  <c r="K22" i="3" s="1"/>
  <c r="J21" i="3"/>
  <c r="Q21" i="3" s="1"/>
  <c r="K21" i="3" s="1"/>
  <c r="Q20" i="3"/>
  <c r="K20" i="3" s="1"/>
  <c r="F20" i="4" s="1"/>
  <c r="G20" i="4" s="1"/>
  <c r="J20" i="3"/>
  <c r="Q19" i="3"/>
  <c r="K19" i="3" s="1"/>
  <c r="F19" i="4" s="1"/>
  <c r="G19" i="4" s="1"/>
  <c r="J19" i="3"/>
  <c r="J18" i="3"/>
  <c r="Q18" i="3" s="1"/>
  <c r="K18" i="3" s="1"/>
  <c r="F18" i="4" s="1"/>
  <c r="G18" i="4" s="1"/>
  <c r="J17" i="3"/>
  <c r="Q17" i="3" s="1"/>
  <c r="K17" i="3" s="1"/>
  <c r="F17" i="4" s="1"/>
  <c r="G17" i="4" s="1"/>
  <c r="J16" i="3"/>
  <c r="Q16" i="3" s="1"/>
  <c r="K16" i="3" s="1"/>
  <c r="F16" i="4" s="1"/>
  <c r="G16" i="4" s="1"/>
  <c r="J15" i="3"/>
  <c r="Q15" i="3" s="1"/>
  <c r="K15" i="3" s="1"/>
  <c r="F15" i="4" s="1"/>
  <c r="G15" i="4" s="1"/>
  <c r="J14" i="3"/>
  <c r="Q14" i="3" s="1"/>
  <c r="K14" i="3" s="1"/>
  <c r="F14" i="4" s="1"/>
  <c r="G14" i="4" s="1"/>
  <c r="J13" i="3"/>
  <c r="Q13" i="3" s="1"/>
  <c r="K13" i="3" s="1"/>
  <c r="F13" i="4" s="1"/>
  <c r="G13" i="4" s="1"/>
  <c r="J12" i="3"/>
  <c r="Q12" i="3" s="1"/>
  <c r="K12" i="3" s="1"/>
  <c r="F12" i="4" s="1"/>
  <c r="G12" i="4" s="1"/>
  <c r="J11" i="3"/>
  <c r="Q11" i="3" s="1"/>
  <c r="K11" i="3" s="1"/>
  <c r="F11" i="4" s="1"/>
  <c r="G11" i="4" s="1"/>
  <c r="P10" i="3"/>
  <c r="I10" i="3"/>
  <c r="J10" i="3" s="1"/>
  <c r="Q10" i="3" s="1"/>
  <c r="K10" i="3" s="1"/>
  <c r="F10" i="4" s="1"/>
  <c r="G10" i="4" s="1"/>
  <c r="Q9" i="3"/>
  <c r="K9" i="3" s="1"/>
  <c r="F9" i="4" s="1"/>
  <c r="G9" i="4" s="1"/>
  <c r="J9" i="3"/>
  <c r="J8" i="3"/>
  <c r="Q8" i="3" s="1"/>
  <c r="K8" i="3" s="1"/>
  <c r="F8" i="4" s="1"/>
  <c r="G8" i="4" s="1"/>
  <c r="J7" i="3"/>
  <c r="Q7" i="3" s="1"/>
  <c r="K7" i="3" s="1"/>
  <c r="F7" i="4" s="1"/>
  <c r="G7" i="4" s="1"/>
  <c r="Q6" i="3"/>
  <c r="K6" i="3" s="1"/>
  <c r="F6" i="4" s="1"/>
  <c r="G6" i="4" s="1"/>
  <c r="J6" i="3"/>
  <c r="Q5" i="3"/>
  <c r="K5" i="3" s="1"/>
  <c r="F5" i="4" s="1"/>
  <c r="G5" i="4" s="1"/>
  <c r="J5" i="3"/>
  <c r="J4" i="3"/>
  <c r="Q4" i="3" s="1"/>
  <c r="K4" i="3" s="1"/>
  <c r="F4" i="4" s="1"/>
  <c r="G4" i="4" s="1"/>
  <c r="J3" i="3"/>
  <c r="Q3" i="3" s="1"/>
  <c r="K3" i="3" s="1"/>
  <c r="F3" i="4" s="1"/>
  <c r="G3" i="4" s="1"/>
  <c r="Q2" i="3"/>
  <c r="K2" i="3" s="1"/>
  <c r="J2" i="3"/>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L30" i="2"/>
  <c r="J9" i="2"/>
  <c r="H628" i="3" s="1"/>
  <c r="G628" i="3"/>
  <c r="J628" i="3" s="1"/>
  <c r="Q628" i="3" s="1"/>
  <c r="K628" i="3" s="1"/>
  <c r="F529" i="4" s="1"/>
  <c r="G529" i="4" s="1"/>
  <c r="J8" i="2"/>
  <c r="H562" i="3" s="1"/>
  <c r="G562" i="3"/>
  <c r="J562" i="3" s="1"/>
  <c r="Q562" i="3" s="1"/>
  <c r="K562" i="3" s="1"/>
  <c r="F480" i="4" s="1"/>
  <c r="G480" i="4" s="1"/>
  <c r="J7" i="2"/>
  <c r="H559" i="3" s="1"/>
  <c r="G559" i="3"/>
  <c r="J559" i="3" s="1"/>
  <c r="Q559" i="3" s="1"/>
  <c r="K559" i="3" s="1"/>
  <c r="F477" i="4" s="1"/>
  <c r="G477" i="4" s="1"/>
  <c r="J6" i="2"/>
  <c r="H97" i="3" s="1"/>
  <c r="F6" i="2"/>
  <c r="D23" i="1"/>
  <c r="D22" i="1"/>
  <c r="C20" i="1"/>
  <c r="F206" i="4" l="1"/>
  <c r="G206" i="4" s="1"/>
  <c r="F204" i="4"/>
  <c r="G204" i="4" s="1"/>
  <c r="F243" i="4"/>
  <c r="G243" i="4" s="1"/>
  <c r="G6" i="5"/>
  <c r="I6" i="5" s="1"/>
  <c r="K129" i="3"/>
  <c r="F115" i="4" s="1"/>
  <c r="G115" i="4" s="1"/>
  <c r="G11" i="5"/>
  <c r="I11" i="5" s="1"/>
  <c r="K660" i="3"/>
  <c r="F557" i="4" s="1"/>
  <c r="G557" i="4" s="1"/>
  <c r="F492" i="4"/>
  <c r="G492" i="4" s="1"/>
  <c r="F320" i="4"/>
  <c r="G320" i="4" s="1"/>
  <c r="F377" i="4"/>
  <c r="G377" i="4" s="1"/>
  <c r="F393" i="4"/>
  <c r="G393" i="4" s="1"/>
  <c r="F179" i="4"/>
  <c r="G179" i="4" s="1"/>
  <c r="F430" i="4"/>
  <c r="G430" i="4" s="1"/>
  <c r="F451" i="4"/>
  <c r="G451" i="4" s="1"/>
  <c r="F462" i="4"/>
  <c r="G462" i="4" s="1"/>
  <c r="F466" i="4"/>
  <c r="G466" i="4" s="1"/>
  <c r="F558" i="4"/>
  <c r="G558" i="4" s="1"/>
  <c r="F145" i="4"/>
  <c r="G145" i="4" s="1"/>
  <c r="F516" i="4"/>
  <c r="G516" i="4" s="1"/>
  <c r="F182" i="4"/>
  <c r="G182" i="4" s="1"/>
  <c r="F23" i="4"/>
  <c r="G23" i="4" s="1"/>
  <c r="F174" i="4"/>
  <c r="G174" i="4" s="1"/>
  <c r="F274" i="4"/>
  <c r="G274" i="4" s="1"/>
  <c r="F512" i="4"/>
  <c r="G512" i="4" s="1"/>
  <c r="F77" i="4"/>
  <c r="G77" i="4" s="1"/>
  <c r="F302" i="4"/>
  <c r="G302" i="4" s="1"/>
  <c r="F311" i="4"/>
  <c r="G311" i="4" s="1"/>
  <c r="F334" i="4"/>
  <c r="G334" i="4" s="1"/>
  <c r="F349" i="4"/>
  <c r="G349" i="4" s="1"/>
  <c r="F385" i="4"/>
  <c r="G385" i="4" s="1"/>
  <c r="F41" i="4"/>
  <c r="G41" i="4" s="1"/>
  <c r="F240" i="4"/>
  <c r="G240" i="4" s="1"/>
  <c r="F413" i="4"/>
  <c r="G413" i="4" s="1"/>
  <c r="F556" i="4"/>
  <c r="G556" i="4" s="1"/>
  <c r="F21" i="4"/>
  <c r="G21" i="4" s="1"/>
  <c r="F527" i="4"/>
  <c r="G527" i="4" s="1"/>
  <c r="J39" i="3"/>
  <c r="Q39" i="3" s="1"/>
  <c r="K39" i="3" s="1"/>
  <c r="F37" i="4" s="1"/>
  <c r="G37" i="4" s="1"/>
  <c r="F47" i="4"/>
  <c r="G47" i="4" s="1"/>
  <c r="G7" i="5"/>
  <c r="I7" i="5" s="1"/>
  <c r="I12" i="5" s="1"/>
  <c r="C53" i="8" s="1"/>
  <c r="K175" i="3"/>
  <c r="F160" i="4" s="1"/>
  <c r="G160" i="4" s="1"/>
  <c r="F341" i="4"/>
  <c r="G341" i="4" s="1"/>
  <c r="F190" i="4"/>
  <c r="G190" i="4" s="1"/>
  <c r="F201" i="4"/>
  <c r="G201" i="4" s="1"/>
  <c r="J97" i="3"/>
  <c r="Q97" i="3" s="1"/>
  <c r="K97" i="3" s="1"/>
  <c r="F88" i="4" s="1"/>
  <c r="G88" i="4" s="1"/>
  <c r="F2" i="4"/>
  <c r="F74" i="4"/>
  <c r="G74" i="4" s="1"/>
  <c r="F172" i="4"/>
  <c r="G172" i="4" s="1"/>
  <c r="F96" i="4"/>
  <c r="G96" i="4" s="1"/>
  <c r="G9" i="5"/>
  <c r="I9" i="5" s="1"/>
  <c r="G8" i="5"/>
  <c r="I8" i="5" s="1"/>
  <c r="K317" i="3"/>
  <c r="F277" i="4" s="1"/>
  <c r="G277" i="4" s="1"/>
  <c r="F278" i="4"/>
  <c r="G278" i="4" s="1"/>
  <c r="F108" i="4"/>
  <c r="G108" i="4" s="1"/>
  <c r="F244" i="4"/>
  <c r="G244" i="4" s="1"/>
  <c r="F111" i="4"/>
  <c r="G111" i="4" s="1"/>
  <c r="F309" i="4"/>
  <c r="G309" i="4" s="1"/>
  <c r="F509" i="4"/>
  <c r="G509" i="4" s="1"/>
  <c r="F491" i="4"/>
  <c r="G491" i="4" s="1"/>
  <c r="F499" i="4"/>
  <c r="G499" i="4" s="1"/>
  <c r="F103" i="4"/>
  <c r="G103" i="4" s="1"/>
  <c r="F271" i="4"/>
  <c r="G271" i="4" s="1"/>
  <c r="F368" i="4"/>
  <c r="G368" i="4" s="1"/>
  <c r="F439" i="4"/>
  <c r="G439" i="4" s="1"/>
  <c r="F167" i="4"/>
  <c r="G167" i="4" s="1"/>
  <c r="F169" i="4"/>
  <c r="G169" i="4" s="1"/>
  <c r="F423" i="4"/>
  <c r="G423" i="4" s="1"/>
  <c r="F485" i="4"/>
  <c r="G485" i="4" s="1"/>
  <c r="Q668" i="3"/>
  <c r="F353" i="4"/>
  <c r="G353" i="4" s="1"/>
  <c r="F447" i="4"/>
  <c r="G447" i="4" s="1"/>
  <c r="F456" i="4"/>
  <c r="G456" i="4" s="1"/>
  <c r="F113" i="4"/>
  <c r="G113" i="4" s="1"/>
  <c r="F258" i="4"/>
  <c r="G258" i="4" s="1"/>
  <c r="F484" i="4"/>
  <c r="G484" i="4" s="1"/>
  <c r="F497" i="4"/>
  <c r="G497" i="4" s="1"/>
  <c r="F540" i="4"/>
  <c r="G540" i="4" s="1"/>
  <c r="F363" i="4"/>
  <c r="G363" i="4" s="1"/>
  <c r="F415" i="4"/>
  <c r="G415" i="4" s="1"/>
  <c r="F494" i="4"/>
  <c r="G494" i="4" s="1"/>
  <c r="F249" i="4"/>
  <c r="G249" i="4" s="1"/>
  <c r="F289" i="4"/>
  <c r="G289" i="4" s="1"/>
  <c r="F356" i="4"/>
  <c r="G356" i="4" s="1"/>
  <c r="F376" i="4"/>
  <c r="G376" i="4" s="1"/>
  <c r="F519" i="4"/>
  <c r="G519" i="4" s="1"/>
  <c r="F542" i="4"/>
  <c r="G542" i="4" s="1"/>
  <c r="F507" i="4"/>
  <c r="G507" i="4" s="1"/>
  <c r="C23" i="8" l="1"/>
  <c r="C27" i="8" s="1"/>
  <c r="D20" i="1"/>
  <c r="D21" i="1" s="1"/>
  <c r="D24" i="1" s="1"/>
  <c r="K668" i="3"/>
  <c r="F564" i="4"/>
  <c r="C40" i="8"/>
  <c r="G2" i="4"/>
  <c r="G564" i="4" l="1"/>
  <c r="C41" i="8"/>
  <c r="C43"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Q1" authorId="0" shapeId="0" xr:uid="{00000000-0006-0000-0200-000001000000}">
      <text>
        <r>
          <rPr>
            <sz val="10"/>
            <rFont val="Arial"/>
            <family val="2"/>
          </rPr>
          <t>Line total before any return-credit removal. K (Line Total) now nets this down to 0 automatically when the matching order is marked 'Confirmed Good — Remove Charge' in the Returns &amp; Refunds tab, column H. Added so return credits are removed at the line-item level instead of as a lump deduction on the Invoice.</t>
        </r>
      </text>
    </comment>
  </commentList>
</comments>
</file>

<file path=xl/sharedStrings.xml><?xml version="1.0" encoding="utf-8"?>
<sst xmlns="http://schemas.openxmlformats.org/spreadsheetml/2006/main" count="16961" uniqueCount="12838">
  <si>
    <t>FRESCOONE Trading Sdn Bhd</t>
  </si>
  <si>
    <t>202301048876 (1542790-P)</t>
  </si>
  <si>
    <t>B-G-13 Block B Menara Alpha Jalan 4A/27A</t>
  </si>
  <si>
    <t>Seksyen 2 Wangsa Maju, 53300 Kuala Lumpur</t>
  </si>
  <si>
    <t>Tel: 011-21267669   Email: frescoone2020@gmail.com</t>
  </si>
  <si>
    <t>TAX INVOICE</t>
  </si>
  <si>
    <t>Invoice No:</t>
  </si>
  <si>
    <t>INV-SCON6-2026</t>
  </si>
  <si>
    <t>Invoice Date:</t>
  </si>
  <si>
    <t>2026-07-16</t>
  </si>
  <si>
    <t>Billing Period:</t>
  </si>
  <si>
    <t>1 June 2026 - 30 June 2026</t>
  </si>
  <si>
    <t>Platform / Channel:</t>
  </si>
  <si>
    <t>Shopee Malaysia (Case On Store — caseon123)</t>
  </si>
  <si>
    <t>Bill To:</t>
  </si>
  <si>
    <t>Case On Mobile phone Accessories Store</t>
  </si>
  <si>
    <t>No 4, Taman Seri Mangga, 4, Jalan Sri Mangga</t>
  </si>
  <si>
    <t>Reseller Code: SCON (Shopee Malaysia)</t>
  </si>
  <si>
    <t>Description</t>
  </si>
  <si>
    <t>Qty (Units)</t>
  </si>
  <si>
    <t>Amount (RM)</t>
  </si>
  <si>
    <t>Dropship Stock Charges — DSP Reseller Price (see "Itemized Calculation" tab, 666 order lines, June 2026 Completed orders)</t>
  </si>
  <si>
    <t>Subtotal</t>
  </si>
  <si>
    <t>Less: Shopee Ads Rebate (70% of RM 362.00 ads spend — June 2026)</t>
  </si>
  <si>
    <t>Less: Approved Claims (see "Claims" tab)</t>
  </si>
  <si>
    <t>TOTAL AMOUNT DUE (RM)</t>
  </si>
  <si>
    <t>Payment Details</t>
  </si>
  <si>
    <t>Payable to:</t>
  </si>
  <si>
    <t>Frescoone Trading Sdn. Bhd</t>
  </si>
  <si>
    <t>Bank:</t>
  </si>
  <si>
    <t>OCBC Bank (Malaysia) Berhad</t>
  </si>
  <si>
    <t>Account No.:</t>
  </si>
  <si>
    <t>7011620649</t>
  </si>
  <si>
    <t>Notes:</t>
  </si>
  <si>
    <t>1. DSP = Dropship Price charged by FRESCOONE Trading Sdn Bhd to reseller for stock fulfilled via dropship.</t>
  </si>
  <si>
    <t>2. Amounts reflect Completed orders only for June 2026, matched via Sitegiant order export (SGO) against Shopee order report (SO). 621/621 orders tally 100%.</t>
  </si>
  <si>
    <t>3. 4 order lines are pending a manually keyed-in DSP price — see "Pending DSP Entry" tab. Totals here update automatically once entered.</t>
  </si>
  <si>
    <t>4. Shopee Ads Rebate = 70% x total ads expense per Shopee-Ads-Overall-Data report for the period.</t>
  </si>
  <si>
    <t>5. See "Order-Level Summary" tab for a per-order breakdown of Shopee income received vs. DSP charge owed vs. reseller net earning.</t>
  </si>
  <si>
    <t>6. See "Returns &amp; Refunds" tab for parcel return/refund cases and payment status, covering the past 3 months of Shopee balance history.</t>
  </si>
  <si>
    <t>7. Promo Rate applied on each line has been verified against the reseller's actual Shopee retail discount (see "Itemized Calculation" tab, columns N-O) — full DSP is charged wherever no promotion was actually run.</t>
  </si>
  <si>
    <t>8. See "Claims" tab to submit any claim for credit relating to a wrong item, product defect, or shipping issue — approved claims are credited above.</t>
  </si>
  <si>
    <t>9. See "Returns &amp; Refunds" tab, Section A, for the return-credit review workflow — once a row is marked "Confirmed Good — Remove Charge", the DSP charge for that order is removed directly in the "Itemized Calculation" tab (column K) and flows through automatically to the Dropship Stock Charges line above; it is not shown as a separate deduction here.</t>
  </si>
  <si>
    <t>PENDING TASKS — ALL ITEMS NEEDING YOUR INPUT / DECISION</t>
  </si>
  <si>
    <t>Work through each section below. Everything you key in or decide here flows automatically into "Itemized Calculation", the Invoice, and the Dashboard.</t>
  </si>
  <si>
    <t>A. MISSING DSP PRICE — 4 lines: SKU not found in DSP master. Key in DSP Price (col F). Fix/edit SKU (col D) and DSP + Promo Rate auto-fill if the SKU exists in the master.</t>
  </si>
  <si>
    <t>Ref No.</t>
  </si>
  <si>
    <t>Order ID</t>
  </si>
  <si>
    <t>Marketplace Order ID</t>
  </si>
  <si>
    <t>SKU (editable)</t>
  </si>
  <si>
    <t>Qty</t>
  </si>
  <si>
    <t>DSP Price (RM) — KEY IN</t>
  </si>
  <si>
    <t>SO Original (RM)</t>
  </si>
  <si>
    <t>SO Deal (RM) — Actual Promo Price</t>
  </si>
  <si>
    <t>SO Actual Disc %</t>
  </si>
  <si>
    <t>Table Promo Rate (auto)</t>
  </si>
  <si>
    <t>Verification Status</t>
  </si>
  <si>
    <t>Promo Applied? (Yes/No)</t>
  </si>
  <si>
    <t>Note</t>
  </si>
  <si>
    <t>225175</t>
  </si>
  <si>
    <t>2606047B8BX3BS</t>
  </si>
  <si>
    <t>LEEU-PC-LION-i11PRO-TP</t>
  </si>
  <si>
    <t>Correct</t>
  </si>
  <si>
    <t>Yes</t>
  </si>
  <si>
    <t>ISKU not in DSP master — key in DSP price</t>
  </si>
  <si>
    <t>228827</t>
  </si>
  <si>
    <t>2606263WF5VB86</t>
  </si>
  <si>
    <t>7TREE-PC-JJ-ZFold7-BLU</t>
  </si>
  <si>
    <t>No Promotion Set</t>
  </si>
  <si>
    <t>No</t>
  </si>
  <si>
    <t>228863</t>
  </si>
  <si>
    <t>26062649NPVTD3</t>
  </si>
  <si>
    <t>229416</t>
  </si>
  <si>
    <t>260629BQGAPD7R</t>
  </si>
  <si>
    <t>B. MISSING SKU LINK IN SITEGIANT — 14 lines had a blank isku in Sitegiant; auto-matched via the Shopee SO SKU instead. Priced &amp; invoiced already. Confirm each, and fix the isku linking in Sitegiant to prevent recurrence.</t>
  </si>
  <si>
    <t>SKU (recovered from SO)</t>
  </si>
  <si>
    <t>DSP Price (RM)</t>
  </si>
  <si>
    <t>SO Deal (RM)</t>
  </si>
  <si>
    <t>Table Promo Rate</t>
  </si>
  <si>
    <t>Your Check (dropdown)</t>
  </si>
  <si>
    <t>224841</t>
  </si>
  <si>
    <t>2606022XU94PSF</t>
  </si>
  <si>
    <t>JJT-FILM-5A+-MB-BR</t>
  </si>
  <si>
    <t>Pending Review</t>
  </si>
  <si>
    <t>Sitegiant isku was blank — add the SKU link in Sitegiant</t>
  </si>
  <si>
    <t>225275</t>
  </si>
  <si>
    <t>2606058D74KNBG</t>
  </si>
  <si>
    <t>JJT-FILM-5A+-MB-CLR</t>
  </si>
  <si>
    <t>225327</t>
  </si>
  <si>
    <t>2606059M9SGXG3</t>
  </si>
  <si>
    <t>225334</t>
  </si>
  <si>
    <t>2606059PQW3G74</t>
  </si>
  <si>
    <t>225586</t>
  </si>
  <si>
    <t>260606C7JFDHF4</t>
  </si>
  <si>
    <t>225682</t>
  </si>
  <si>
    <t>260606D9DTFAW6</t>
  </si>
  <si>
    <t>225866</t>
  </si>
  <si>
    <t>260607FJ45A7HT</t>
  </si>
  <si>
    <t>JJT-FILM-5A+-MB-MAT</t>
  </si>
  <si>
    <t>227355</t>
  </si>
  <si>
    <t>2606168DECAPAF</t>
  </si>
  <si>
    <t>227602</t>
  </si>
  <si>
    <t>260618DBEGWYYF</t>
  </si>
  <si>
    <t>228178</t>
  </si>
  <si>
    <t>260622QB750M9M</t>
  </si>
  <si>
    <t>JJT-FILM-5A+-TBL-CLR</t>
  </si>
  <si>
    <t>229119</t>
  </si>
  <si>
    <t>2606277V2Q13KR</t>
  </si>
  <si>
    <t>229282</t>
  </si>
  <si>
    <t>260628A6218XU9</t>
  </si>
  <si>
    <t>229644</t>
  </si>
  <si>
    <t>260630EEJKKE4A</t>
  </si>
  <si>
    <t>C. MISSING PROMOTION RATE — 1 line(s): reseller ran a retail discount but the SKU has NO rate in the June Promo Rate table. Currently charged FULL DSP. Key in a rate (col J) to grant the discount; leave 0% to keep full DSP.</t>
  </si>
  <si>
    <t>SKU</t>
  </si>
  <si>
    <t>Promo Rate — KEY IN (0% = full DSP)</t>
  </si>
  <si>
    <t>(auto) Applied?</t>
  </si>
  <si>
    <t>224834</t>
  </si>
  <si>
    <t>2606022WUSYU98</t>
  </si>
  <si>
    <t>ESM-PC-DD-iP16ProMax-BLU</t>
  </si>
  <si>
    <t>No Promo Rate On File</t>
  </si>
  <si>
    <t>Add this SKU to the Promo Rate file if a rate should apply going forward</t>
  </si>
  <si>
    <t>D. INCORRECT PROMOTION RATE SET BY RESELLER — 70 lines: reseller ran a discount but NOT at our table rate. Default = still charge our table rate. Change the Decision (col L) to charge full DSP instead for any line.</t>
  </si>
  <si>
    <t>SO Actual Disc % (what they set)</t>
  </si>
  <si>
    <t>Our Table Rate (what they should set)</t>
  </si>
  <si>
    <t>Decision (dropdown)</t>
  </si>
  <si>
    <t>Rate Difference</t>
  </si>
  <si>
    <t>227437</t>
  </si>
  <si>
    <t>260617ACGWMS94</t>
  </si>
  <si>
    <t>DUX-IC-MAGI-TabS10Plus-BLK</t>
  </si>
  <si>
    <t>WRONG RATE</t>
  </si>
  <si>
    <t>OK — Charge Table Rate</t>
  </si>
  <si>
    <t>227296</t>
  </si>
  <si>
    <t>260616748B40WY</t>
  </si>
  <si>
    <t>DUX-PC-AIMO-Mi14T-BLK</t>
  </si>
  <si>
    <t>229108</t>
  </si>
  <si>
    <t>2606277REYYCC2</t>
  </si>
  <si>
    <t>ZFRI-SP-GOR-i16ProMax-MAT</t>
  </si>
  <si>
    <t>229396</t>
  </si>
  <si>
    <t>260629BK2XERY7</t>
  </si>
  <si>
    <t>225396</t>
  </si>
  <si>
    <t>260605A4C418BR</t>
  </si>
  <si>
    <t>226794</t>
  </si>
  <si>
    <t>260613VHQWS67X</t>
  </si>
  <si>
    <t>227479</t>
  </si>
  <si>
    <t>260617B3HDSYTW</t>
  </si>
  <si>
    <t>228281</t>
  </si>
  <si>
    <t>260622RE3ER225</t>
  </si>
  <si>
    <t>225182</t>
  </si>
  <si>
    <t>2606047DB35JBV</t>
  </si>
  <si>
    <t>ZFRI-LC-MbookAir/13(20)-CLR</t>
  </si>
  <si>
    <t>227155</t>
  </si>
  <si>
    <t>2606155KB0B2U8</t>
  </si>
  <si>
    <t>ZFRI-LC-MbookAir/13(20)-BLK</t>
  </si>
  <si>
    <t>228426</t>
  </si>
  <si>
    <t>260623TTYET8VP</t>
  </si>
  <si>
    <t>228647</t>
  </si>
  <si>
    <t>260625145WAYM8</t>
  </si>
  <si>
    <t>225233</t>
  </si>
  <si>
    <t>2606047YGSYP22</t>
  </si>
  <si>
    <t>ZFRI-SP-GOR-i16Pro-MAT</t>
  </si>
  <si>
    <t>226624</t>
  </si>
  <si>
    <t>260611STTWMAN6</t>
  </si>
  <si>
    <t>227992</t>
  </si>
  <si>
    <t>260621MQQA66FX</t>
  </si>
  <si>
    <t>225199</t>
  </si>
  <si>
    <t>2606047KJK2FK9</t>
  </si>
  <si>
    <t>DUX-PC-FLIP-i16ProMax-BLK</t>
  </si>
  <si>
    <t>226428</t>
  </si>
  <si>
    <t>260610Q2J2MG39</t>
  </si>
  <si>
    <t>227214</t>
  </si>
  <si>
    <t>260615657UVWHT</t>
  </si>
  <si>
    <t>227169</t>
  </si>
  <si>
    <t>2606155PYST39G</t>
  </si>
  <si>
    <t>LEEU-MAC-STL-Clip-GLD</t>
  </si>
  <si>
    <t>229550</t>
  </si>
  <si>
    <t>260630D4PBUXG3</t>
  </si>
  <si>
    <t>LEEU-MAC-STL-Clip-BLK</t>
  </si>
  <si>
    <t>226509</t>
  </si>
  <si>
    <t>260611RJFPPV50</t>
  </si>
  <si>
    <t>ZFRI-SP-GOR-i17ProMax-CLR</t>
  </si>
  <si>
    <t>227667</t>
  </si>
  <si>
    <t>260618E9V4FFV0</t>
  </si>
  <si>
    <t>228120</t>
  </si>
  <si>
    <t>260622P7WW9C4Y</t>
  </si>
  <si>
    <t>226848</t>
  </si>
  <si>
    <t>2606130SNN1WF4</t>
  </si>
  <si>
    <t>ZFRI-SP-GOR-i17ProMax-PVC</t>
  </si>
  <si>
    <t>227524</t>
  </si>
  <si>
    <t>260617BQA58SBE</t>
  </si>
  <si>
    <t>225093</t>
  </si>
  <si>
    <t>2606045XE2DUTX</t>
  </si>
  <si>
    <t>ZFRI-LC-MbookPro/13(20)-CLR</t>
  </si>
  <si>
    <t>229074</t>
  </si>
  <si>
    <t>2606277BM7FY3F</t>
  </si>
  <si>
    <t>ZFRI-LC-MbookPro/13(20)-BLK</t>
  </si>
  <si>
    <t>DDC-WTF-AR-MbookAir/13(18)-CLR</t>
  </si>
  <si>
    <t>226579</t>
  </si>
  <si>
    <t>260611SD9YK9JN</t>
  </si>
  <si>
    <t>DDC-WTF-AR-MbookAir/13(22)-CLR</t>
  </si>
  <si>
    <t>227879</t>
  </si>
  <si>
    <t>260620JJBMG76S</t>
  </si>
  <si>
    <t>DDC-WTF-AR-MbookPro/16(21)-CLR</t>
  </si>
  <si>
    <t>229290</t>
  </si>
  <si>
    <t>260628A77PQ150</t>
  </si>
  <si>
    <t>ZFRI-SP-GOR-i14ProMax-MAT</t>
  </si>
  <si>
    <t>ZFRI-SP-GOR-i11/XR-MAT</t>
  </si>
  <si>
    <t>ZFRI-SP-GOR-i15-MAT</t>
  </si>
  <si>
    <t>DDC-LAC-KC-MbookPro/13(22)-CLR</t>
  </si>
  <si>
    <t>DDC-LAC-KC-MbookAir/13(22)-CLR</t>
  </si>
  <si>
    <t>DDC-LAC-KC-MbookAir/13(22)-BLK</t>
  </si>
  <si>
    <t>229038</t>
  </si>
  <si>
    <t>2606276WJAU4PN</t>
  </si>
  <si>
    <t>DUX-BAG-LBDA-14/15.4-DGRY</t>
  </si>
  <si>
    <t>ZFRI-LC-MbookAir/13(22)-CLR</t>
  </si>
  <si>
    <t>226833</t>
  </si>
  <si>
    <t>2606130KMN28WN</t>
  </si>
  <si>
    <t>ZFRI-SP-SILK(MOB)-i16Pro-CLR</t>
  </si>
  <si>
    <t>227482</t>
  </si>
  <si>
    <t>260617B4GT0BDV</t>
  </si>
  <si>
    <t>MXX-WTF-TabS8Ultra-CLR</t>
  </si>
  <si>
    <t>DUX-PC-XPS-i16Pro-PRP</t>
  </si>
  <si>
    <t>LEEU-MAC-STL-360Clip/REC-SLV</t>
  </si>
  <si>
    <t>226120</t>
  </si>
  <si>
    <t>260608J6P258UR</t>
  </si>
  <si>
    <t>LEEU-LANY-CLIMB-ADJ-COF</t>
  </si>
  <si>
    <t>227159</t>
  </si>
  <si>
    <t>2606155MWMNR3U</t>
  </si>
  <si>
    <t>LEEU-LANY-CLIMB-ADJ-GRY</t>
  </si>
  <si>
    <t>LEEU-LANY-CLIMB-ADJ-INKG</t>
  </si>
  <si>
    <t>LEEU-LANY-CLIMB-ADJ-BLK</t>
  </si>
  <si>
    <t>LEEU-PC-ARCY(MS)-iP17ProMax-CLR</t>
  </si>
  <si>
    <t>224621</t>
  </si>
  <si>
    <t>260601VQCXD4MB</t>
  </si>
  <si>
    <t>ZFRI-SP-GOR-i16ProMax-CLR</t>
  </si>
  <si>
    <t>226683</t>
  </si>
  <si>
    <t>260612U3F0P5GN</t>
  </si>
  <si>
    <t>ZFRI-SP-GOR-i16Pro-CLR</t>
  </si>
  <si>
    <t>227618</t>
  </si>
  <si>
    <t>260618DH94TW7H</t>
  </si>
  <si>
    <t>ZFRI-SP-GOR-i15ProMax-CLR</t>
  </si>
  <si>
    <t>228728</t>
  </si>
  <si>
    <t>26062524R1E80R</t>
  </si>
  <si>
    <t>ZFRI-SP-GOR-i13ProMax-CLR</t>
  </si>
  <si>
    <t>ZFRI-SP-GOR-i11/XR-CLR</t>
  </si>
  <si>
    <t>ZFRI-SP-GOR-i17Pro-PVC</t>
  </si>
  <si>
    <t>226134</t>
  </si>
  <si>
    <t>260608JBPA46RD</t>
  </si>
  <si>
    <t>DDC-LAC-TPAD-MbookPro/13(20)-CLR</t>
  </si>
  <si>
    <t>225939</t>
  </si>
  <si>
    <t>260608G54PE605</t>
  </si>
  <si>
    <t>DDC-LAC-TPAD-MbookAir/13(22)-CLR</t>
  </si>
  <si>
    <t>E. COULD NOT VERIFY — 1 line(s): no matching Shopee price line found to check the promotion. Charged per default rule (table rate applied if on file). Review manually.</t>
  </si>
  <si>
    <t>HKQTQ-CL-HAWK-TabS9Plus-RBW</t>
  </si>
  <si>
    <t>No SO Match</t>
  </si>
  <si>
    <t>SKU sold under a different Shopee listing SKU — check listing mapping</t>
  </si>
  <si>
    <t>All decisions here flow through automatically — no other tab needs editing. Yellow cells = your input.</t>
  </si>
  <si>
    <t>No.</t>
  </si>
  <si>
    <t>Order Date</t>
  </si>
  <si>
    <t>Promo Rate (Our File)</t>
  </si>
  <si>
    <t>Promo Applied?</t>
  </si>
  <si>
    <t>Final Unit Price (RM)</t>
  </si>
  <si>
    <t>Line Total (RM)</t>
  </si>
  <si>
    <t>SO Original Price (RM)</t>
  </si>
  <si>
    <t>SO Deal Price (RM) — Actual Promo Price</t>
  </si>
  <si>
    <t>Reseller Actual Discount % (SO)</t>
  </si>
  <si>
    <t>Promo Verification Status</t>
  </si>
  <si>
    <t>Original Line Total, Pre-Return Adj. (RM)</t>
  </si>
  <si>
    <t>224561</t>
  </si>
  <si>
    <t>260601UM8M25KH</t>
  </si>
  <si>
    <t>2026-06-01 01:57</t>
  </si>
  <si>
    <t>ZFRI-SP-GOR-i15-PVC</t>
  </si>
  <si>
    <t>224563</t>
  </si>
  <si>
    <t>260601UMYJBUSK</t>
  </si>
  <si>
    <t>2026-06-01 02:10</t>
  </si>
  <si>
    <t>ZFRI-SP-GOR-i13ProMax-PVC</t>
  </si>
  <si>
    <t>224565</t>
  </si>
  <si>
    <t>260601UN5QTNR6</t>
  </si>
  <si>
    <t>2026-06-01 02:14</t>
  </si>
  <si>
    <t>224586</t>
  </si>
  <si>
    <t>260601VCDKH9EV</t>
  </si>
  <si>
    <t>2026-06-01 09:10</t>
  </si>
  <si>
    <t>ZFRI-SP-GOR-i17ProMax-MAT</t>
  </si>
  <si>
    <t>224593</t>
  </si>
  <si>
    <t>260601VF4UTGSW</t>
  </si>
  <si>
    <t>2026-06-01 09:59</t>
  </si>
  <si>
    <t>GKK-PC-MSTAND-MagicV2-BLK</t>
  </si>
  <si>
    <t>224605</t>
  </si>
  <si>
    <t>260601VKQ4HD1A</t>
  </si>
  <si>
    <t>2026-06-01 11:20</t>
  </si>
  <si>
    <t>ZFRI-SP-GOR-i12ProMax-PVC</t>
  </si>
  <si>
    <t>224607</t>
  </si>
  <si>
    <t>260601VMHXUKV2</t>
  </si>
  <si>
    <t>2026-06-01 11:36</t>
  </si>
  <si>
    <t>DUX-WAC-BSNES-S/22-BLK</t>
  </si>
  <si>
    <t>224615</t>
  </si>
  <si>
    <t>260601VNPUF848</t>
  </si>
  <si>
    <t>2026-06-01 11:56</t>
  </si>
  <si>
    <t>2026-06-01 12:26</t>
  </si>
  <si>
    <t>224627</t>
  </si>
  <si>
    <t>260601VSU10CR4</t>
  </si>
  <si>
    <t>2026-06-01 13:10</t>
  </si>
  <si>
    <t>DUX-PC-FITT-ZFold6-GRY</t>
  </si>
  <si>
    <t>224640</t>
  </si>
  <si>
    <t>260601VYTQXH6F</t>
  </si>
  <si>
    <t>2026-06-01 14:57</t>
  </si>
  <si>
    <t>LEEU-PC-ABAG-i15Pro-CLR</t>
  </si>
  <si>
    <t>224648</t>
  </si>
  <si>
    <t>260601W290CG53</t>
  </si>
  <si>
    <t>2026-06-01 15:41</t>
  </si>
  <si>
    <t>ZFRI-SP-GOR-i15Pro-PVC</t>
  </si>
  <si>
    <t>224650</t>
  </si>
  <si>
    <t>26060100HKTR8T</t>
  </si>
  <si>
    <t>2026-06-01 16:09</t>
  </si>
  <si>
    <t>KDZ-PC-DDR-S25Plus-BLK</t>
  </si>
  <si>
    <t>224651</t>
  </si>
  <si>
    <t>26060100MEF3HR</t>
  </si>
  <si>
    <t>2026-06-01 16:11</t>
  </si>
  <si>
    <t>224654</t>
  </si>
  <si>
    <t>260601046VGVEP</t>
  </si>
  <si>
    <t>2026-06-01 17:15</t>
  </si>
  <si>
    <t>ZFRI-SP-GOR-i13-CLR</t>
  </si>
  <si>
    <t>224659</t>
  </si>
  <si>
    <t>260601074YA7N3</t>
  </si>
  <si>
    <t>2026-06-01 18:08</t>
  </si>
  <si>
    <t>224668</t>
  </si>
  <si>
    <t>2606010CHRPRSG</t>
  </si>
  <si>
    <t>2026-06-01 19:44</t>
  </si>
  <si>
    <t>ESM-GC-PCTPU-SOLED-RED/CARD</t>
  </si>
  <si>
    <t>224671</t>
  </si>
  <si>
    <t>2606010EK8UMH4</t>
  </si>
  <si>
    <t>2026-06-01 20:21</t>
  </si>
  <si>
    <t>DUX-IC-DOMO-iPad10/10.9(22)-BLU</t>
  </si>
  <si>
    <t>224700</t>
  </si>
  <si>
    <t>2606010PSUPXVP</t>
  </si>
  <si>
    <t>2026-06-01 22:48</t>
  </si>
  <si>
    <t>224717</t>
  </si>
  <si>
    <t>2606020VUDU2UD</t>
  </si>
  <si>
    <t>2026-06-02 00:36</t>
  </si>
  <si>
    <t>224729</t>
  </si>
  <si>
    <t>2606021PPH5F40</t>
  </si>
  <si>
    <t>2026-06-02 08:18</t>
  </si>
  <si>
    <t>7TREE-PC-SHI(MS)-XM13Ultra-BLK</t>
  </si>
  <si>
    <t>224738</t>
  </si>
  <si>
    <t>2606021RXTRGG4</t>
  </si>
  <si>
    <t>2026-06-02 08:59</t>
  </si>
  <si>
    <t>DUX-PC-AIMO-Magic7Pro-BLK</t>
  </si>
  <si>
    <t>OEM1-PC-PU-Magic7Pro-BLK</t>
  </si>
  <si>
    <t>224746</t>
  </si>
  <si>
    <t>2606021XCEUFNW</t>
  </si>
  <si>
    <t>2026-06-02 10:36</t>
  </si>
  <si>
    <t>224755</t>
  </si>
  <si>
    <t>260602208S44KA</t>
  </si>
  <si>
    <t>2026-06-02 11:10</t>
  </si>
  <si>
    <t>DUX-IC-DOMO-TabS10Plus-BLK</t>
  </si>
  <si>
    <t>224772</t>
  </si>
  <si>
    <t>26060224FCW1Q9</t>
  </si>
  <si>
    <t>2026-06-02 12:25</t>
  </si>
  <si>
    <t>XINC-LAC-VERS-Bag/14inch-BLK</t>
  </si>
  <si>
    <t>224774</t>
  </si>
  <si>
    <t>26060224RQBV0Q</t>
  </si>
  <si>
    <t>2026-06-02 12:30</t>
  </si>
  <si>
    <t>ZFRI-SP-GOR-i13-PVC</t>
  </si>
  <si>
    <t>224777</t>
  </si>
  <si>
    <t>26060225ES258G</t>
  </si>
  <si>
    <t>2026-06-02 12:43</t>
  </si>
  <si>
    <t>LEEU-LANY-CLIMB-NECK-KHA</t>
  </si>
  <si>
    <t>224778</t>
  </si>
  <si>
    <t>260602265HNDFV</t>
  </si>
  <si>
    <t>2026-06-02 12:55</t>
  </si>
  <si>
    <t>224780</t>
  </si>
  <si>
    <t>26060226VPPS7M</t>
  </si>
  <si>
    <t>2026-06-02 13:08</t>
  </si>
  <si>
    <t>DUX-PC-XPS-i14ProMax-BLK</t>
  </si>
  <si>
    <t>224783</t>
  </si>
  <si>
    <t>26060229713TGS</t>
  </si>
  <si>
    <t>2026-06-02 13:50</t>
  </si>
  <si>
    <t>224805</t>
  </si>
  <si>
    <t>2606022J5NJX43</t>
  </si>
  <si>
    <t>2026-06-02 16:30</t>
  </si>
  <si>
    <t>7TREE-PC-SHI(MS)-Pixel9ProXL-BLK</t>
  </si>
  <si>
    <t>224810</t>
  </si>
  <si>
    <t>2606022KWC0527</t>
  </si>
  <si>
    <t>2026-06-02 17:01</t>
  </si>
  <si>
    <t>ZFRI-SP-GOR-i13-MAT</t>
  </si>
  <si>
    <t>224823</t>
  </si>
  <si>
    <t>2606022RWYD33N</t>
  </si>
  <si>
    <t>2026-06-02 18:31</t>
  </si>
  <si>
    <t>224827</t>
  </si>
  <si>
    <t>2606022U30298H</t>
  </si>
  <si>
    <t>2026-06-02 19:10</t>
  </si>
  <si>
    <t>BG-STP-CDY(YT)-49-CLR</t>
  </si>
  <si>
    <t>224833</t>
  </si>
  <si>
    <t>2606022WJ6W927</t>
  </si>
  <si>
    <t>2026-06-02 19:54</t>
  </si>
  <si>
    <t>ZFRI-SP-GOR-i11ProMax-PVC</t>
  </si>
  <si>
    <t>2026-06-02 19:59</t>
  </si>
  <si>
    <t>224838</t>
  </si>
  <si>
    <t>2606022XFP4C58</t>
  </si>
  <si>
    <t>2026-06-02 20:10</t>
  </si>
  <si>
    <t>ZFRI-SP-GOR-i12-PVC</t>
  </si>
  <si>
    <t>2026-06-02 20:17</t>
  </si>
  <si>
    <t>224862</t>
  </si>
  <si>
    <t>26060235A9ARW3</t>
  </si>
  <si>
    <t>2026-06-02 22:13</t>
  </si>
  <si>
    <t>7TREE-PC-XF-MagicV5-GLD</t>
  </si>
  <si>
    <t>224864</t>
  </si>
  <si>
    <t>260602360X377J</t>
  </si>
  <si>
    <t>2026-06-02 22:25</t>
  </si>
  <si>
    <t>FATB-GC-NSwitch-BLK</t>
  </si>
  <si>
    <t>FATB-GC-CLAS-SwitchOLED-BLK</t>
  </si>
  <si>
    <t>224876</t>
  </si>
  <si>
    <t>26060239BXR2GT</t>
  </si>
  <si>
    <t>2026-06-02 23:25</t>
  </si>
  <si>
    <t>ZFRI-SP-GOR-i14ProMax-CLR</t>
  </si>
  <si>
    <t>224878</t>
  </si>
  <si>
    <t>2606023AWT7TT8</t>
  </si>
  <si>
    <t>2026-06-02 23:53</t>
  </si>
  <si>
    <t>7TREE-PC-PU-Magic7Pro-WHT</t>
  </si>
  <si>
    <t>224881</t>
  </si>
  <si>
    <t>2606033BP4ENM3</t>
  </si>
  <si>
    <t>2026-06-03 00:07</t>
  </si>
  <si>
    <t>LEEU-LANY-CLIMB-ADJ-BEI</t>
  </si>
  <si>
    <t>224883</t>
  </si>
  <si>
    <t>2606033CYWF4NK</t>
  </si>
  <si>
    <t>2026-06-03 00:30</t>
  </si>
  <si>
    <t>OEM-SP-ARC-TabS7FE-CLR</t>
  </si>
  <si>
    <t>224888</t>
  </si>
  <si>
    <t>2606033EQQR98J</t>
  </si>
  <si>
    <t>2026-06-03 01:01</t>
  </si>
  <si>
    <t>ZFRI-SP-GOR-i16Pro-PVC</t>
  </si>
  <si>
    <t>224889</t>
  </si>
  <si>
    <t>2606033ERBSA1S</t>
  </si>
  <si>
    <t>2026-06-03 01:02</t>
  </si>
  <si>
    <t>ZFRI-LC-MbookPro/14(2021)-BLK</t>
  </si>
  <si>
    <t>224897</t>
  </si>
  <si>
    <t>2606033K9DARMJ</t>
  </si>
  <si>
    <t>2026-06-03 02:23</t>
  </si>
  <si>
    <t>224900</t>
  </si>
  <si>
    <t>2606033NPDHXKM</t>
  </si>
  <si>
    <t>2026-06-03 03:06</t>
  </si>
  <si>
    <t>GKK-PC-AIR2-ZFlip6-BLK</t>
  </si>
  <si>
    <t>224916</t>
  </si>
  <si>
    <t>260603488SMAKR</t>
  </si>
  <si>
    <t>2026-06-03 08:38</t>
  </si>
  <si>
    <t>DUX-PC-FLIP-iP17-BLK</t>
  </si>
  <si>
    <t>224919</t>
  </si>
  <si>
    <t>26060348VSJPW8</t>
  </si>
  <si>
    <t>2026-06-03 08:49</t>
  </si>
  <si>
    <t>LEEU-LANY-CLIMB-CROS-KHA</t>
  </si>
  <si>
    <t>224923</t>
  </si>
  <si>
    <t>2606034B6C7476</t>
  </si>
  <si>
    <t>2026-06-03 09:31</t>
  </si>
  <si>
    <t>224934</t>
  </si>
  <si>
    <t>2606034CX0QRRM</t>
  </si>
  <si>
    <t>2026-06-03 10:02</t>
  </si>
  <si>
    <t>224936</t>
  </si>
  <si>
    <t>2606034DFUXT88</t>
  </si>
  <si>
    <t>2026-06-03 10:12</t>
  </si>
  <si>
    <t>224939</t>
  </si>
  <si>
    <t>2606034DV5TB08</t>
  </si>
  <si>
    <t>2026-06-03 10:19</t>
  </si>
  <si>
    <t>FT-STP-ALP1-42/44/45/49-BLK</t>
  </si>
  <si>
    <t>224946</t>
  </si>
  <si>
    <t>2606034H57K015</t>
  </si>
  <si>
    <t>2026-06-03 11:18</t>
  </si>
  <si>
    <t>GB-PC-QJ-V30/PRO-CLR/BLK</t>
  </si>
  <si>
    <t>224947</t>
  </si>
  <si>
    <t>2606034H88SRWN</t>
  </si>
  <si>
    <t>2026-06-03 11:19</t>
  </si>
  <si>
    <t>ZFRI-SP-GOR-i16ProMax-PVC</t>
  </si>
  <si>
    <t>224967</t>
  </si>
  <si>
    <t>2606034R51NY82</t>
  </si>
  <si>
    <t>2026-06-03 13:23</t>
  </si>
  <si>
    <t>LUS-PC-YD(MS)-S25Ultra-BLK</t>
  </si>
  <si>
    <t>224969</t>
  </si>
  <si>
    <t>2606034SEQSC2B</t>
  </si>
  <si>
    <t>2026-06-03 13:46</t>
  </si>
  <si>
    <t>224983</t>
  </si>
  <si>
    <t>2606034VA1VN4K</t>
  </si>
  <si>
    <t>2026-06-03 14:37</t>
  </si>
  <si>
    <t>LEEU-LANY-CLIMB-ADJ-LPRP</t>
  </si>
  <si>
    <t>224984</t>
  </si>
  <si>
    <t>2606034VA1WEUT</t>
  </si>
  <si>
    <t>224986</t>
  </si>
  <si>
    <t>2606034VQX9W4Y</t>
  </si>
  <si>
    <t>2026-06-03 14:45</t>
  </si>
  <si>
    <t>OEM-SP-ARC-MPadAir23-CLR</t>
  </si>
  <si>
    <t>224987</t>
  </si>
  <si>
    <t>2606034VSNKXT7</t>
  </si>
  <si>
    <t>2026-06-03 14:46</t>
  </si>
  <si>
    <t>GKK-PC-STAND(MS)-MagicV5-TTN</t>
  </si>
  <si>
    <t>224990</t>
  </si>
  <si>
    <t>2606034W0C735A</t>
  </si>
  <si>
    <t>2026-06-03 14:49</t>
  </si>
  <si>
    <t>OEM1-PC-PU(MS)-IQOO13-BLK</t>
  </si>
  <si>
    <t>225012</t>
  </si>
  <si>
    <t>26060352TJRV6F</t>
  </si>
  <si>
    <t>2026-06-03 16:34</t>
  </si>
  <si>
    <t>225022</t>
  </si>
  <si>
    <t>26060355JTHKHW</t>
  </si>
  <si>
    <t>2026-06-03 17:23</t>
  </si>
  <si>
    <t>7TREE-PC-JJ-ZFlip7-RED</t>
  </si>
  <si>
    <t>225063</t>
  </si>
  <si>
    <t>2606035Q2BTTKK</t>
  </si>
  <si>
    <t>2026-06-03 22:36</t>
  </si>
  <si>
    <t>ZFRI-SP-GOR-i14ProMax-PVC</t>
  </si>
  <si>
    <t>225065</t>
  </si>
  <si>
    <t>2606035RA23301</t>
  </si>
  <si>
    <t>2026-06-03 22:58</t>
  </si>
  <si>
    <t>225076</t>
  </si>
  <si>
    <t>2606035TFH4V55</t>
  </si>
  <si>
    <t>2026-06-03 23:37</t>
  </si>
  <si>
    <t>225079</t>
  </si>
  <si>
    <t>2606045US0N3QP</t>
  </si>
  <si>
    <t>2026-06-04 00:00</t>
  </si>
  <si>
    <t>225085</t>
  </si>
  <si>
    <t>2606045VRPDK85</t>
  </si>
  <si>
    <t>2026-06-04 00:18</t>
  </si>
  <si>
    <t>ZFRI-SP-GOR-i15Pro-CLR</t>
  </si>
  <si>
    <t>225088</t>
  </si>
  <si>
    <t>2606045WCU3U4X</t>
  </si>
  <si>
    <t>2026-06-04 00:29</t>
  </si>
  <si>
    <t>225090</t>
  </si>
  <si>
    <t>2606045WVGPV4J</t>
  </si>
  <si>
    <t>2026-06-04 00:38</t>
  </si>
  <si>
    <t>XINC-LAC-VERS-Bag/12inch-BLK</t>
  </si>
  <si>
    <t>2026-06-04 00:48</t>
  </si>
  <si>
    <t>DDC-LAC-KC-MbookPro/13(22)-BLK</t>
  </si>
  <si>
    <t>225104</t>
  </si>
  <si>
    <t>26060464QVNE65</t>
  </si>
  <si>
    <t>2026-06-04 02:40</t>
  </si>
  <si>
    <t>225105</t>
  </si>
  <si>
    <t>26060465T4ETEX</t>
  </si>
  <si>
    <t>2026-06-04 03:00</t>
  </si>
  <si>
    <t>DUX-PC-XPS-i15ProMax-BLK</t>
  </si>
  <si>
    <t>225113</t>
  </si>
  <si>
    <t>2606046NE3B1MH</t>
  </si>
  <si>
    <t>2026-06-04 07:39</t>
  </si>
  <si>
    <t>225121</t>
  </si>
  <si>
    <t>2606046RME8N5A</t>
  </si>
  <si>
    <t>2026-06-04 08:36</t>
  </si>
  <si>
    <t>225122</t>
  </si>
  <si>
    <t>2606046RSVRF70</t>
  </si>
  <si>
    <t>2026-06-04 08:39</t>
  </si>
  <si>
    <t>225124</t>
  </si>
  <si>
    <t>2606046S7T55UD</t>
  </si>
  <si>
    <t>2026-06-04 08:47</t>
  </si>
  <si>
    <t>ZFRI-SP-GOR-i15ProMax-PVC</t>
  </si>
  <si>
    <t>225132</t>
  </si>
  <si>
    <t>2606046X9BYFWX</t>
  </si>
  <si>
    <t>2026-06-04 10:18</t>
  </si>
  <si>
    <t>225139</t>
  </si>
  <si>
    <t>2606046YWQKFUX</t>
  </si>
  <si>
    <t>2026-06-04 10:47</t>
  </si>
  <si>
    <t>ZFRI-SP-GOR-i11/XR-PVC</t>
  </si>
  <si>
    <t>225143</t>
  </si>
  <si>
    <t>26060470CBV7Q1</t>
  </si>
  <si>
    <t>2026-06-04 10:55</t>
  </si>
  <si>
    <t>225148</t>
  </si>
  <si>
    <t>2606047212X787</t>
  </si>
  <si>
    <t>2026-06-04 11:25</t>
  </si>
  <si>
    <t>7TREE-PC-SHI(MS)-Magic7Pro-TP</t>
  </si>
  <si>
    <t>225156</t>
  </si>
  <si>
    <t>260604747R1YAR</t>
  </si>
  <si>
    <t>2026-06-04 12:04</t>
  </si>
  <si>
    <t>ZFRI-SP-GOR-i15-CLR</t>
  </si>
  <si>
    <t>225164</t>
  </si>
  <si>
    <t>26060477U8GUMH</t>
  </si>
  <si>
    <t>2026-06-04 13:09</t>
  </si>
  <si>
    <t>DDC-LC-MATT-MbookPro/16(21)-BLK</t>
  </si>
  <si>
    <t>225167</t>
  </si>
  <si>
    <t>2606047907YJWP</t>
  </si>
  <si>
    <t>2026-06-04 13:29</t>
  </si>
  <si>
    <t>2026-06-04 14:10</t>
  </si>
  <si>
    <t>225180</t>
  </si>
  <si>
    <t>2606047CB10RK8</t>
  </si>
  <si>
    <t>2026-06-04 14:29</t>
  </si>
  <si>
    <t>2026-06-04 14:47</t>
  </si>
  <si>
    <t>225183</t>
  </si>
  <si>
    <t>2606047DUW0WJW</t>
  </si>
  <si>
    <t>2026-06-04 14:56</t>
  </si>
  <si>
    <t>2026-06-04 16:39</t>
  </si>
  <si>
    <t>225210</t>
  </si>
  <si>
    <t>2606047MYAH5BH</t>
  </si>
  <si>
    <t>2026-06-04 17:04</t>
  </si>
  <si>
    <t>LEEU-MAC-STL-mini-BLK</t>
  </si>
  <si>
    <t>225223</t>
  </si>
  <si>
    <t>2606047UHSD1FF</t>
  </si>
  <si>
    <t>2026-06-04 19:01</t>
  </si>
  <si>
    <t>225229</t>
  </si>
  <si>
    <t>2606047VVMR21D</t>
  </si>
  <si>
    <t>2026-06-04 19:25</t>
  </si>
  <si>
    <t>DUX-AAC-PECR-APP3-CLR</t>
  </si>
  <si>
    <t>2026-06-04 20:12</t>
  </si>
  <si>
    <t>ZFRI-SP-GOR-i15Pro-MAT</t>
  </si>
  <si>
    <t>225245</t>
  </si>
  <si>
    <t>26060482323KMT</t>
  </si>
  <si>
    <t>2026-06-04 20:58</t>
  </si>
  <si>
    <t>LEEU-LANY-CLIMB-CROS-COF</t>
  </si>
  <si>
    <t>225261</t>
  </si>
  <si>
    <t>26060486V44GUR</t>
  </si>
  <si>
    <t>2026-06-04 22:24</t>
  </si>
  <si>
    <t>DUX-IC-PUFF-iPad789-BLU</t>
  </si>
  <si>
    <t>225266</t>
  </si>
  <si>
    <t>26060488WR54AB</t>
  </si>
  <si>
    <t>2026-06-04 23:01</t>
  </si>
  <si>
    <t>GB-PC-QJ(MS)-Reno12Pro-MAT/BLK</t>
  </si>
  <si>
    <t>225271</t>
  </si>
  <si>
    <t>2606048BJXR3SQ</t>
  </si>
  <si>
    <t>2026-06-04 23:49</t>
  </si>
  <si>
    <t>2026-06-05 00:18</t>
  </si>
  <si>
    <t>225284</t>
  </si>
  <si>
    <t>2606058HSWEB8N</t>
  </si>
  <si>
    <t>2026-06-05 01:40</t>
  </si>
  <si>
    <t>225293</t>
  </si>
  <si>
    <t>2606058R8Q0BVU</t>
  </si>
  <si>
    <t>2026-06-05 03:35</t>
  </si>
  <si>
    <t>LEEU-PC-ARCY(MS)-iP17-CLR</t>
  </si>
  <si>
    <t>225294</t>
  </si>
  <si>
    <t>2606058RAEAPU6</t>
  </si>
  <si>
    <t>2026-06-05 03:36</t>
  </si>
  <si>
    <t>ZFRI-WAC-CUBE(C)-40-TPR</t>
  </si>
  <si>
    <t>225305</t>
  </si>
  <si>
    <t>26060598VN4R25</t>
  </si>
  <si>
    <t>2026-06-05 08:33</t>
  </si>
  <si>
    <t>XINC-LAC-VERS-Bag/12inch-BRW</t>
  </si>
  <si>
    <t>225307</t>
  </si>
  <si>
    <t>2606059C52SP6N</t>
  </si>
  <si>
    <t>2026-06-05 09:31</t>
  </si>
  <si>
    <t>DDC-LAC-KC-MbookAir/13(20)-CLR</t>
  </si>
  <si>
    <t>225315</t>
  </si>
  <si>
    <t>2606059J7XU07D</t>
  </si>
  <si>
    <t>2026-06-05 11:20</t>
  </si>
  <si>
    <t>OEM-SP-ARC-Air13/Pro13-CLR</t>
  </si>
  <si>
    <t>225318</t>
  </si>
  <si>
    <t>2606059JRPTV6W</t>
  </si>
  <si>
    <t>2026-06-05 11:29</t>
  </si>
  <si>
    <t>GKK-PC-STAND-MagicV3-BLK</t>
  </si>
  <si>
    <t>GKK-PC-STAND-MagicV3-RED</t>
  </si>
  <si>
    <t>225326</t>
  </si>
  <si>
    <t>2606059KYBSF0S</t>
  </si>
  <si>
    <t>2026-06-05 11:51</t>
  </si>
  <si>
    <t>DUX-IC-PUFF-iPad10/11-PNK</t>
  </si>
  <si>
    <t>2026-06-05 11:57</t>
  </si>
  <si>
    <t>2026-06-05 12:41</t>
  </si>
  <si>
    <t>7TREE-PC-SHI-Pixel9A-TP</t>
  </si>
  <si>
    <t>225339</t>
  </si>
  <si>
    <t>2606059R19SG9B</t>
  </si>
  <si>
    <t>2026-06-05 13:04</t>
  </si>
  <si>
    <t>DUX-IC-TOBY-TabS9Plus-BLK</t>
  </si>
  <si>
    <t>225349</t>
  </si>
  <si>
    <t>2606059SMWJ0RX</t>
  </si>
  <si>
    <t>2026-06-05 13:33</t>
  </si>
  <si>
    <t>ZFRI-SP-GOR-XS/X-CLR</t>
  </si>
  <si>
    <t>225353</t>
  </si>
  <si>
    <t>2606059TBUVY5H</t>
  </si>
  <si>
    <t>2026-06-05 13:46</t>
  </si>
  <si>
    <t>225362</t>
  </si>
  <si>
    <t>2606059UKM0Q6R</t>
  </si>
  <si>
    <t>2026-06-05 14:08</t>
  </si>
  <si>
    <t>2026-06-05 16:44</t>
  </si>
  <si>
    <t>225416</t>
  </si>
  <si>
    <t>260605ABJGWGA4</t>
  </si>
  <si>
    <t>2026-06-05 18:53</t>
  </si>
  <si>
    <t>OEM-CL-HAWK-S24Ultra-GRY</t>
  </si>
  <si>
    <t>225439</t>
  </si>
  <si>
    <t>260605AGDQN1D0</t>
  </si>
  <si>
    <t>2026-06-05 20:20</t>
  </si>
  <si>
    <t>225466</t>
  </si>
  <si>
    <t>260605APGX6JU7</t>
  </si>
  <si>
    <t>2026-06-05 22:09</t>
  </si>
  <si>
    <t>DUX-PC-FLIP-iP17Pro-BLK</t>
  </si>
  <si>
    <t>225471</t>
  </si>
  <si>
    <t>260605ARFE0JU2</t>
  </si>
  <si>
    <t>2026-06-05 22:44</t>
  </si>
  <si>
    <t>225502</t>
  </si>
  <si>
    <t>260606AWT4Q4EV</t>
  </si>
  <si>
    <t>2026-06-06 00:20</t>
  </si>
  <si>
    <t>ZFRI-SP-GOR-i17Air-CLR</t>
  </si>
  <si>
    <t>225503</t>
  </si>
  <si>
    <t>260606AX1K4X9C</t>
  </si>
  <si>
    <t>2026-06-06 00:24</t>
  </si>
  <si>
    <t>225507</t>
  </si>
  <si>
    <t>260606AXHEEE6X</t>
  </si>
  <si>
    <t>2026-06-06 00:33</t>
  </si>
  <si>
    <t>225524</t>
  </si>
  <si>
    <t>260606B4T7BSH0</t>
  </si>
  <si>
    <t>2026-06-06 02:25</t>
  </si>
  <si>
    <t>225532</t>
  </si>
  <si>
    <t>260606BAQTM3MD</t>
  </si>
  <si>
    <t>2026-06-06 04:11</t>
  </si>
  <si>
    <t>225538</t>
  </si>
  <si>
    <t>260606BK327MQG</t>
  </si>
  <si>
    <t>2026-06-06 06:41</t>
  </si>
  <si>
    <t>DUX-ACE-NEVA-WALLET-BLU</t>
  </si>
  <si>
    <t>2026-06-06 12:47</t>
  </si>
  <si>
    <t>225587</t>
  </si>
  <si>
    <t>260606C7RACV0E</t>
  </si>
  <si>
    <t>2026-06-06 12:50</t>
  </si>
  <si>
    <t>225589</t>
  </si>
  <si>
    <t>260606C8C2NUWK</t>
  </si>
  <si>
    <t>2026-06-06 13:01</t>
  </si>
  <si>
    <t>DUX-PC-XPS(RING)-S25Plus-PRP</t>
  </si>
  <si>
    <t>225609</t>
  </si>
  <si>
    <t>260606CF8WE06H</t>
  </si>
  <si>
    <t>2026-06-06 15:05</t>
  </si>
  <si>
    <t>225618</t>
  </si>
  <si>
    <t>260606CKEAYT68</t>
  </si>
  <si>
    <t>2026-06-06 16:20</t>
  </si>
  <si>
    <t>225622</t>
  </si>
  <si>
    <t>260606CQ7KFTEB</t>
  </si>
  <si>
    <t>2026-06-06 17:27</t>
  </si>
  <si>
    <t>225626</t>
  </si>
  <si>
    <t>260606CTTNNMUN</t>
  </si>
  <si>
    <t>2026-06-06 18:32</t>
  </si>
  <si>
    <t>KDZ-PC-STAN-S26Ultra-TPR</t>
  </si>
  <si>
    <t>225633</t>
  </si>
  <si>
    <t>260606CW68692S</t>
  </si>
  <si>
    <t>2026-06-06 19:14</t>
  </si>
  <si>
    <t>DUX-IC-TOBY-TabS9FE-BLK</t>
  </si>
  <si>
    <t>225638</t>
  </si>
  <si>
    <t>260606CXEATU4H</t>
  </si>
  <si>
    <t>2026-06-06 19:36</t>
  </si>
  <si>
    <t>ZFRI-LC-MbookAir/13(12-17)-BLK</t>
  </si>
  <si>
    <t>225648</t>
  </si>
  <si>
    <t>260606D1SPY3W3</t>
  </si>
  <si>
    <t>2026-06-06 20:36</t>
  </si>
  <si>
    <t>LEEU-LANY-CLIMB-ADJ-KHA</t>
  </si>
  <si>
    <t>225668</t>
  </si>
  <si>
    <t>260606D72GGK66</t>
  </si>
  <si>
    <t>2026-06-06 22:11</t>
  </si>
  <si>
    <t>DUX-IC-VERS-TabS10FE-BLK</t>
  </si>
  <si>
    <t>225669</t>
  </si>
  <si>
    <t>260606D767SK2D</t>
  </si>
  <si>
    <t>2026-06-06 22:13</t>
  </si>
  <si>
    <t>DUX-PC-HIVO-S22-RED</t>
  </si>
  <si>
    <t>225681</t>
  </si>
  <si>
    <t>260606D90YFTE9</t>
  </si>
  <si>
    <t>2026-06-06 22:46</t>
  </si>
  <si>
    <t>2026-06-06 22:53</t>
  </si>
  <si>
    <t>225685</t>
  </si>
  <si>
    <t>260606D9QGERV1</t>
  </si>
  <si>
    <t>2026-06-06 22:58</t>
  </si>
  <si>
    <t>DUX-IC-DOMO-TabA8(21)-BLK</t>
  </si>
  <si>
    <t>225689</t>
  </si>
  <si>
    <t>260606DABQWRS3</t>
  </si>
  <si>
    <t>2026-06-06 23:10</t>
  </si>
  <si>
    <t>LEEU-LANY-CLIMB-ADJ-ORG</t>
  </si>
  <si>
    <t>225694</t>
  </si>
  <si>
    <t>260606DB57ACEW</t>
  </si>
  <si>
    <t>2026-06-06 23:24</t>
  </si>
  <si>
    <t>7TREE-PC-SHI-Pixel10/10Pro-BLK</t>
  </si>
  <si>
    <t>225737</t>
  </si>
  <si>
    <t>260607E8X8W7E2</t>
  </si>
  <si>
    <t>2026-06-07 08:17</t>
  </si>
  <si>
    <t>LUS-PC-YD(MS)-S24Plus-BLK</t>
  </si>
  <si>
    <t>225738</t>
  </si>
  <si>
    <t>260607EANVE59U</t>
  </si>
  <si>
    <t>2026-06-07 08:48</t>
  </si>
  <si>
    <t>225740</t>
  </si>
  <si>
    <t>260607EBGE5695</t>
  </si>
  <si>
    <t>2026-06-07 09:03</t>
  </si>
  <si>
    <t>ZFRI-SP-GOR-i17Pro-CLR</t>
  </si>
  <si>
    <t>225741</t>
  </si>
  <si>
    <t>260607EDNU88SP</t>
  </si>
  <si>
    <t>2026-06-07 09:42</t>
  </si>
  <si>
    <t>ZFRI-SP-GOR-i15Plus-CLR</t>
  </si>
  <si>
    <t>225749</t>
  </si>
  <si>
    <t>260607EHBQ3FEW</t>
  </si>
  <si>
    <t>2026-06-07 10:48</t>
  </si>
  <si>
    <t>225753</t>
  </si>
  <si>
    <t>260607EK6KHVQ8</t>
  </si>
  <si>
    <t>2026-06-07 11:21</t>
  </si>
  <si>
    <t>ZFRI-SP-GOR-i12ProMax-CLR</t>
  </si>
  <si>
    <t>225754</t>
  </si>
  <si>
    <t>260607EK95H20U</t>
  </si>
  <si>
    <t>2026-06-07 11:22</t>
  </si>
  <si>
    <t>ZFRI-SP-GOR-i13ProMax-MAT</t>
  </si>
  <si>
    <t>225756</t>
  </si>
  <si>
    <t>260607EKTFN31A</t>
  </si>
  <si>
    <t>2026-06-07 11:32</t>
  </si>
  <si>
    <t>DUX-PC-AIMO(MS)-S26Ultra-BLK</t>
  </si>
  <si>
    <t>225775</t>
  </si>
  <si>
    <t>260607ES9CR897</t>
  </si>
  <si>
    <t>2026-06-07 13:09</t>
  </si>
  <si>
    <t>DDC-LC-MATT-MbookAir/13(18)-WHT</t>
  </si>
  <si>
    <t>225781</t>
  </si>
  <si>
    <t>260607EUHA0CE4</t>
  </si>
  <si>
    <t>2026-06-07 13:50</t>
  </si>
  <si>
    <t>225787</t>
  </si>
  <si>
    <t>260607EVP1V5XN</t>
  </si>
  <si>
    <t>2026-06-07 14:10</t>
  </si>
  <si>
    <t>DUX-WAC-TAMO-49-WHT</t>
  </si>
  <si>
    <t>225809</t>
  </si>
  <si>
    <t>260607F3BVFV0N</t>
  </si>
  <si>
    <t>2026-06-07 16:10</t>
  </si>
  <si>
    <t>225841</t>
  </si>
  <si>
    <t>260607FCTG1SSW</t>
  </si>
  <si>
    <t>2026-06-07 18:59</t>
  </si>
  <si>
    <t>2026-06-07 20:34</t>
  </si>
  <si>
    <t>225871</t>
  </si>
  <si>
    <t>260607FK8JRCVB</t>
  </si>
  <si>
    <t>2026-06-07 20:54</t>
  </si>
  <si>
    <t>DUX-IC-PUFF-iPad10/11-BLU</t>
  </si>
  <si>
    <t>225898</t>
  </si>
  <si>
    <t>260607FSH7UM86</t>
  </si>
  <si>
    <t>2026-06-07 22:47</t>
  </si>
  <si>
    <t>225899</t>
  </si>
  <si>
    <t>260607FSSF1BQ6</t>
  </si>
  <si>
    <t>2026-06-07 22:51</t>
  </si>
  <si>
    <t>DUX-PC-XPS-iP17ProMax-BLK</t>
  </si>
  <si>
    <t>225902</t>
  </si>
  <si>
    <t>260607FTR2FDPB</t>
  </si>
  <si>
    <t>2026-06-07 23:08</t>
  </si>
  <si>
    <t>225905</t>
  </si>
  <si>
    <t>260607FU9EE97P</t>
  </si>
  <si>
    <t>2026-06-07 23:18</t>
  </si>
  <si>
    <t>CK-PC-ABAG-iP17ProMax-BLK</t>
  </si>
  <si>
    <t>225913</t>
  </si>
  <si>
    <t>260607FVTF7679</t>
  </si>
  <si>
    <t>2026-06-07 23:45</t>
  </si>
  <si>
    <t>225924</t>
  </si>
  <si>
    <t>260608FYV0KG63</t>
  </si>
  <si>
    <t>2026-06-08 00:40</t>
  </si>
  <si>
    <t>DUX-SP-10D-NoPhone2-CLR</t>
  </si>
  <si>
    <t>225933</t>
  </si>
  <si>
    <t>260608G1H185K2</t>
  </si>
  <si>
    <t>2026-06-08 01:10</t>
  </si>
  <si>
    <t>DUX-PC-AIMO-Honor400Pro-BLK</t>
  </si>
  <si>
    <t>2026-06-08 02:14</t>
  </si>
  <si>
    <t>225951</t>
  </si>
  <si>
    <t>260608GKC98VY5</t>
  </si>
  <si>
    <t>2026-06-08 06:29</t>
  </si>
  <si>
    <t>DUX-PC-HIVO-iP17Air-RED</t>
  </si>
  <si>
    <t>DUX-PC-POC-iP17Air-BLK</t>
  </si>
  <si>
    <t>225955</t>
  </si>
  <si>
    <t>260608GP5YU00K</t>
  </si>
  <si>
    <t>2026-06-08 07:20</t>
  </si>
  <si>
    <t>GKK-PC-AIR2(MS)-ZFlip5-CLR</t>
  </si>
  <si>
    <t>225958</t>
  </si>
  <si>
    <t>260608GPQEMEFH</t>
  </si>
  <si>
    <t>2026-06-08 07:29</t>
  </si>
  <si>
    <t>BG-WAC-BG1(SP)-45mm-BLK</t>
  </si>
  <si>
    <t>225969</t>
  </si>
  <si>
    <t>260608GTVSCMRS</t>
  </si>
  <si>
    <t>2026-06-08 08:43</t>
  </si>
  <si>
    <t>225993</t>
  </si>
  <si>
    <t>260608H3NE3PT2</t>
  </si>
  <si>
    <t>2026-06-08 11:20</t>
  </si>
  <si>
    <t>225994</t>
  </si>
  <si>
    <t>260608H3P9RVS5</t>
  </si>
  <si>
    <t>2026-06-08 11:21</t>
  </si>
  <si>
    <t>226039</t>
  </si>
  <si>
    <t>260608HHDD8MU2</t>
  </si>
  <si>
    <t>2026-06-08 15:27</t>
  </si>
  <si>
    <t>226054</t>
  </si>
  <si>
    <t>260608HNW7MK9R</t>
  </si>
  <si>
    <t>2026-06-08 16:47</t>
  </si>
  <si>
    <t>ZFRI-SP-GOR-i15ProMax-MAT</t>
  </si>
  <si>
    <t>226057</t>
  </si>
  <si>
    <t>260608HPWQ6SGU</t>
  </si>
  <si>
    <t>2026-06-08 17:05</t>
  </si>
  <si>
    <t>DDC-LC-MATT-MbookPro/13(16-19)-BLK</t>
  </si>
  <si>
    <t>226083</t>
  </si>
  <si>
    <t>260608HXJ0DXUU</t>
  </si>
  <si>
    <t>2026-06-08 19:22</t>
  </si>
  <si>
    <t>OEM-CL-HAWK-ZFold5-GRN</t>
  </si>
  <si>
    <t>226084</t>
  </si>
  <si>
    <t>260608HXK7J3XV</t>
  </si>
  <si>
    <t>2026-06-08 19:23</t>
  </si>
  <si>
    <t>DUX-PC-FLIP-XM13Pro-BLU</t>
  </si>
  <si>
    <t>226110</t>
  </si>
  <si>
    <t>260608J4DVBSKJ</t>
  </si>
  <si>
    <t>2026-06-08 21:07</t>
  </si>
  <si>
    <t>7TREE-PC-SHI(MS)-Mi14TPro-BLK</t>
  </si>
  <si>
    <t>2026-06-08 21:47</t>
  </si>
  <si>
    <t>226126</t>
  </si>
  <si>
    <t>260608J8WUHWTC</t>
  </si>
  <si>
    <t>2026-06-08 22:27</t>
  </si>
  <si>
    <t>JJT-SP-STO(WT)-GT3-46mm</t>
  </si>
  <si>
    <t>226129</t>
  </si>
  <si>
    <t>260608J9NJPP9A</t>
  </si>
  <si>
    <t>2026-06-08 22:41</t>
  </si>
  <si>
    <t>LEEU-LANY-CLIMB-CROS-AGRN</t>
  </si>
  <si>
    <t>2026-06-08 23:17</t>
  </si>
  <si>
    <t>226137</t>
  </si>
  <si>
    <t>260608JC6X823Q</t>
  </si>
  <si>
    <t>2026-06-08 23:26</t>
  </si>
  <si>
    <t>GKK-PC-TIFF-ZFlip5-GRN</t>
  </si>
  <si>
    <t>226140</t>
  </si>
  <si>
    <t>260608JDR00H34</t>
  </si>
  <si>
    <t>2026-06-08 23:53</t>
  </si>
  <si>
    <t>DUX-IC-DK-iPad10(10.9)-BLK</t>
  </si>
  <si>
    <t>226157</t>
  </si>
  <si>
    <t>260609JV71815Y</t>
  </si>
  <si>
    <t>2026-06-09 04:12</t>
  </si>
  <si>
    <t>ZFRI-CL-CLGOR-i17Pro-BLU</t>
  </si>
  <si>
    <t>226159</t>
  </si>
  <si>
    <t>260609K0JCMQVX</t>
  </si>
  <si>
    <t>2026-06-09 05:30</t>
  </si>
  <si>
    <t>226170</t>
  </si>
  <si>
    <t>260609KAV181QB</t>
  </si>
  <si>
    <t>2026-06-09 08:35</t>
  </si>
  <si>
    <t>ZFRI-SP-GOR-i14Pro-PVC</t>
  </si>
  <si>
    <t>226183</t>
  </si>
  <si>
    <t>260609KEQ9M4KV</t>
  </si>
  <si>
    <t>2026-06-09 09:44</t>
  </si>
  <si>
    <t>GB-PC-QJ(MS)-Pixel10ProXL-MAT/BLK</t>
  </si>
  <si>
    <t>226186</t>
  </si>
  <si>
    <t>260609KFSGD6A1</t>
  </si>
  <si>
    <t>2026-06-09 10:03</t>
  </si>
  <si>
    <t>ZFRI-SP-XGO-i13-CLR</t>
  </si>
  <si>
    <t>226193</t>
  </si>
  <si>
    <t>260609KJ3HAF71</t>
  </si>
  <si>
    <t>2026-06-09 10:44</t>
  </si>
  <si>
    <t>226199</t>
  </si>
  <si>
    <t>260609KJN3YS47</t>
  </si>
  <si>
    <t>2026-06-09 10:54</t>
  </si>
  <si>
    <t>226205</t>
  </si>
  <si>
    <t>260609KMQA3SAX</t>
  </si>
  <si>
    <t>2026-06-09 11:31</t>
  </si>
  <si>
    <t>226206</t>
  </si>
  <si>
    <t>260609KMSGNMNG</t>
  </si>
  <si>
    <t>2026-06-09 11:32</t>
  </si>
  <si>
    <t>226214</t>
  </si>
  <si>
    <t>260609KQBNXTQ8</t>
  </si>
  <si>
    <t>2026-06-09 12:18</t>
  </si>
  <si>
    <t>226217</t>
  </si>
  <si>
    <t>260609KRECY6JP</t>
  </si>
  <si>
    <t>2026-06-09 12:38</t>
  </si>
  <si>
    <t>GKK-PC-STAND(MS)-MagicV5-BLK</t>
  </si>
  <si>
    <t>226231</t>
  </si>
  <si>
    <t>260609KTACS2T2</t>
  </si>
  <si>
    <t>2026-06-09 13:11</t>
  </si>
  <si>
    <t>GKK-PC-AIR2(RING)-ZFlip7-PRP</t>
  </si>
  <si>
    <t>226234</t>
  </si>
  <si>
    <t>260609KTTQDBCJ</t>
  </si>
  <si>
    <t>2026-06-09 13:20</t>
  </si>
  <si>
    <t>226261</t>
  </si>
  <si>
    <t>260609M344SDVM</t>
  </si>
  <si>
    <t>2026-06-09 15:49</t>
  </si>
  <si>
    <t>226285</t>
  </si>
  <si>
    <t>260609MJ0WMMGQ</t>
  </si>
  <si>
    <t>2026-06-09 20:15</t>
  </si>
  <si>
    <t>226296</t>
  </si>
  <si>
    <t>260609MPKMM89D</t>
  </si>
  <si>
    <t>2026-06-09 21:37</t>
  </si>
  <si>
    <t>226308</t>
  </si>
  <si>
    <t>260609MTMXMYKC</t>
  </si>
  <si>
    <t>2026-06-09 22:50</t>
  </si>
  <si>
    <t>ZFRI-LC-MbookAir/15(23)-CLR</t>
  </si>
  <si>
    <t>226315</t>
  </si>
  <si>
    <t>260609MW1CRPDR</t>
  </si>
  <si>
    <t>2026-06-09 23:33</t>
  </si>
  <si>
    <t>226324</t>
  </si>
  <si>
    <t>260610N476HMRM</t>
  </si>
  <si>
    <t>2026-06-10 01:41</t>
  </si>
  <si>
    <t>226346</t>
  </si>
  <si>
    <t>260610P5YTSPDT</t>
  </si>
  <si>
    <t>2026-06-10 11:45</t>
  </si>
  <si>
    <t>226353</t>
  </si>
  <si>
    <t>260610P89P0A2U</t>
  </si>
  <si>
    <t>2026-06-10 12:27</t>
  </si>
  <si>
    <t>GB-PC-QJ-Honor200-CLR/BLK</t>
  </si>
  <si>
    <t>226356</t>
  </si>
  <si>
    <t>260610P9ENG9TB</t>
  </si>
  <si>
    <t>2026-06-10 12:47</t>
  </si>
  <si>
    <t>DUX-PC-FLIP-iP17-BLU</t>
  </si>
  <si>
    <t>DUX-SP-ROGA-iP17-CLR</t>
  </si>
  <si>
    <t>226359</t>
  </si>
  <si>
    <t>260610PA8Q1UPN</t>
  </si>
  <si>
    <t>2026-06-10 13:02</t>
  </si>
  <si>
    <t>ZFRI-SP-GOR-i11Pro-PVC</t>
  </si>
  <si>
    <t>226360</t>
  </si>
  <si>
    <t>260610PB0VF0KE</t>
  </si>
  <si>
    <t>2026-06-10 13:15</t>
  </si>
  <si>
    <t>GKK-PC-AIR2(SP)-ZFlip7-CLR</t>
  </si>
  <si>
    <t>226361</t>
  </si>
  <si>
    <t>260610PBVN8K48</t>
  </si>
  <si>
    <t>2026-06-10 13:31</t>
  </si>
  <si>
    <t>226369</t>
  </si>
  <si>
    <t>260610PE2A06VG</t>
  </si>
  <si>
    <t>2026-06-10 14:10</t>
  </si>
  <si>
    <t>DDC-LC-CRYS-Surface2(A)-WHT</t>
  </si>
  <si>
    <t>226378</t>
  </si>
  <si>
    <t>260610PF94KYA0</t>
  </si>
  <si>
    <t>2026-06-10 14:32</t>
  </si>
  <si>
    <t>226387</t>
  </si>
  <si>
    <t>260610PJSQK8WC</t>
  </si>
  <si>
    <t>2026-06-10 15:35</t>
  </si>
  <si>
    <t>226392</t>
  </si>
  <si>
    <t>260610PMPSQ6UD</t>
  </si>
  <si>
    <t>2026-06-10 16:09</t>
  </si>
  <si>
    <t>ZFRI-SP-GOR-i11Pro-CLR</t>
  </si>
  <si>
    <t>226409</t>
  </si>
  <si>
    <t>260610PUMQPVFJ</t>
  </si>
  <si>
    <t>2026-06-10 18:13</t>
  </si>
  <si>
    <t>DUX-PC-FLIP-i16-BLU</t>
  </si>
  <si>
    <t>2026-06-10 20:17</t>
  </si>
  <si>
    <t>226434</t>
  </si>
  <si>
    <t>260610Q6683452</t>
  </si>
  <si>
    <t>2026-06-10 21:22</t>
  </si>
  <si>
    <t>226439</t>
  </si>
  <si>
    <t>260610Q7HCYPAU</t>
  </si>
  <si>
    <t>2026-06-10 21:46</t>
  </si>
  <si>
    <t>226442</t>
  </si>
  <si>
    <t>260610Q978B4J8</t>
  </si>
  <si>
    <t>2026-06-10 22:16</t>
  </si>
  <si>
    <t>226447</t>
  </si>
  <si>
    <t>260610QBFC6NKF</t>
  </si>
  <si>
    <t>2026-06-10 22:56</t>
  </si>
  <si>
    <t>7TREE-PC-JJ-ZFold7-GRN</t>
  </si>
  <si>
    <t>226448</t>
  </si>
  <si>
    <t>260610QBHC1SGY</t>
  </si>
  <si>
    <t>2026-06-10 22:57</t>
  </si>
  <si>
    <t>DUX-PC-FLIP-S24FE-BLU</t>
  </si>
  <si>
    <t>226451</t>
  </si>
  <si>
    <t>260610QCQDYC2D</t>
  </si>
  <si>
    <t>2026-06-10 23:19</t>
  </si>
  <si>
    <t>226454</t>
  </si>
  <si>
    <t>260610QD7HUJ33</t>
  </si>
  <si>
    <t>2026-06-10 23:28</t>
  </si>
  <si>
    <t>226464</t>
  </si>
  <si>
    <t>260610QEY1ME71</t>
  </si>
  <si>
    <t>2026-06-10 23:59</t>
  </si>
  <si>
    <t>226493</t>
  </si>
  <si>
    <t>260611R93M5KPP</t>
  </si>
  <si>
    <t>2026-06-11 07:46</t>
  </si>
  <si>
    <t>226505</t>
  </si>
  <si>
    <t>260611RGK129K3</t>
  </si>
  <si>
    <t>2026-06-11 10:00</t>
  </si>
  <si>
    <t>OEM-CL-HAWK-ZFold5-PRP</t>
  </si>
  <si>
    <t>226506</t>
  </si>
  <si>
    <t>260611RHCTWTU8</t>
  </si>
  <si>
    <t>2026-06-11 10:15</t>
  </si>
  <si>
    <t>226507</t>
  </si>
  <si>
    <t>260611RJ49FR31</t>
  </si>
  <si>
    <t>2026-06-11 10:28</t>
  </si>
  <si>
    <t>2026-06-11 10:34</t>
  </si>
  <si>
    <t>226515</t>
  </si>
  <si>
    <t>260611RKHNWQXB</t>
  </si>
  <si>
    <t>2026-06-11 10:53</t>
  </si>
  <si>
    <t>226516</t>
  </si>
  <si>
    <t>260611RKJS7WAY</t>
  </si>
  <si>
    <t>2026-06-11 10:54</t>
  </si>
  <si>
    <t>LEEU-LANY-CLIMB-NECK-GRY</t>
  </si>
  <si>
    <t>226518</t>
  </si>
  <si>
    <t>260611RM482E27</t>
  </si>
  <si>
    <t>2026-06-11 11:04</t>
  </si>
  <si>
    <t>226522</t>
  </si>
  <si>
    <t>260611RMP4A4AK</t>
  </si>
  <si>
    <t>2026-06-11 11:14</t>
  </si>
  <si>
    <t>DUX-PC-FLIP-i16-BLK</t>
  </si>
  <si>
    <t>226523</t>
  </si>
  <si>
    <t>260611RMUSGYDW</t>
  </si>
  <si>
    <t>2026-06-11 11:17</t>
  </si>
  <si>
    <t>7TREE-PC-SHI(MS)-Magic5Pro-TP</t>
  </si>
  <si>
    <t>226524</t>
  </si>
  <si>
    <t>260611RNN25WTG</t>
  </si>
  <si>
    <t>2026-06-11 11:31</t>
  </si>
  <si>
    <t>DUX-IC-DOMO-HonorPadX9-BLU</t>
  </si>
  <si>
    <t>226533</t>
  </si>
  <si>
    <t>260611RRGMT0DE</t>
  </si>
  <si>
    <t>2026-06-11 12:22</t>
  </si>
  <si>
    <t>DUX-IC-TOBY-TabS10Ultra-BLK</t>
  </si>
  <si>
    <t>226542</t>
  </si>
  <si>
    <t>260611RU0U4AXG</t>
  </si>
  <si>
    <t>2026-06-11 13:07</t>
  </si>
  <si>
    <t>226546</t>
  </si>
  <si>
    <t>260611RV2FVM57</t>
  </si>
  <si>
    <t>2026-06-11 13:26</t>
  </si>
  <si>
    <t>226557</t>
  </si>
  <si>
    <t>260611S1UAHPJ6</t>
  </si>
  <si>
    <t>2026-06-11 15:09</t>
  </si>
  <si>
    <t>226561</t>
  </si>
  <si>
    <t>260611S4F2C5CX</t>
  </si>
  <si>
    <t>2026-06-11 15:56</t>
  </si>
  <si>
    <t>226565</t>
  </si>
  <si>
    <t>260611S5XNBUF6</t>
  </si>
  <si>
    <t>2026-06-11 16:23</t>
  </si>
  <si>
    <t>226570</t>
  </si>
  <si>
    <t>260611S86EUCT6</t>
  </si>
  <si>
    <t>2026-06-11 17:03</t>
  </si>
  <si>
    <t>LUS-PC-YD(STAND)-S25Plus-WHT</t>
  </si>
  <si>
    <t>226576</t>
  </si>
  <si>
    <t>260611SBESKCG3</t>
  </si>
  <si>
    <t>2026-06-11 18:01</t>
  </si>
  <si>
    <t>7TREE-PC-SHI-NTH/Phone2A-BLK</t>
  </si>
  <si>
    <t>226577</t>
  </si>
  <si>
    <t>260611SC5K5RCA</t>
  </si>
  <si>
    <t>2026-06-11 18:14</t>
  </si>
  <si>
    <t>2026-06-11 18:34</t>
  </si>
  <si>
    <t>226585</t>
  </si>
  <si>
    <t>260611SGN50Y43</t>
  </si>
  <si>
    <t>2026-06-11 19:34</t>
  </si>
  <si>
    <t>LEEU-LANY-ADJ-PLN-BLK</t>
  </si>
  <si>
    <t>226587</t>
  </si>
  <si>
    <t>260611SH32E0NU</t>
  </si>
  <si>
    <t>2026-06-11 19:42</t>
  </si>
  <si>
    <t>226594</t>
  </si>
  <si>
    <t>260611SM61K4A5</t>
  </si>
  <si>
    <t>2026-06-11 20:38</t>
  </si>
  <si>
    <t>DDC-LC-MATT-D16(22/23)-BLK</t>
  </si>
  <si>
    <t>226598</t>
  </si>
  <si>
    <t>260611SN0HD6Y5</t>
  </si>
  <si>
    <t>2026-06-11 20:53</t>
  </si>
  <si>
    <t>226616</t>
  </si>
  <si>
    <t>260611SS6H49SR</t>
  </si>
  <si>
    <t>2026-06-11 22:07</t>
  </si>
  <si>
    <t>LEEU-LANY-ADJ-SPR-BLK/BLU</t>
  </si>
  <si>
    <t>2026-06-11 22:36</t>
  </si>
  <si>
    <t>226629</t>
  </si>
  <si>
    <t>260611SVF79S9B</t>
  </si>
  <si>
    <t>2026-06-11 23:06</t>
  </si>
  <si>
    <t>7TREE-PC-SHI(MS)-HN/X9C-BLK</t>
  </si>
  <si>
    <t>226631</t>
  </si>
  <si>
    <t>260611SW9M9RV3</t>
  </si>
  <si>
    <t>2026-06-11 23:20</t>
  </si>
  <si>
    <t>226642</t>
  </si>
  <si>
    <t>260612T2DBSNCJ</t>
  </si>
  <si>
    <t>2026-06-12 00:52</t>
  </si>
  <si>
    <t>FATB-PC-CLAS-XM15Ultra-BLK</t>
  </si>
  <si>
    <t>226651</t>
  </si>
  <si>
    <t>260612T8TQGGVG</t>
  </si>
  <si>
    <t>2026-06-12 02:47</t>
  </si>
  <si>
    <t>ZFRI-SP-3D-i11Max-CLR</t>
  </si>
  <si>
    <t>226662</t>
  </si>
  <si>
    <t>260612TSWEP4CC</t>
  </si>
  <si>
    <t>2026-06-12 07:53</t>
  </si>
  <si>
    <t>DUX-WAC-PMMA-40mm-2PCK</t>
  </si>
  <si>
    <t>226676</t>
  </si>
  <si>
    <t>260612U08JXDPK</t>
  </si>
  <si>
    <t>2026-06-12 09:46</t>
  </si>
  <si>
    <t>LEEU-PC-ARCY-i12-RED/BLU</t>
  </si>
  <si>
    <t>LEEU-MAC-STL-DClip/TRI-BLK</t>
  </si>
  <si>
    <t>2026-06-12 10:43</t>
  </si>
  <si>
    <t>226687</t>
  </si>
  <si>
    <t>260612U570MWMC</t>
  </si>
  <si>
    <t>2026-06-12 11:15</t>
  </si>
  <si>
    <t>PSG-IC-PU-TabS9-LAV</t>
  </si>
  <si>
    <t>PSG-IC-PU-TabS9-PNK</t>
  </si>
  <si>
    <t>226690</t>
  </si>
  <si>
    <t>260612U5DKDYT3</t>
  </si>
  <si>
    <t>2026-06-12 11:18</t>
  </si>
  <si>
    <t>ZFRI-SP-GOR-XS/X-PVC</t>
  </si>
  <si>
    <t>226698</t>
  </si>
  <si>
    <t>260612U90DYBRS</t>
  </si>
  <si>
    <t>2026-06-12 12:23</t>
  </si>
  <si>
    <t>226722</t>
  </si>
  <si>
    <t>260612UH0Y76Y6</t>
  </si>
  <si>
    <t>2026-06-12 14:46</t>
  </si>
  <si>
    <t>KDZ-PC-STAN-Pixel10ProXL-TPR</t>
  </si>
  <si>
    <t>226742</t>
  </si>
  <si>
    <t>260612UTMSMTWA</t>
  </si>
  <si>
    <t>2026-06-12 17:38</t>
  </si>
  <si>
    <t>226751</t>
  </si>
  <si>
    <t>260612V0UT9DC1</t>
  </si>
  <si>
    <t>2026-06-12 19:30</t>
  </si>
  <si>
    <t>ZFRI-LC-MbookAir/13(22)-BLK</t>
  </si>
  <si>
    <t>226752</t>
  </si>
  <si>
    <t>260612V1UF4ET3</t>
  </si>
  <si>
    <t>2026-06-12 19:47</t>
  </si>
  <si>
    <t>226757</t>
  </si>
  <si>
    <t>260612V5VARTHD</t>
  </si>
  <si>
    <t>2026-06-12 20:59</t>
  </si>
  <si>
    <t>ZFRI-SP-GOR-XSMAX-CLR</t>
  </si>
  <si>
    <t>226758</t>
  </si>
  <si>
    <t>260612V68C3D79</t>
  </si>
  <si>
    <t>2026-06-12 21:06</t>
  </si>
  <si>
    <t>7TREE-PC-SHI(MS)-NTH/Phone2-TP</t>
  </si>
  <si>
    <t>226760</t>
  </si>
  <si>
    <t>260612V7RXJQ6E</t>
  </si>
  <si>
    <t>2026-06-12 21:33</t>
  </si>
  <si>
    <t>226784</t>
  </si>
  <si>
    <t>260612VE8NQKKN</t>
  </si>
  <si>
    <t>2026-06-12 23:29</t>
  </si>
  <si>
    <t>226787</t>
  </si>
  <si>
    <t>260612VF7BXP61</t>
  </si>
  <si>
    <t>2026-06-12 23:47</t>
  </si>
  <si>
    <t>226793</t>
  </si>
  <si>
    <t>260613VHQRYM3K</t>
  </si>
  <si>
    <t>2026-06-13 00:32</t>
  </si>
  <si>
    <t>DDC-LAC-KC-MbookPro/13(16/19)-CLR</t>
  </si>
  <si>
    <t>SONG-MAC-CSS-Lanyard-PNK/WHT</t>
  </si>
  <si>
    <t>226798</t>
  </si>
  <si>
    <t>260613VJSYS22N</t>
  </si>
  <si>
    <t>2026-06-13 00:51</t>
  </si>
  <si>
    <t>226799</t>
  </si>
  <si>
    <t>260613VMCN1QSH</t>
  </si>
  <si>
    <t>2026-06-13 01:19</t>
  </si>
  <si>
    <t>226803</t>
  </si>
  <si>
    <t>260613VR8BQ9GW</t>
  </si>
  <si>
    <t>2026-06-13 02:28</t>
  </si>
  <si>
    <t>226819</t>
  </si>
  <si>
    <t>2606130EMMQGGU</t>
  </si>
  <si>
    <t>2026-06-13 10:08</t>
  </si>
  <si>
    <t>DUX-STP-YC-22mm-DRK/GRY</t>
  </si>
  <si>
    <t>226829</t>
  </si>
  <si>
    <t>2606130H3SPYUP</t>
  </si>
  <si>
    <t>2026-06-13 10:53</t>
  </si>
  <si>
    <t>2026-06-13 11:38</t>
  </si>
  <si>
    <t>DUX-IC-DOMO-Mini6-PNK</t>
  </si>
  <si>
    <t>2026-06-13 13:26</t>
  </si>
  <si>
    <t>226858</t>
  </si>
  <si>
    <t>2606130Y2FBKH2</t>
  </si>
  <si>
    <t>2026-06-13 15:02</t>
  </si>
  <si>
    <t>7TREE-PC-XF-MagicV5-BLK</t>
  </si>
  <si>
    <t>226866</t>
  </si>
  <si>
    <t>26061312K3BUDN</t>
  </si>
  <si>
    <t>2026-06-13 16:06</t>
  </si>
  <si>
    <t>7TREE-PC-SHI(MS)-XM15-BLK</t>
  </si>
  <si>
    <t>226877</t>
  </si>
  <si>
    <t>260613169DDM3K</t>
  </si>
  <si>
    <t>2026-06-13 17:11</t>
  </si>
  <si>
    <t>226883</t>
  </si>
  <si>
    <t>26061318CVHJ8G</t>
  </si>
  <si>
    <t>2026-06-13 17:49</t>
  </si>
  <si>
    <t>226884</t>
  </si>
  <si>
    <t>260613198451RE</t>
  </si>
  <si>
    <t>2026-06-13 18:04</t>
  </si>
  <si>
    <t>226899</t>
  </si>
  <si>
    <t>2606131GWU960P</t>
  </si>
  <si>
    <t>2026-06-13 20:22</t>
  </si>
  <si>
    <t>226904</t>
  </si>
  <si>
    <t>2606131J2QTYPT</t>
  </si>
  <si>
    <t>2026-06-13 20:43</t>
  </si>
  <si>
    <t>226910</t>
  </si>
  <si>
    <t>2606131MJ6BT6R</t>
  </si>
  <si>
    <t>2026-06-13 21:27</t>
  </si>
  <si>
    <t>226915</t>
  </si>
  <si>
    <t>2606131P7KBE4P</t>
  </si>
  <si>
    <t>2026-06-13 21:57</t>
  </si>
  <si>
    <t>226923</t>
  </si>
  <si>
    <t>2606131V90Q35P</t>
  </si>
  <si>
    <t>2026-06-13 23:45</t>
  </si>
  <si>
    <t>226961</t>
  </si>
  <si>
    <t>26061434003272</t>
  </si>
  <si>
    <t>2026-06-14 11:36</t>
  </si>
  <si>
    <t>LEEU-PC-ARCY-i14Plus-CLR</t>
  </si>
  <si>
    <t>ZFRI-SP-XGO-i13ProMax-PVC</t>
  </si>
  <si>
    <t>226962</t>
  </si>
  <si>
    <t>26061434HQHF7D</t>
  </si>
  <si>
    <t>2026-06-14 11:46</t>
  </si>
  <si>
    <t>226980</t>
  </si>
  <si>
    <t>2606143A8143BH</t>
  </si>
  <si>
    <t>2026-06-14 13:28</t>
  </si>
  <si>
    <t>226981</t>
  </si>
  <si>
    <t>2606143AGB5ET8</t>
  </si>
  <si>
    <t>2026-06-14 13:32</t>
  </si>
  <si>
    <t>227011</t>
  </si>
  <si>
    <t>2606143RE90F8V</t>
  </si>
  <si>
    <t>2026-06-14 17:42</t>
  </si>
  <si>
    <t>GB-PC-QJ(MS)-Pixel10/10Pro-MAT/BLK</t>
  </si>
  <si>
    <t>227012</t>
  </si>
  <si>
    <t>2606143REV22EK</t>
  </si>
  <si>
    <t>7TREE-PC-SHI(MS)-Pixel9A-TP</t>
  </si>
  <si>
    <t>227016</t>
  </si>
  <si>
    <t>2606143SGMKRQN</t>
  </si>
  <si>
    <t>2026-06-14 18:01</t>
  </si>
  <si>
    <t>GKK-PC-STAND-MagicV3-SLV</t>
  </si>
  <si>
    <t>227017</t>
  </si>
  <si>
    <t>2606143SK2SXP3</t>
  </si>
  <si>
    <t>2026-06-14 18:02</t>
  </si>
  <si>
    <t>227019</t>
  </si>
  <si>
    <t>2606143THGG8HW</t>
  </si>
  <si>
    <t>2026-06-14 18:19</t>
  </si>
  <si>
    <t>227033</t>
  </si>
  <si>
    <t>2606143W7RCYDF</t>
  </si>
  <si>
    <t>2026-06-14 19:07</t>
  </si>
  <si>
    <t>227049</t>
  </si>
  <si>
    <t>26061442FDUPHT</t>
  </si>
  <si>
    <t>2026-06-14 20:42</t>
  </si>
  <si>
    <t>227066</t>
  </si>
  <si>
    <t>26061446X064SV</t>
  </si>
  <si>
    <t>2026-06-14 22:01</t>
  </si>
  <si>
    <t>GB-PC-QJ-X100Pro-CLR/BLK</t>
  </si>
  <si>
    <t>227068</t>
  </si>
  <si>
    <t>26061447ET188F</t>
  </si>
  <si>
    <t>2026-06-14 22:10</t>
  </si>
  <si>
    <t>227101</t>
  </si>
  <si>
    <t>2606154M4J9Y6W</t>
  </si>
  <si>
    <t>2026-06-15 01:57</t>
  </si>
  <si>
    <t>DUX-CL-HAWK-iP17-LAV</t>
  </si>
  <si>
    <t>227132</t>
  </si>
  <si>
    <t>2606155F2P8QP2</t>
  </si>
  <si>
    <t>2026-06-15 09:59</t>
  </si>
  <si>
    <t>227137</t>
  </si>
  <si>
    <t>2606155GCPXCHB</t>
  </si>
  <si>
    <t>2026-06-15 10:23</t>
  </si>
  <si>
    <t>227139</t>
  </si>
  <si>
    <t>2606155GS1QWT1</t>
  </si>
  <si>
    <t>2026-06-15 10:30</t>
  </si>
  <si>
    <t>7TREE-PC-SHI(MS)-NTH/3A-BLK</t>
  </si>
  <si>
    <t>227140</t>
  </si>
  <si>
    <t>2606155H19VD6V</t>
  </si>
  <si>
    <t>2026-06-15 10:34</t>
  </si>
  <si>
    <t>DUX-IC-DOMO-Pro11(2024)-BLK</t>
  </si>
  <si>
    <t>227142</t>
  </si>
  <si>
    <t>2606155HA55ETB</t>
  </si>
  <si>
    <t>2026-06-15 10:39</t>
  </si>
  <si>
    <t>2026-06-15 11:16</t>
  </si>
  <si>
    <t>2026-06-15 11:44</t>
  </si>
  <si>
    <t>227161</t>
  </si>
  <si>
    <t>2606155N6KPWAA</t>
  </si>
  <si>
    <t>2026-06-15 11:49</t>
  </si>
  <si>
    <t>2026-06-15 12:21</t>
  </si>
  <si>
    <t>227184</t>
  </si>
  <si>
    <t>2606155V0VCFF0</t>
  </si>
  <si>
    <t>2026-06-15 13:51</t>
  </si>
  <si>
    <t>227188</t>
  </si>
  <si>
    <t>2606155V4W45WA</t>
  </si>
  <si>
    <t>2026-06-15 13:53</t>
  </si>
  <si>
    <t>7TREE-PC-SHI(MS)-HN/X9C-TP</t>
  </si>
  <si>
    <t>227206</t>
  </si>
  <si>
    <t>26061560TU3H94</t>
  </si>
  <si>
    <t>2026-06-15 15:17</t>
  </si>
  <si>
    <t>DDC-LC-CRYS-MbookPro/14(21)-CLR</t>
  </si>
  <si>
    <t>2026-06-15 16:36</t>
  </si>
  <si>
    <t>227221</t>
  </si>
  <si>
    <t>260615675HXRJU</t>
  </si>
  <si>
    <t>2026-06-15 17:11</t>
  </si>
  <si>
    <t>227224</t>
  </si>
  <si>
    <t>260615683SWTQT</t>
  </si>
  <si>
    <t>2026-06-15 17:27</t>
  </si>
  <si>
    <t>227226</t>
  </si>
  <si>
    <t>26061568EQW8PS</t>
  </si>
  <si>
    <t>2026-06-15 17:34</t>
  </si>
  <si>
    <t>227233</t>
  </si>
  <si>
    <t>2606156A5SBGN6</t>
  </si>
  <si>
    <t>2026-06-15 18:04</t>
  </si>
  <si>
    <t>227236</t>
  </si>
  <si>
    <t>2606156AY13W7S</t>
  </si>
  <si>
    <t>2026-06-15 18:18</t>
  </si>
  <si>
    <t>227240</t>
  </si>
  <si>
    <t>2606156E2U02ND</t>
  </si>
  <si>
    <t>2026-06-15 19:14</t>
  </si>
  <si>
    <t>227244</t>
  </si>
  <si>
    <t>2606156H44PY37</t>
  </si>
  <si>
    <t>2026-06-15 20:09</t>
  </si>
  <si>
    <t>227253</t>
  </si>
  <si>
    <t>2606156K5H2SKC</t>
  </si>
  <si>
    <t>2026-06-15 20:45</t>
  </si>
  <si>
    <t>GKK-PC-UT(SP/MS)-ZFold5-BLK</t>
  </si>
  <si>
    <t>227257</t>
  </si>
  <si>
    <t>2606156MDWCAX2</t>
  </si>
  <si>
    <t>2026-06-15 21:08</t>
  </si>
  <si>
    <t>FATB-ACE-GoProHero-BLK</t>
  </si>
  <si>
    <t>227260</t>
  </si>
  <si>
    <t>2606156NX4D3PG</t>
  </si>
  <si>
    <t>2026-06-15 21:35</t>
  </si>
  <si>
    <t>GKK-PC-STAND(MS)-MagicV5-RED</t>
  </si>
  <si>
    <t>227261</t>
  </si>
  <si>
    <t>2606156P0R936W</t>
  </si>
  <si>
    <t>2026-06-15 21:36</t>
  </si>
  <si>
    <t>227262</t>
  </si>
  <si>
    <t>2606156P54FP2R</t>
  </si>
  <si>
    <t>2026-06-15 21:39</t>
  </si>
  <si>
    <t>227289</t>
  </si>
  <si>
    <t>26061671UU0J0J</t>
  </si>
  <si>
    <t>2026-06-16 01:08</t>
  </si>
  <si>
    <t>2026-06-16 01:51</t>
  </si>
  <si>
    <t>227312</t>
  </si>
  <si>
    <t>2606167WX2RG9A</t>
  </si>
  <si>
    <t>2026-06-16 09:31</t>
  </si>
  <si>
    <t>ZFRI-SP-GOR-i11ProMax-CLR</t>
  </si>
  <si>
    <t>227318</t>
  </si>
  <si>
    <t>2606167YUDDTU9</t>
  </si>
  <si>
    <t>2026-06-16 10:05</t>
  </si>
  <si>
    <t>227328</t>
  </si>
  <si>
    <t>260616842BPB2X</t>
  </si>
  <si>
    <t>2026-06-16 11:20</t>
  </si>
  <si>
    <t>227330</t>
  </si>
  <si>
    <t>26061685NPUR44</t>
  </si>
  <si>
    <t>2026-06-16 11:49</t>
  </si>
  <si>
    <t>ZFRI-SP-XGO-i17Pro-CLR</t>
  </si>
  <si>
    <t>227331</t>
  </si>
  <si>
    <t>260616861WU4N3</t>
  </si>
  <si>
    <t>2026-06-16 11:56</t>
  </si>
  <si>
    <t>DUX-PC-YIND-iP17-BLK</t>
  </si>
  <si>
    <t>227338</t>
  </si>
  <si>
    <t>260616896GHX73</t>
  </si>
  <si>
    <t>2026-06-16 12:52</t>
  </si>
  <si>
    <t>227342</t>
  </si>
  <si>
    <t>2606168A54WY4U</t>
  </si>
  <si>
    <t>2026-06-16 13:09</t>
  </si>
  <si>
    <t>227353</t>
  </si>
  <si>
    <t>2606168CPSYMYY</t>
  </si>
  <si>
    <t>2026-06-16 13:55</t>
  </si>
  <si>
    <t>7TREE-PC-JJ-MagicV5-BLK</t>
  </si>
  <si>
    <t>2026-06-16 14:08</t>
  </si>
  <si>
    <t>227364</t>
  </si>
  <si>
    <t>2606168JHCWCWX</t>
  </si>
  <si>
    <t>2026-06-16 15:39</t>
  </si>
  <si>
    <t>227398</t>
  </si>
  <si>
    <t>26061699BE5C7K</t>
  </si>
  <si>
    <t>2026-06-16 22:28</t>
  </si>
  <si>
    <t>227399</t>
  </si>
  <si>
    <t>26061699HW1YPU</t>
  </si>
  <si>
    <t>2026-06-16 22:31</t>
  </si>
  <si>
    <t>BNKS-SP-KR-i13ProMax-CLR</t>
  </si>
  <si>
    <t>SYB-ACE-HF4-Stand-BLK</t>
  </si>
  <si>
    <t>227414</t>
  </si>
  <si>
    <t>2606179FSB1S76</t>
  </si>
  <si>
    <t>2026-06-17 00:23</t>
  </si>
  <si>
    <t>227421</t>
  </si>
  <si>
    <t>2606179PVMR64T</t>
  </si>
  <si>
    <t>2026-06-17 02:30</t>
  </si>
  <si>
    <t>2026-06-17 08:57</t>
  </si>
  <si>
    <t>227442</t>
  </si>
  <si>
    <t>260617AF672FFS</t>
  </si>
  <si>
    <t>2026-06-17 09:45</t>
  </si>
  <si>
    <t>DDC-LC-MATT-MbookPro/14(21)-BLK</t>
  </si>
  <si>
    <t>227461</t>
  </si>
  <si>
    <t>260617ASXPJMQF</t>
  </si>
  <si>
    <t>2026-06-17 12:57</t>
  </si>
  <si>
    <t>GB-PC-QJ-A5Pro(4G/5G)-MAT/BLK</t>
  </si>
  <si>
    <t>227466</t>
  </si>
  <si>
    <t>260617AVYKX2SX</t>
  </si>
  <si>
    <t>2026-06-17 13:52</t>
  </si>
  <si>
    <t>227470</t>
  </si>
  <si>
    <t>260617AXYHJFQ6</t>
  </si>
  <si>
    <t>2026-06-17 14:27</t>
  </si>
  <si>
    <t>KDZ-PC-STAN-S23Ultra-TPR</t>
  </si>
  <si>
    <t>227475</t>
  </si>
  <si>
    <t>260617B1MHEP96</t>
  </si>
  <si>
    <t>2026-06-17 15:15</t>
  </si>
  <si>
    <t>ZFRI-SP-GOR-i15Plus-PVC</t>
  </si>
  <si>
    <t>227477</t>
  </si>
  <si>
    <t>260617B1X8CBE0</t>
  </si>
  <si>
    <t>2026-06-17 15:21</t>
  </si>
  <si>
    <t>227478</t>
  </si>
  <si>
    <t>260617B22DV39F</t>
  </si>
  <si>
    <t>2026-06-17 15:23</t>
  </si>
  <si>
    <t>LEEU-LANY-CLIMB-CROS-BEI</t>
  </si>
  <si>
    <t>2026-06-17 15:49</t>
  </si>
  <si>
    <t>2026-06-17 16:06</t>
  </si>
  <si>
    <t>n/a</t>
  </si>
  <si>
    <t>HKQTQ-CL-HAWK-TabS9-RBW</t>
  </si>
  <si>
    <t>227484</t>
  </si>
  <si>
    <t>260617B4UXN614</t>
  </si>
  <si>
    <t>2026-06-17 16:13</t>
  </si>
  <si>
    <t>227515</t>
  </si>
  <si>
    <t>260617BPCYN1MM</t>
  </si>
  <si>
    <t>2026-06-17 21:27</t>
  </si>
  <si>
    <t>DUX-SP-10D-CMF1-CLR</t>
  </si>
  <si>
    <t>2026-06-17 21:43</t>
  </si>
  <si>
    <t>227532</t>
  </si>
  <si>
    <t>260617BU62MGNF</t>
  </si>
  <si>
    <t>2026-06-17 22:52</t>
  </si>
  <si>
    <t>227539</t>
  </si>
  <si>
    <t>260617BW0JNQ8R</t>
  </si>
  <si>
    <t>2026-06-17 23:25</t>
  </si>
  <si>
    <t>227560</t>
  </si>
  <si>
    <t>260618CDGE4HD0</t>
  </si>
  <si>
    <t>2026-06-18 04:20</t>
  </si>
  <si>
    <t>227561</t>
  </si>
  <si>
    <t>260618CGRDG9JN</t>
  </si>
  <si>
    <t>2026-06-18 05:18</t>
  </si>
  <si>
    <t>KDZ-PC-STAN-S26Ultra-BLK</t>
  </si>
  <si>
    <t>227568</t>
  </si>
  <si>
    <t>260618CT6D414U</t>
  </si>
  <si>
    <t>2026-06-18 08:07</t>
  </si>
  <si>
    <t>JJT-SP-STO(WT)-GT4-46mm</t>
  </si>
  <si>
    <t>227593</t>
  </si>
  <si>
    <t>260618D6QV15Q1</t>
  </si>
  <si>
    <t>2026-06-18 11:52</t>
  </si>
  <si>
    <t>DUX-PC-XPS-i16ProMax-BLK</t>
  </si>
  <si>
    <t>2026-06-18 13:16</t>
  </si>
  <si>
    <t>2026-06-18 15:00</t>
  </si>
  <si>
    <t>227620</t>
  </si>
  <si>
    <t>260618DK1CD3CR</t>
  </si>
  <si>
    <t>2026-06-18 15:32</t>
  </si>
  <si>
    <t>PSG-IC-PU-TabS7/S8-PNK</t>
  </si>
  <si>
    <t>227626</t>
  </si>
  <si>
    <t>260618DPY035E1</t>
  </si>
  <si>
    <t>2026-06-18 16:42</t>
  </si>
  <si>
    <t>7TREE-PC-SHI-NTH/Phone2A-TP</t>
  </si>
  <si>
    <t>227629</t>
  </si>
  <si>
    <t>260618DQNJ2964</t>
  </si>
  <si>
    <t>2026-06-18 16:54</t>
  </si>
  <si>
    <t>7TREE-PC-JJ-MagicV3-RED</t>
  </si>
  <si>
    <t>227632</t>
  </si>
  <si>
    <t>260618DS7FGKYK</t>
  </si>
  <si>
    <t>2026-06-18 17:23</t>
  </si>
  <si>
    <t>227652</t>
  </si>
  <si>
    <t>260618E4BTGRE9</t>
  </si>
  <si>
    <t>2026-06-18 20:42</t>
  </si>
  <si>
    <t>227658</t>
  </si>
  <si>
    <t>260618E72B330V</t>
  </si>
  <si>
    <t>2026-06-18 21:30</t>
  </si>
  <si>
    <t>BNKS-ACE-D43-2m-BLK</t>
  </si>
  <si>
    <t>2026-06-18 22:20</t>
  </si>
  <si>
    <t>227670</t>
  </si>
  <si>
    <t>260618EA2Q8NA0</t>
  </si>
  <si>
    <t>2026-06-18 22:24</t>
  </si>
  <si>
    <t>227672</t>
  </si>
  <si>
    <t>260618EB78E1F9</t>
  </si>
  <si>
    <t>2026-06-18 22:44</t>
  </si>
  <si>
    <t>227690</t>
  </si>
  <si>
    <t>260619EWQDX5EP</t>
  </si>
  <si>
    <t>2026-06-19 04:16</t>
  </si>
  <si>
    <t>DUX-IC-DOMO-TabS10Ultra-BLU</t>
  </si>
  <si>
    <t>227704</t>
  </si>
  <si>
    <t>260619FEBHRY5N</t>
  </si>
  <si>
    <t>2026-06-19 09:13</t>
  </si>
  <si>
    <t>227712</t>
  </si>
  <si>
    <t>260619FH6R17YV</t>
  </si>
  <si>
    <t>2026-06-19 10:04</t>
  </si>
  <si>
    <t>LEEU-PC-ARCY(MS)-i15-CLR</t>
  </si>
  <si>
    <t>GKK-PC-UTT(MS)-ZFold4-BLK</t>
  </si>
  <si>
    <t>227724</t>
  </si>
  <si>
    <t>260619FQ75X1HA</t>
  </si>
  <si>
    <t>2026-06-19 11:52</t>
  </si>
  <si>
    <t>LEEU-MAC-STL-DClip/REC-BLK</t>
  </si>
  <si>
    <t>LEEU-MAC-STL-DClip/TRI-SLV</t>
  </si>
  <si>
    <t>227726</t>
  </si>
  <si>
    <t>260619FRHH54EF</t>
  </si>
  <si>
    <t>2026-06-19 12:16</t>
  </si>
  <si>
    <t>227737</t>
  </si>
  <si>
    <t>260619FVESDHK7</t>
  </si>
  <si>
    <t>2026-06-19 13:25</t>
  </si>
  <si>
    <t>227793</t>
  </si>
  <si>
    <t>260619GR446CC6</t>
  </si>
  <si>
    <t>2026-06-19 21:41</t>
  </si>
  <si>
    <t>227795</t>
  </si>
  <si>
    <t>260619GUV3R0BA</t>
  </si>
  <si>
    <t>2026-06-19 22:48</t>
  </si>
  <si>
    <t>227812</t>
  </si>
  <si>
    <t>260620H3MEPUJ5</t>
  </si>
  <si>
    <t>2026-06-20 01:07</t>
  </si>
  <si>
    <t>227846</t>
  </si>
  <si>
    <t>260620J5WEFMV2</t>
  </si>
  <si>
    <t>2026-06-20 11:20</t>
  </si>
  <si>
    <t>227866</t>
  </si>
  <si>
    <t>260620JCNDR53U</t>
  </si>
  <si>
    <t>2026-06-20 13:21</t>
  </si>
  <si>
    <t>7TREE-PC-SHI-Mi14T-TP</t>
  </si>
  <si>
    <t>2026-06-20 15:03</t>
  </si>
  <si>
    <t>DDC-LAC-TPAD-MbookPro/16(21)-CLR</t>
  </si>
  <si>
    <t>227880</t>
  </si>
  <si>
    <t>260620JJX9G6GR</t>
  </si>
  <si>
    <t>2026-06-20 15:13</t>
  </si>
  <si>
    <t>DUX-IC-TOBY-TabS10FEPlus-BLK</t>
  </si>
  <si>
    <t>227890</t>
  </si>
  <si>
    <t>260620JP5RMECM</t>
  </si>
  <si>
    <t>2026-06-20 16:11</t>
  </si>
  <si>
    <t>227899</t>
  </si>
  <si>
    <t>260620JR8UBEDB</t>
  </si>
  <si>
    <t>2026-06-20 16:49</t>
  </si>
  <si>
    <t>227917</t>
  </si>
  <si>
    <t>260620K1C5JXXY</t>
  </si>
  <si>
    <t>2026-06-20 19:31</t>
  </si>
  <si>
    <t>DUX-PC-XPS-iP17Pro-BLK</t>
  </si>
  <si>
    <t>227940</t>
  </si>
  <si>
    <t>260620K9E6DQK2</t>
  </si>
  <si>
    <t>2026-06-20 21:56</t>
  </si>
  <si>
    <t>227947</t>
  </si>
  <si>
    <t>260620KB7DGDTY</t>
  </si>
  <si>
    <t>2026-06-20 22:28</t>
  </si>
  <si>
    <t>227964</t>
  </si>
  <si>
    <t>260621KPR2F0T8</t>
  </si>
  <si>
    <t>2026-06-21 01:54</t>
  </si>
  <si>
    <t>2026-06-21 11:44</t>
  </si>
  <si>
    <t>LEEU-LANY-CLIMB-NECK-BLK</t>
  </si>
  <si>
    <t>227999</t>
  </si>
  <si>
    <t>260621MUF8QBUS</t>
  </si>
  <si>
    <t>2026-06-21 12:51</t>
  </si>
  <si>
    <t>228004</t>
  </si>
  <si>
    <t>260621MW5SW7DP</t>
  </si>
  <si>
    <t>2026-06-21 13:22</t>
  </si>
  <si>
    <t>228006</t>
  </si>
  <si>
    <t>260621MWP6F3QT</t>
  </si>
  <si>
    <t>2026-06-21 13:31</t>
  </si>
  <si>
    <t>228020</t>
  </si>
  <si>
    <t>260621N7EC5G7G</t>
  </si>
  <si>
    <t>2026-06-21 16:25</t>
  </si>
  <si>
    <t>228029</t>
  </si>
  <si>
    <t>260621NBCG5NS1</t>
  </si>
  <si>
    <t>2026-06-21 17:36</t>
  </si>
  <si>
    <t>7TREE-PC-SHI(MS)-Mi14T-TP</t>
  </si>
  <si>
    <t>228038</t>
  </si>
  <si>
    <t>260621NF7W9CK7</t>
  </si>
  <si>
    <t>2026-06-21 18:45</t>
  </si>
  <si>
    <t>228052</t>
  </si>
  <si>
    <t>260621NMNJAPU4</t>
  </si>
  <si>
    <t>2026-06-21 20:22</t>
  </si>
  <si>
    <t>228061</t>
  </si>
  <si>
    <t>260621NPXHWB3R</t>
  </si>
  <si>
    <t>2026-06-21 21:03</t>
  </si>
  <si>
    <t>GKK-PC-AIR2-ZFlip7-PRP</t>
  </si>
  <si>
    <t>228081</t>
  </si>
  <si>
    <t>260621NSWM5AS2</t>
  </si>
  <si>
    <t>2026-06-21 21:56</t>
  </si>
  <si>
    <t>7TREE-PC-SHI(MS)-Magic6Pro-BLK</t>
  </si>
  <si>
    <t>228085</t>
  </si>
  <si>
    <t>260621NTQJSVNV</t>
  </si>
  <si>
    <t>2026-06-21 22:11</t>
  </si>
  <si>
    <t>228093</t>
  </si>
  <si>
    <t>260621NVWMTNVY</t>
  </si>
  <si>
    <t>2026-06-21 22:50</t>
  </si>
  <si>
    <t>228115</t>
  </si>
  <si>
    <t>260622P4K0GM19</t>
  </si>
  <si>
    <t>2026-06-22 01:07</t>
  </si>
  <si>
    <t>2026-06-22 02:07</t>
  </si>
  <si>
    <t>228133</t>
  </si>
  <si>
    <t>260622PTQ2THWX</t>
  </si>
  <si>
    <t>2026-06-22 07:43</t>
  </si>
  <si>
    <t>228136</t>
  </si>
  <si>
    <t>260622PV6JXFFP</t>
  </si>
  <si>
    <t>2026-06-22 08:10</t>
  </si>
  <si>
    <t>228143</t>
  </si>
  <si>
    <t>260622PYAWY11H</t>
  </si>
  <si>
    <t>2026-06-22 09:06</t>
  </si>
  <si>
    <t>228144</t>
  </si>
  <si>
    <t>260622PYFPJ7TN</t>
  </si>
  <si>
    <t>2026-06-22 09:08</t>
  </si>
  <si>
    <t>228150</t>
  </si>
  <si>
    <t>260622Q223ESYJ</t>
  </si>
  <si>
    <t>2026-06-22 09:54</t>
  </si>
  <si>
    <t>228155</t>
  </si>
  <si>
    <t>260622Q2VJB9XU</t>
  </si>
  <si>
    <t>2026-06-22 10:09</t>
  </si>
  <si>
    <t>228170</t>
  </si>
  <si>
    <t>260622Q8SCTWB6</t>
  </si>
  <si>
    <t>2026-06-22 11:55</t>
  </si>
  <si>
    <t>DUX-BAG-LBDB-14/15.4-BLU</t>
  </si>
  <si>
    <t>228172</t>
  </si>
  <si>
    <t>260622Q9HCJTTV</t>
  </si>
  <si>
    <t>2026-06-22 12:08</t>
  </si>
  <si>
    <t>ESR-PC-ALL-i13Pro-CLR</t>
  </si>
  <si>
    <t>2026-06-22 12:38</t>
  </si>
  <si>
    <t>DUX-IC-PUFF-Air4/5-PNK</t>
  </si>
  <si>
    <t>228185</t>
  </si>
  <si>
    <t>260622QD7HV6WR</t>
  </si>
  <si>
    <t>2026-06-22 13:14</t>
  </si>
  <si>
    <t>228192</t>
  </si>
  <si>
    <t>260622QEHV1K85</t>
  </si>
  <si>
    <t>2026-06-22 13:38</t>
  </si>
  <si>
    <t>LEEU-LANY-CLIMB-HAND-BLK</t>
  </si>
  <si>
    <t>228197</t>
  </si>
  <si>
    <t>260622QF3W3141</t>
  </si>
  <si>
    <t>2026-06-22 13:48</t>
  </si>
  <si>
    <t>7TREE-PC-SHI(MS)-Magic8Pro-BLK</t>
  </si>
  <si>
    <t>228212</t>
  </si>
  <si>
    <t>260622QM954NAF</t>
  </si>
  <si>
    <t>2026-06-22 15:20</t>
  </si>
  <si>
    <t>228219</t>
  </si>
  <si>
    <t>260622QQSENEK1</t>
  </si>
  <si>
    <t>2026-06-22 16:23</t>
  </si>
  <si>
    <t>228222</t>
  </si>
  <si>
    <t>260622QSAN51UX</t>
  </si>
  <si>
    <t>2026-06-22 16:51</t>
  </si>
  <si>
    <t>DUX-PC-FLIP-iP17ProMax-BLK</t>
  </si>
  <si>
    <t>228227</t>
  </si>
  <si>
    <t>260622QT6A4R1U</t>
  </si>
  <si>
    <t>2026-06-22 17:06</t>
  </si>
  <si>
    <t>228230</t>
  </si>
  <si>
    <t>260622QU67GBMW</t>
  </si>
  <si>
    <t>2026-06-22 17:24</t>
  </si>
  <si>
    <t>228233</t>
  </si>
  <si>
    <t>260622QVJ2BAG9</t>
  </si>
  <si>
    <t>2026-06-22 17:49</t>
  </si>
  <si>
    <t>GKK-PC-TIFF(RING)-ZFlip7-BLK</t>
  </si>
  <si>
    <t>228245</t>
  </si>
  <si>
    <t>260622R07KQ1AC</t>
  </si>
  <si>
    <t>2026-06-22 18:54</t>
  </si>
  <si>
    <t>228271</t>
  </si>
  <si>
    <t>260622R9YNM4H1</t>
  </si>
  <si>
    <t>2026-06-22 21:49</t>
  </si>
  <si>
    <t>ZFRI-SP-GOR-i12-CLR</t>
  </si>
  <si>
    <t>228276</t>
  </si>
  <si>
    <t>260622RBAQPDY2</t>
  </si>
  <si>
    <t>2026-06-22 22:13</t>
  </si>
  <si>
    <t>228279</t>
  </si>
  <si>
    <t>260622RCHANDNM</t>
  </si>
  <si>
    <t>2026-06-22 22:35</t>
  </si>
  <si>
    <t>228280</t>
  </si>
  <si>
    <t>260622RD874QCE</t>
  </si>
  <si>
    <t>2026-06-22 22:47</t>
  </si>
  <si>
    <t>CK-LC-MATT-MbookAir/15(23)-CLR/GRY</t>
  </si>
  <si>
    <t>2026-06-22 23:03</t>
  </si>
  <si>
    <t>228299</t>
  </si>
  <si>
    <t>260623RW1GMPMQ</t>
  </si>
  <si>
    <t>2026-06-23 03:30</t>
  </si>
  <si>
    <t>DUX-PC-FLIP-iP17ProMax-BLU</t>
  </si>
  <si>
    <t>228305</t>
  </si>
  <si>
    <t>260623S6HUKEN1</t>
  </si>
  <si>
    <t>2026-06-23 06:20</t>
  </si>
  <si>
    <t>228323</t>
  </si>
  <si>
    <t>260623SNAJQUGP</t>
  </si>
  <si>
    <t>2026-06-23 10:44</t>
  </si>
  <si>
    <t>228324</t>
  </si>
  <si>
    <t>260623SP5MPTV5</t>
  </si>
  <si>
    <t>2026-06-23 11:00</t>
  </si>
  <si>
    <t>DUX-PC-AIMO-XM15Ultra-BLK</t>
  </si>
  <si>
    <t>228333</t>
  </si>
  <si>
    <t>260623STYWTK6G</t>
  </si>
  <si>
    <t>2026-06-23 12:26</t>
  </si>
  <si>
    <t>228344</t>
  </si>
  <si>
    <t>260623SX650DA9</t>
  </si>
  <si>
    <t>2026-06-23 13:23</t>
  </si>
  <si>
    <t>228348</t>
  </si>
  <si>
    <t>260623SYWHU67E</t>
  </si>
  <si>
    <t>2026-06-23 13:54</t>
  </si>
  <si>
    <t>228353</t>
  </si>
  <si>
    <t>260623T166MVWP</t>
  </si>
  <si>
    <t>2026-06-23 14:17</t>
  </si>
  <si>
    <t>228356</t>
  </si>
  <si>
    <t>260623T1F9GEM1</t>
  </si>
  <si>
    <t>2026-06-23 14:22</t>
  </si>
  <si>
    <t>ZFRI-CL-CLGOR-i17Pro-TTN/GRY</t>
  </si>
  <si>
    <t>228361</t>
  </si>
  <si>
    <t>260623T24VYF4D</t>
  </si>
  <si>
    <t>2026-06-23 14:34</t>
  </si>
  <si>
    <t>228370</t>
  </si>
  <si>
    <t>260623T5YGCM77</t>
  </si>
  <si>
    <t>2026-06-23 15:42</t>
  </si>
  <si>
    <t>228409</t>
  </si>
  <si>
    <t>260623TP1N5GF9</t>
  </si>
  <si>
    <t>2026-06-23 20:30</t>
  </si>
  <si>
    <t>DUX-PC-XPS-i14Pro-BLK</t>
  </si>
  <si>
    <t>228410</t>
  </si>
  <si>
    <t>260623TPH4263W</t>
  </si>
  <si>
    <t>2026-06-23 20:39</t>
  </si>
  <si>
    <t>228413</t>
  </si>
  <si>
    <t>260623TQ4WA2KS</t>
  </si>
  <si>
    <t>2026-06-23 20:50</t>
  </si>
  <si>
    <t>GKK-PC-TIFF-ZFlip6-BLK</t>
  </si>
  <si>
    <t>228423</t>
  </si>
  <si>
    <t>260623TSYWUFE1</t>
  </si>
  <si>
    <t>2026-06-23 21:41</t>
  </si>
  <si>
    <t>DUX-IC-MAGI-Air13(2024)-BLK</t>
  </si>
  <si>
    <t>2026-06-23 21:58</t>
  </si>
  <si>
    <t>228439</t>
  </si>
  <si>
    <t>260623TYJH86J2</t>
  </si>
  <si>
    <t>2026-06-23 23:21</t>
  </si>
  <si>
    <t>LEEU-CL-BC-i13ProMax</t>
  </si>
  <si>
    <t>228506</t>
  </si>
  <si>
    <t>260624VGHEK4EB</t>
  </si>
  <si>
    <t>2026-06-24 13:57</t>
  </si>
  <si>
    <t>DUX-PC-FLIP-iP17Air-BLK</t>
  </si>
  <si>
    <t>228509</t>
  </si>
  <si>
    <t>260624VHH8484T</t>
  </si>
  <si>
    <t>2026-06-24 14:15</t>
  </si>
  <si>
    <t>228522</t>
  </si>
  <si>
    <t>260624VMR54YM9</t>
  </si>
  <si>
    <t>2026-06-24 15:12</t>
  </si>
  <si>
    <t>228548</t>
  </si>
  <si>
    <t>260624W075P898</t>
  </si>
  <si>
    <t>2026-06-24 18:37</t>
  </si>
  <si>
    <t>228571</t>
  </si>
  <si>
    <t>26062403E7UDX5</t>
  </si>
  <si>
    <t>2026-06-24 20:34</t>
  </si>
  <si>
    <t>228585</t>
  </si>
  <si>
    <t>26062406KAR2DE</t>
  </si>
  <si>
    <t>2026-06-24 21:31</t>
  </si>
  <si>
    <t>228612</t>
  </si>
  <si>
    <t>2606240E39RH9F</t>
  </si>
  <si>
    <t>2026-06-24 23:45</t>
  </si>
  <si>
    <t>DUX-PC-AIMO-Reno11Pro-BLK</t>
  </si>
  <si>
    <t>228630</t>
  </si>
  <si>
    <t>2606250JMNRRMA</t>
  </si>
  <si>
    <t>2026-06-25 01:07</t>
  </si>
  <si>
    <t>228633</t>
  </si>
  <si>
    <t>2606250KDNVVUK</t>
  </si>
  <si>
    <t>2026-06-25 01:21</t>
  </si>
  <si>
    <t>ZFRI-SP-GOR-i14Pro-CLR</t>
  </si>
  <si>
    <t>228634</t>
  </si>
  <si>
    <t>2606250KRMU8S0</t>
  </si>
  <si>
    <t>2026-06-25 01:27</t>
  </si>
  <si>
    <t>2026-06-25 06:20</t>
  </si>
  <si>
    <t>228653</t>
  </si>
  <si>
    <t>260625179FJ3CX</t>
  </si>
  <si>
    <t>2026-06-25 07:16</t>
  </si>
  <si>
    <t>228669</t>
  </si>
  <si>
    <t>2606251E4J1HS8</t>
  </si>
  <si>
    <t>2026-06-25 09:19</t>
  </si>
  <si>
    <t>7TREE-PC-SHI-Magic8Pro-WHT</t>
  </si>
  <si>
    <t>228684</t>
  </si>
  <si>
    <t>2606251HQQ10W7</t>
  </si>
  <si>
    <t>2026-06-25 10:23</t>
  </si>
  <si>
    <t>228697</t>
  </si>
  <si>
    <t>2606251QMCRYX8</t>
  </si>
  <si>
    <t>2026-06-25 12:08</t>
  </si>
  <si>
    <t>ZFRI-CL-CLGOR-i17Pro-ORG</t>
  </si>
  <si>
    <t>228711</t>
  </si>
  <si>
    <t>2606251X75476V</t>
  </si>
  <si>
    <t>2026-06-25 14:06</t>
  </si>
  <si>
    <t>228715</t>
  </si>
  <si>
    <t>2606251YR6VUBC</t>
  </si>
  <si>
    <t>2026-06-25 14:34</t>
  </si>
  <si>
    <t>KDZ-PC-STAN-S23Plus-TPR</t>
  </si>
  <si>
    <t>228726</t>
  </si>
  <si>
    <t>26062524DMHRCX</t>
  </si>
  <si>
    <t>2026-06-25 15:57</t>
  </si>
  <si>
    <t>2026-06-25 16:03</t>
  </si>
  <si>
    <t>228732</t>
  </si>
  <si>
    <t>26062525KT7F3M</t>
  </si>
  <si>
    <t>2026-06-25 16:19</t>
  </si>
  <si>
    <t>228737</t>
  </si>
  <si>
    <t>26062527968F1H</t>
  </si>
  <si>
    <t>2026-06-25 16:49</t>
  </si>
  <si>
    <t>ZFRI-SP-GOR-i12-MAT</t>
  </si>
  <si>
    <t>228770</t>
  </si>
  <si>
    <t>2606252NA2FD89</t>
  </si>
  <si>
    <t>2026-06-25 21:00</t>
  </si>
  <si>
    <t>7TREE-PC-SHI-S24FE-BLK</t>
  </si>
  <si>
    <t>228783</t>
  </si>
  <si>
    <t>2606252SFPSM4P</t>
  </si>
  <si>
    <t>2026-06-25 22:14</t>
  </si>
  <si>
    <t>228784</t>
  </si>
  <si>
    <t>2606252SQCT7VJ</t>
  </si>
  <si>
    <t>2026-06-25 22:19</t>
  </si>
  <si>
    <t>228790</t>
  </si>
  <si>
    <t>2606252TYS3CV2</t>
  </si>
  <si>
    <t>2026-06-25 22:41</t>
  </si>
  <si>
    <t>228796</t>
  </si>
  <si>
    <t>2606252VJCCYW7</t>
  </si>
  <si>
    <t>2026-06-25 23:10</t>
  </si>
  <si>
    <t>CK-LC-MATT-MbookPro/16(21)-CLR</t>
  </si>
  <si>
    <t>228811</t>
  </si>
  <si>
    <t>26062633QM3T3C</t>
  </si>
  <si>
    <t>2026-06-26 01:18</t>
  </si>
  <si>
    <t>DDC-LC-MATT-MateBook14(21)-BLK</t>
  </si>
  <si>
    <t>228818</t>
  </si>
  <si>
    <t>2606263PKK8HFH</t>
  </si>
  <si>
    <t>2026-06-26 06:55</t>
  </si>
  <si>
    <t>7TREE-PC-SHI(MS)-NTH/Phone2A-BLK</t>
  </si>
  <si>
    <t>228821</t>
  </si>
  <si>
    <t>2606263RPG79XD</t>
  </si>
  <si>
    <t>2026-06-26 07:33</t>
  </si>
  <si>
    <t>2026-06-26 08:58</t>
  </si>
  <si>
    <t>228860</t>
  </si>
  <si>
    <t>26062648TNVEYT</t>
  </si>
  <si>
    <t>2026-06-26 12:22</t>
  </si>
  <si>
    <t>228862</t>
  </si>
  <si>
    <t>26062649BV416Y</t>
  </si>
  <si>
    <t>2026-06-26 12:31</t>
  </si>
  <si>
    <t>2026-06-26 12:37</t>
  </si>
  <si>
    <t>228867</t>
  </si>
  <si>
    <t>2606264BFTJ5Q5</t>
  </si>
  <si>
    <t>2026-06-26 13:09</t>
  </si>
  <si>
    <t>DUX-PC-XPS-S24Ultra-BLK</t>
  </si>
  <si>
    <t>228881</t>
  </si>
  <si>
    <t>2606264EQRW2EV</t>
  </si>
  <si>
    <t>2026-06-26 14:07</t>
  </si>
  <si>
    <t>228882</t>
  </si>
  <si>
    <t>2606264ETDRX8R</t>
  </si>
  <si>
    <t>2026-06-26 14:09</t>
  </si>
  <si>
    <t>228887</t>
  </si>
  <si>
    <t>2606264H8N6S4K</t>
  </si>
  <si>
    <t>2026-06-26 14:53</t>
  </si>
  <si>
    <t>DUX-PC-CLIN(MS)-iP17-CLR</t>
  </si>
  <si>
    <t>228903</t>
  </si>
  <si>
    <t>2606264QFWFSJA</t>
  </si>
  <si>
    <t>2026-06-26 16:44</t>
  </si>
  <si>
    <t>228906</t>
  </si>
  <si>
    <t>2606264QU2412S</t>
  </si>
  <si>
    <t>2026-06-26 16:50</t>
  </si>
  <si>
    <t>228928</t>
  </si>
  <si>
    <t>2606264WMJRQU9</t>
  </si>
  <si>
    <t>2026-06-26 18:34</t>
  </si>
  <si>
    <t>228953</t>
  </si>
  <si>
    <t>26062656FSJWW1</t>
  </si>
  <si>
    <t>2026-06-26 21:12</t>
  </si>
  <si>
    <t>PSG-IC-G1-TabS9Ultra-LAV</t>
  </si>
  <si>
    <t>228957</t>
  </si>
  <si>
    <t>26062659RFTHUU</t>
  </si>
  <si>
    <t>2026-06-26 22:11</t>
  </si>
  <si>
    <t>OEM1-PC-PU(MS)-XM15-GRY</t>
  </si>
  <si>
    <t>228985</t>
  </si>
  <si>
    <t>2606276BHCK5E0</t>
  </si>
  <si>
    <t>2026-06-27 08:15</t>
  </si>
  <si>
    <t>ZFRI-WAC-CUBE(C)-44-TPR</t>
  </si>
  <si>
    <t>228986</t>
  </si>
  <si>
    <t>2606276BPXWF2X</t>
  </si>
  <si>
    <t>2026-06-27 08:19</t>
  </si>
  <si>
    <t>2026-06-27 13:38</t>
  </si>
  <si>
    <t>229071</t>
  </si>
  <si>
    <t>2606277BA5437J</t>
  </si>
  <si>
    <t>2026-06-27 17:44</t>
  </si>
  <si>
    <t>2026-06-27 17:50</t>
  </si>
  <si>
    <t>229097</t>
  </si>
  <si>
    <t>2606277KGH8E6U</t>
  </si>
  <si>
    <t>2026-06-27 20:11</t>
  </si>
  <si>
    <t>DUX-IC-DOMO-TabS9-BLK</t>
  </si>
  <si>
    <t>229103</t>
  </si>
  <si>
    <t>2606277N8ECDWG</t>
  </si>
  <si>
    <t>2026-06-27 20:42</t>
  </si>
  <si>
    <t>2026-06-27 21:39</t>
  </si>
  <si>
    <t>229116</t>
  </si>
  <si>
    <t>2606277TTYTE85</t>
  </si>
  <si>
    <t>2026-06-27 22:22</t>
  </si>
  <si>
    <t>DDC-LC-CRYS-MbookAir/13(18)-CLR</t>
  </si>
  <si>
    <t>2026-06-27 22:44</t>
  </si>
  <si>
    <t>GB-PC-QJ(MS)-V50-MAT/BLK</t>
  </si>
  <si>
    <t>229130</t>
  </si>
  <si>
    <t>26062880DCJ6XT</t>
  </si>
  <si>
    <t>2026-06-28 00:02</t>
  </si>
  <si>
    <t>229135</t>
  </si>
  <si>
    <t>260628848WF80N</t>
  </si>
  <si>
    <t>2026-06-28 01:11</t>
  </si>
  <si>
    <t>229147</t>
  </si>
  <si>
    <t>2606288PWQQVC5</t>
  </si>
  <si>
    <t>2026-06-28 06:44</t>
  </si>
  <si>
    <t>229153</t>
  </si>
  <si>
    <t>2606288WEYGWE5</t>
  </si>
  <si>
    <t>2026-06-28 08:41</t>
  </si>
  <si>
    <t>229178</t>
  </si>
  <si>
    <t>2606289959MP00</t>
  </si>
  <si>
    <t>2026-06-28 12:11</t>
  </si>
  <si>
    <t>229182</t>
  </si>
  <si>
    <t>2606289A6PR9N2</t>
  </si>
  <si>
    <t>2026-06-28 12:30</t>
  </si>
  <si>
    <t>LEEU-LANY-ADJ-SPR-GRY</t>
  </si>
  <si>
    <t>229190</t>
  </si>
  <si>
    <t>2606289C9E0C7G</t>
  </si>
  <si>
    <t>2026-06-28 13:07</t>
  </si>
  <si>
    <t>229194</t>
  </si>
  <si>
    <t>2606289EWRX78X</t>
  </si>
  <si>
    <t>2026-06-28 13:54</t>
  </si>
  <si>
    <t>ZFRI-SP-XGO-i17ProMax-PVC</t>
  </si>
  <si>
    <t>229201</t>
  </si>
  <si>
    <t>2606289HMD7A5F</t>
  </si>
  <si>
    <t>2026-06-28 14:42</t>
  </si>
  <si>
    <t>LEEU-MAC-BODY-Lanyard-BLK</t>
  </si>
  <si>
    <t>229206</t>
  </si>
  <si>
    <t>2606289KA0WDPM</t>
  </si>
  <si>
    <t>2026-06-28 15:12</t>
  </si>
  <si>
    <t>229208</t>
  </si>
  <si>
    <t>2606289KN3ND88</t>
  </si>
  <si>
    <t>2026-06-28 15:19</t>
  </si>
  <si>
    <t>229209</t>
  </si>
  <si>
    <t>2606289M2EX11T</t>
  </si>
  <si>
    <t>2026-06-28 15:26</t>
  </si>
  <si>
    <t>229213</t>
  </si>
  <si>
    <t>2606289MTGGVFC</t>
  </si>
  <si>
    <t>2026-06-28 15:40</t>
  </si>
  <si>
    <t>229236</t>
  </si>
  <si>
    <t>2606289TJMCEXR</t>
  </si>
  <si>
    <t>2026-06-28 17:23</t>
  </si>
  <si>
    <t>229250</t>
  </si>
  <si>
    <t>2606289YARSXY8</t>
  </si>
  <si>
    <t>2026-06-28 18:48</t>
  </si>
  <si>
    <t>229261</t>
  </si>
  <si>
    <t>260628A22VV5FP</t>
  </si>
  <si>
    <t>2026-06-28 19:37</t>
  </si>
  <si>
    <t>229269</t>
  </si>
  <si>
    <t>260628A4EXMF0E</t>
  </si>
  <si>
    <t>2026-06-28 20:19</t>
  </si>
  <si>
    <t>229276</t>
  </si>
  <si>
    <t>260628A5PDAK9M</t>
  </si>
  <si>
    <t>2026-06-28 20:41</t>
  </si>
  <si>
    <t>DUX-PC-XPS-i15Pro-BLK</t>
  </si>
  <si>
    <t>2026-06-28 20:48</t>
  </si>
  <si>
    <t>2026-06-28 21:09</t>
  </si>
  <si>
    <t>229293</t>
  </si>
  <si>
    <t>260628A83TXGNE</t>
  </si>
  <si>
    <t>2026-06-28 21:25</t>
  </si>
  <si>
    <t>229294</t>
  </si>
  <si>
    <t>260628A8AEPS0M</t>
  </si>
  <si>
    <t>2026-06-28 21:28</t>
  </si>
  <si>
    <t>229317</t>
  </si>
  <si>
    <t>260628AEM44KMN</t>
  </si>
  <si>
    <t>2026-06-28 23:21</t>
  </si>
  <si>
    <t>229331</t>
  </si>
  <si>
    <t>260629AJERH39P</t>
  </si>
  <si>
    <t>2026-06-29 00:30</t>
  </si>
  <si>
    <t>229339</t>
  </si>
  <si>
    <t>260629AMU00RXD</t>
  </si>
  <si>
    <t>2026-06-29 01:12</t>
  </si>
  <si>
    <t>DUX-IC-DOMO-TabA710.4(20)-BLK</t>
  </si>
  <si>
    <t>229373</t>
  </si>
  <si>
    <t>260629BEU0R6QD</t>
  </si>
  <si>
    <t>2026-06-29 08:58</t>
  </si>
  <si>
    <t>229374</t>
  </si>
  <si>
    <t>260629BFA57WRP</t>
  </si>
  <si>
    <t>2026-06-29 09:06</t>
  </si>
  <si>
    <t>DUX-WTF-TBL-XMPad6-MAT</t>
  </si>
  <si>
    <t>2026-06-29 10:14</t>
  </si>
  <si>
    <t>229405</t>
  </si>
  <si>
    <t>260629BNDDN80J</t>
  </si>
  <si>
    <t>2026-06-29 10:55</t>
  </si>
  <si>
    <t>2026-06-29 11:33</t>
  </si>
  <si>
    <t>229422</t>
  </si>
  <si>
    <t>260629BSEA8R6J</t>
  </si>
  <si>
    <t>2026-06-29 12:08</t>
  </si>
  <si>
    <t>229446</t>
  </si>
  <si>
    <t>260629BX4W70FE</t>
  </si>
  <si>
    <t>2026-06-29 13:32</t>
  </si>
  <si>
    <t>ZFRI-SP-GOR-XSMAX-PVC</t>
  </si>
  <si>
    <t>229473</t>
  </si>
  <si>
    <t>260629C5QE6CV3</t>
  </si>
  <si>
    <t>2026-06-29 15:47</t>
  </si>
  <si>
    <t>229476</t>
  </si>
  <si>
    <t>260629C7F7HP9C</t>
  </si>
  <si>
    <t>2026-06-29 16:19</t>
  </si>
  <si>
    <t>229497</t>
  </si>
  <si>
    <t>260629CD4W3WW1</t>
  </si>
  <si>
    <t>2026-06-29 18:00</t>
  </si>
  <si>
    <t>7TREE-PC-SHI(MS)-NTH/Phone2A-TP</t>
  </si>
  <si>
    <t>229499</t>
  </si>
  <si>
    <t>260629CDRAUYK5</t>
  </si>
  <si>
    <t>2026-06-29 18:11</t>
  </si>
  <si>
    <t>229515</t>
  </si>
  <si>
    <t>260629CKM9RBQ5</t>
  </si>
  <si>
    <t>2026-06-29 19:56</t>
  </si>
  <si>
    <t>229517</t>
  </si>
  <si>
    <t>260629CNAFHHW0</t>
  </si>
  <si>
    <t>2026-06-29 20:26</t>
  </si>
  <si>
    <t>229531</t>
  </si>
  <si>
    <t>260629CW44E8FH</t>
  </si>
  <si>
    <t>2026-06-29 22:46</t>
  </si>
  <si>
    <t>229538</t>
  </si>
  <si>
    <t>260629D01AKA5U</t>
  </si>
  <si>
    <t>2026-06-29 23:38</t>
  </si>
  <si>
    <t>2026-06-30 01:02</t>
  </si>
  <si>
    <t>229558</t>
  </si>
  <si>
    <t>260630DBAJ3G84</t>
  </si>
  <si>
    <t>2026-06-30 03:00</t>
  </si>
  <si>
    <t>229600</t>
  </si>
  <si>
    <t>260630E3P82C1X</t>
  </si>
  <si>
    <t>2026-06-30 10:16</t>
  </si>
  <si>
    <t>DUX-PC-XPS-iP17ProMax-PRP</t>
  </si>
  <si>
    <t>229604</t>
  </si>
  <si>
    <t>260630E4N16P7N</t>
  </si>
  <si>
    <t>2026-06-30 10:33</t>
  </si>
  <si>
    <t>7TREE-PC-SHI-NTH/3APRO-TP</t>
  </si>
  <si>
    <t>229608</t>
  </si>
  <si>
    <t>260630E68AFA82</t>
  </si>
  <si>
    <t>2026-06-30 11:02</t>
  </si>
  <si>
    <t>DUX-WAC-EAPA-49-TP</t>
  </si>
  <si>
    <t>229630</t>
  </si>
  <si>
    <t>260630EARYP5QX</t>
  </si>
  <si>
    <t>2026-06-30 12:23</t>
  </si>
  <si>
    <t>DUX-PC-AIMO-Magic8Pro-BLK</t>
  </si>
  <si>
    <t>229631</t>
  </si>
  <si>
    <t>260630EAUX37EW</t>
  </si>
  <si>
    <t>2026-06-30 12:25</t>
  </si>
  <si>
    <t>2026-06-30 13:31</t>
  </si>
  <si>
    <t>229645</t>
  </si>
  <si>
    <t>260630EEWT58DR</t>
  </si>
  <si>
    <t>2026-06-30 13:37</t>
  </si>
  <si>
    <t>229650</t>
  </si>
  <si>
    <t>260630EFHVWHEY</t>
  </si>
  <si>
    <t>2026-06-30 13:49</t>
  </si>
  <si>
    <t>229693</t>
  </si>
  <si>
    <t>260630ETVP15PD</t>
  </si>
  <si>
    <t>2026-06-30 17:11</t>
  </si>
  <si>
    <t>DUX-PC-SX2-A14/5G-BLU</t>
  </si>
  <si>
    <t>229694</t>
  </si>
  <si>
    <t>260630ETWHN04Y</t>
  </si>
  <si>
    <t>2026-06-30 17:12</t>
  </si>
  <si>
    <t>229701</t>
  </si>
  <si>
    <t>260630EVVB3CU5</t>
  </si>
  <si>
    <t>2026-06-30 17:47</t>
  </si>
  <si>
    <t>229705</t>
  </si>
  <si>
    <t>260630EW5D08P2</t>
  </si>
  <si>
    <t>2026-06-30 17:52</t>
  </si>
  <si>
    <t>229712</t>
  </si>
  <si>
    <t>260630EY19VN7N</t>
  </si>
  <si>
    <t>2026-06-30 18:26</t>
  </si>
  <si>
    <t>ZFRI-SP-GOR-i12ProMax-MAT</t>
  </si>
  <si>
    <t>229722</t>
  </si>
  <si>
    <t>260630F2UHSXEC</t>
  </si>
  <si>
    <t>2026-06-30 19:34</t>
  </si>
  <si>
    <t>DUX-PC-YIND-iP17ProMax-PNK</t>
  </si>
  <si>
    <t>229726</t>
  </si>
  <si>
    <t>260630F3RTC4DW</t>
  </si>
  <si>
    <t>2026-06-30 19:50</t>
  </si>
  <si>
    <t>LEEU-LANY-CLIMB-CROS-ORG</t>
  </si>
  <si>
    <t>LEEU-LANY-CLIMB-CROS-LPRP</t>
  </si>
  <si>
    <t>229733</t>
  </si>
  <si>
    <t>260630F5NB9V5P</t>
  </si>
  <si>
    <t>2026-06-30 20:24</t>
  </si>
  <si>
    <t>ZFRI-LC-MbookPro/16(2021)-CLR</t>
  </si>
  <si>
    <t>229736</t>
  </si>
  <si>
    <t>260630F8DMYS6X</t>
  </si>
  <si>
    <t>2026-06-30 21:14</t>
  </si>
  <si>
    <t>229748</t>
  </si>
  <si>
    <t>260630FAPCVYPX</t>
  </si>
  <si>
    <t>2026-06-30 21:54</t>
  </si>
  <si>
    <t>7TREE-PC-SHI(MS)-Pixel10/10Pro-BLK</t>
  </si>
  <si>
    <t>229750</t>
  </si>
  <si>
    <t>260630FB8NHWV9</t>
  </si>
  <si>
    <t>2026-06-30 22:04</t>
  </si>
  <si>
    <t>229758</t>
  </si>
  <si>
    <t>260630FD5B5Q6Y</t>
  </si>
  <si>
    <t>2026-06-30 22:38</t>
  </si>
  <si>
    <t>XINC-LAC-VERS-Bag/16inch-BLK</t>
  </si>
  <si>
    <t>229764</t>
  </si>
  <si>
    <t>260630FF1CW8HN</t>
  </si>
  <si>
    <t>2026-06-30 23:12</t>
  </si>
  <si>
    <t>229768</t>
  </si>
  <si>
    <t>260630FH5NP3TT</t>
  </si>
  <si>
    <t>2026-06-30 23:50</t>
  </si>
  <si>
    <t>TOTAL</t>
  </si>
  <si>
    <t>Promo Verification — Methodology &amp; Legend</t>
  </si>
  <si>
    <t>(524) — Reseller's live retail discount (Shopee Original Price vs Deal Price, from SO) matches our June Promo Rate table within rounding tolerance (±0.5pp). DSP charged at Promo Rate.</t>
  </si>
  <si>
    <t>(70) — Reseller applied a retail discount, but not the rate we specified. Still charged at our official Promo Rate (a promotion WAS run) — flagged here for compliance follow-up.</t>
  </si>
  <si>
    <t>(70) — SO shows Deal Price = Original Price (0% discount) even though a promo rate exists on file. Reseller did NOT run the promotion, so charged at FULL DSP price (no discount given).</t>
  </si>
  <si>
    <t>(1) — Could not locate a matching Shopee order-line price to verify. Defaults to prior rule (apply table rate if one exists).</t>
  </si>
  <si>
    <t>(1) — ISKU has no entry in the June Promo Rate table at all; charged at full DSP.</t>
  </si>
  <si>
    <t>Line Items</t>
  </si>
  <si>
    <t>Income Received (RM)
[Shopee Payout - SB]</t>
  </si>
  <si>
    <t>Total DSP Charge (RM)
[owed to FRESCOONE]</t>
  </si>
  <si>
    <t>Reseller Final Earning (RM)
[Income - DSP Charge]</t>
  </si>
  <si>
    <t>Income Received = actual Shopee payout for that order, matched by Marketplace Order ID from the my_balance Transaction Report (SB), Money In minus any Money Out adjustments for that order.</t>
  </si>
  <si>
    <t>Total DSP Charge = sum of all Itemized Calculation line totals for that order (auto-updates as Pending DSP Entry rows are filled in).</t>
  </si>
  <si>
    <t>Reseller Final Earning = Income Received less Total DSP Charge owed to FRESCOONE — this is the reseller's margin on the order BEFORE their own Shopee ads spend / other costs.</t>
  </si>
  <si>
    <t>RETURN / REFUND PARCEL CASES &amp; PAYMENT STATUS</t>
  </si>
  <si>
    <t>Case On Store (caseon123) — Shopee balance history reviewed: 16 Apr 2026 to 16 Jul 2026 (past 3 months)</t>
  </si>
  <si>
    <t>A. June 2026 Orders Under Return/Refund (Shopee "Request Approved" status) — part of this invoice batch</t>
  </si>
  <si>
    <t>Product</t>
  </si>
  <si>
    <t>Order Subtotal (RM)</t>
  </si>
  <si>
    <t>Refund Status (Shopee)</t>
  </si>
  <si>
    <t>Net Income Received to Date (RM)</t>
  </si>
  <si>
    <t>DSP Charged (RM)</t>
  </si>
  <si>
    <t>Frescoone Verified? (check Sitegiant, then decide)</t>
  </si>
  <si>
    <t>DSP Charge Removed (RM)</t>
  </si>
  <si>
    <t>Assessment</t>
  </si>
  <si>
    <t>CASEON GORILLA CLEAR PRIVACY Tempered Glass for iPhone 17 17e Air 16 16E 15 14 Plus 13 12 11 XS Pro Max XR Full Screen</t>
  </si>
  <si>
    <t>Request Approved</t>
  </si>
  <si>
    <t>Refund clawed back in full via escrow reversal (reseller wallet debited)</t>
  </si>
  <si>
    <t>DUX DUCIS SKIN X PRO Leather TPU Magnet Card Phone Case for iPhone 17 17e Air 16 15 14 13 Pro Max Plus Clear Flip Cover</t>
  </si>
  <si>
    <t>Return approved — clawback not yet posted in Shopee balance as of report date; monitor for future deduction</t>
  </si>
  <si>
    <t>ZIFRIEND SILK PRIVACY / CLEAR Tempered Glass For iPhone 16 16E 15 14 Plus 13 12 11 Pro Max XR Anti Spy Full Screen Tools</t>
  </si>
  <si>
    <t>DUX DUCIS DOMO Sarung Tablet untuk iPad Pro 13 11 12.9 Mini 7 6 Air 13 11 5 4 3 /10 9 8 7 Leather TPU Case Cover Casing</t>
  </si>
  <si>
    <t>MAGNETIC FROSTED Matte / Clear PC TPU Dustproof Phone Case Oppo Reno 13 13F 12 12F A5 Pro 5G 4G Non Yellow Shockproof GB</t>
  </si>
  <si>
    <t>ZIFRIEND MATTE Clear Ultra Slim Hard PC Case for MacBook Pro Air 13 14 15 16 inch M5 M4 M3 M2 M1 A2941 Case Casing Cover</t>
  </si>
  <si>
    <t>TOTAL DSP CHARGE REMOVED</t>
  </si>
  <si>
    <t>Instructions: for each row, check Sitegiant to confirm the returned parcel was received back in good condition. Set column H to "Confirmed Good — Remove Charge" to remove the DSP charge for that order directly in the "Itemized Calculation" tab (column K), or "Not Returned / Keep Charge" if the item was not actually returned in good order. Leave as "Pending Review" until checked. Column G always shows the original DSP charge for reference, even after removal.</t>
  </si>
  <si>
    <t>B. All Return/Refund Escrow-Reversal Adjustments — full 3-month Shopee balance history</t>
  </si>
  <si>
    <t>Date</t>
  </si>
  <si>
    <t>Amount Clawed Back (RM)</t>
  </si>
  <si>
    <t>In This Invoice Batch (June)?</t>
  </si>
  <si>
    <t>2026-07-15 00:47:13</t>
  </si>
  <si>
    <t>2607073KBUHB1H</t>
  </si>
  <si>
    <t>No — prior month order</t>
  </si>
  <si>
    <t>Wallet adjustment for order 2607073KBUHB1H due to Return/Refund after escrow release</t>
  </si>
  <si>
    <t>2026-07-15 00:45:42</t>
  </si>
  <si>
    <t>Wallet adjustment for order 260630F5NB9V5P due to Return/Refund after escrow release</t>
  </si>
  <si>
    <t>2026-06-26 00:45:51</t>
  </si>
  <si>
    <t>Wallet adjustment for order 260617ASXPJMQF due to Return/Refund after escrow release</t>
  </si>
  <si>
    <t>2026-05-31 00:47:15</t>
  </si>
  <si>
    <t>260518QHP81CRN</t>
  </si>
  <si>
    <t>Wallet adjustment for order 260518QHP81CRN due to Return/Refund after escrow release</t>
  </si>
  <si>
    <t>2026-05-23 14:49:39</t>
  </si>
  <si>
    <t>260503EBK407JU</t>
  </si>
  <si>
    <t>Wallet adjustment for order 260503EBK407JU due to Return/Refund after escrow release</t>
  </si>
  <si>
    <t>2026-05-18 19:21:02</t>
  </si>
  <si>
    <t>260513AGQ25WWW</t>
  </si>
  <si>
    <t>Wallet adjustment for order 260513AGQ25WWW due to Return/Refund after escrow release</t>
  </si>
  <si>
    <t>2026-05-13 14:46:35</t>
  </si>
  <si>
    <t>260507R1XYJABV</t>
  </si>
  <si>
    <t>Wallet adjustment for order 260507R1XYJABV due to Return/Refund after escrow release</t>
  </si>
  <si>
    <t>2026-04-30 20:47:47</t>
  </si>
  <si>
    <t>260410FAG4NAPC</t>
  </si>
  <si>
    <t>Wallet adjustment for order 260410FAG4NAPC due to Return/Refund after escrow release</t>
  </si>
  <si>
    <t>C. Payment Status Check — Orders Not Yet Received from Platform</t>
  </si>
  <si>
    <t>Of 562 unique Completed June 2026 orders, 562 / 562 have at least one matching transaction in the 3-month Shopee balance report (100% — no orders missing a payout record as of 16 Jul 2026).</t>
  </si>
  <si>
    <t>3 of these orders show a NEGATIVE net income (full refund already clawed back): 2606059UKM0Q6R (-RM8.48), 260617ASXPJMQF (-RM11.35), 260630F5NB9V5P (-RM17.91). See Section A above.</t>
  </si>
  <si>
    <t>Data limitation: only June 2026 order-level detail (SO/SGO) was provided, so this "not yet paid" check is only conclusive for June orders. April/May balance activity (Section B) is shown as-is from the Shopee balance report; a full unpaid-order check for those months would need their SO/SGO exports too.</t>
  </si>
  <si>
    <t>ORDER STATUS BREAKDOWN &amp; CANCELLED-ORDER PAYOUT CHECK</t>
  </si>
  <si>
    <t>June 2026 orders (SO) cross-checked against 3-month Shopee balance history (SB) — verifying no payout was received for non-completed orders</t>
  </si>
  <si>
    <t>A. Total Orders by Status (June 2026)</t>
  </si>
  <si>
    <t>Order Status</t>
  </si>
  <si>
    <t>Unique Orders</t>
  </si>
  <si>
    <t>Order Value (RM, product subtotal)</t>
  </si>
  <si>
    <t>Orders w/ Shopee Payout Activity</t>
  </si>
  <si>
    <t>Net Payout Received (RM)</t>
  </si>
  <si>
    <t>Check Result</t>
  </si>
  <si>
    <t>Completed</t>
  </si>
  <si>
    <t>516/516 orders have payout records</t>
  </si>
  <si>
    <t>Order Received (return window open)</t>
  </si>
  <si>
    <t>46/46 orders have payout records</t>
  </si>
  <si>
    <t>Cancelled</t>
  </si>
  <si>
    <t>PASS — no payout on any cancelled order</t>
  </si>
  <si>
    <t>Note: "Order Received (return window open)" = buyer received the parcel but can still raise a return/refund until the stated date; Shopee has already released these payouts, and they are invoiced as Completed in this workbook (matching Sitegiant).</t>
  </si>
  <si>
    <t>B. Cancelled Orders — Case-by-Case Check (59 orders)</t>
  </si>
  <si>
    <t>Order Value (RM)</t>
  </si>
  <si>
    <t>Cancel Reason</t>
  </si>
  <si>
    <t xml:space="preserve">SB Payout Activity? </t>
  </si>
  <si>
    <t>Net Payout (RM)</t>
  </si>
  <si>
    <t>260601UF4RQXMP</t>
  </si>
  <si>
    <t>2026-06-01 00:26</t>
  </si>
  <si>
    <t>Cancelled by buyer. Reason: Seller is not responsive to buyer's inquiries</t>
  </si>
  <si>
    <t>None</t>
  </si>
  <si>
    <t>2606020X25MTA3</t>
  </si>
  <si>
    <t>2026-06-02 00:58</t>
  </si>
  <si>
    <t>Cancelled by seller. Reason: Out of stock</t>
  </si>
  <si>
    <t>26060210DXSVBV</t>
  </si>
  <si>
    <t>2026-06-02 01:40</t>
  </si>
  <si>
    <t>Cancelled by buyer. Reason: Need to modify order</t>
  </si>
  <si>
    <t>2606022NAUA84J</t>
  </si>
  <si>
    <t>2026-06-02 17:27</t>
  </si>
  <si>
    <t>Cancelled by buyer. Reason: Need to modify existing order</t>
  </si>
  <si>
    <t>2606033VXUAM9T</t>
  </si>
  <si>
    <t>2026-06-03 05:16</t>
  </si>
  <si>
    <t>2606034BPNV7AN</t>
  </si>
  <si>
    <t>2026-06-03 09:40</t>
  </si>
  <si>
    <t>Cancelled automatically by Shopee's system. Reason: Payment not received</t>
  </si>
  <si>
    <t>2606034K86FAMY</t>
  </si>
  <si>
    <t>2026-06-03 11:55</t>
  </si>
  <si>
    <t>2606035N7RW50C</t>
  </si>
  <si>
    <t>2026-06-03 22:03</t>
  </si>
  <si>
    <t>2606046X8VPU3D</t>
  </si>
  <si>
    <t>2026-06-04 10:17</t>
  </si>
  <si>
    <t>Cancelled by buyer. Reason: Need to change delivery address</t>
  </si>
  <si>
    <t>260606AWGR85YB</t>
  </si>
  <si>
    <t>2026-06-06 00:14</t>
  </si>
  <si>
    <t>260606CB4WJ1C4</t>
  </si>
  <si>
    <t>2026-06-06 13:51</t>
  </si>
  <si>
    <t>Cancelled automatically by Shopee's system. Reason: Seller did not arrange shipment on time</t>
  </si>
  <si>
    <t>260606D6T8BX3U</t>
  </si>
  <si>
    <t>2026-06-06 22:06</t>
  </si>
  <si>
    <t>260607DW5NA51N</t>
  </si>
  <si>
    <t>2026-06-07 04:46</t>
  </si>
  <si>
    <t>260607E7JQJN9B</t>
  </si>
  <si>
    <t>2026-06-07 07:53</t>
  </si>
  <si>
    <t>Cancelled by buyer. Reason: Others</t>
  </si>
  <si>
    <t>260607F10DSCK9</t>
  </si>
  <si>
    <t>2026-06-07 15:28</t>
  </si>
  <si>
    <t>260607FH0CVH3D</t>
  </si>
  <si>
    <t>2026-06-07 20:14</t>
  </si>
  <si>
    <t>260609JHMFH68D</t>
  </si>
  <si>
    <t>2026-06-09 01:03</t>
  </si>
  <si>
    <t>260609MERFYYVA</t>
  </si>
  <si>
    <t>2026-06-09 19:17</t>
  </si>
  <si>
    <t>260610PC7FGJ3S</t>
  </si>
  <si>
    <t>2026-06-10 13:37</t>
  </si>
  <si>
    <t>260611S0RQB50B</t>
  </si>
  <si>
    <t>2026-06-11 14:50</t>
  </si>
  <si>
    <t>260611SPXG0P5F</t>
  </si>
  <si>
    <t>2026-06-11 21:27</t>
  </si>
  <si>
    <t>260611SXFTVNAA</t>
  </si>
  <si>
    <t>2026-06-11 23:42</t>
  </si>
  <si>
    <t>Cancelled automatically by Shopee's system. Reason: Others</t>
  </si>
  <si>
    <t>260612U5AF99MY</t>
  </si>
  <si>
    <t>2026-06-12 11:17</t>
  </si>
  <si>
    <t>260612UCFG8PTK</t>
  </si>
  <si>
    <t>2026-06-12 13:25</t>
  </si>
  <si>
    <t>Cancelled by buyer. Reason: Payment procedure too troublesome</t>
  </si>
  <si>
    <t>260612UKVJTDPH</t>
  </si>
  <si>
    <t>2026-06-12 15:38</t>
  </si>
  <si>
    <t>260612V8UW80FG</t>
  </si>
  <si>
    <t>2026-06-12 21:53</t>
  </si>
  <si>
    <t>2606131DVP77SV</t>
  </si>
  <si>
    <t>2026-06-13 19:28</t>
  </si>
  <si>
    <t>2606141XM22KAV</t>
  </si>
  <si>
    <t>2026-06-14 00:27</t>
  </si>
  <si>
    <t>2606143RY9J10J</t>
  </si>
  <si>
    <t>2026-06-14 17:51</t>
  </si>
  <si>
    <t>2606143TQQSB3T</t>
  </si>
  <si>
    <t>2026-06-14 18:23</t>
  </si>
  <si>
    <t>2606155RABMPVR</t>
  </si>
  <si>
    <t>2026-06-15 12:45</t>
  </si>
  <si>
    <t>26061564DSD5NJ</t>
  </si>
  <si>
    <t>2026-06-15 16:21</t>
  </si>
  <si>
    <t>Cancelled by buyer. Reason: Don't want to buy anymore</t>
  </si>
  <si>
    <t>2606156M83CA7S</t>
  </si>
  <si>
    <t>2026-06-15 21:05</t>
  </si>
  <si>
    <t>260617A7BX4H9P</t>
  </si>
  <si>
    <t>2026-06-17 07:25</t>
  </si>
  <si>
    <t>260618C3Q719K5</t>
  </si>
  <si>
    <t>2026-06-18 01:25</t>
  </si>
  <si>
    <t>Cancelled automatically by Shopee's system. Reason: Failed delivery</t>
  </si>
  <si>
    <t>260619FXK7YP6G</t>
  </si>
  <si>
    <t>2026-06-19 14:04</t>
  </si>
  <si>
    <t>260619GFKD4X2A</t>
  </si>
  <si>
    <t>2026-06-19 19:08</t>
  </si>
  <si>
    <t>260621NPR9M50C</t>
  </si>
  <si>
    <t>2026-06-21 20:59</t>
  </si>
  <si>
    <t>260621NXC7FNHQ</t>
  </si>
  <si>
    <t>2026-06-21 23:16</t>
  </si>
  <si>
    <t>260622PPXUR29Q</t>
  </si>
  <si>
    <t>2026-06-22 06:36</t>
  </si>
  <si>
    <t>260622Q1UPFEB7</t>
  </si>
  <si>
    <t>2026-06-22 09:51</t>
  </si>
  <si>
    <t>260622Q2UMS6HK</t>
  </si>
  <si>
    <t>260622QF24RWWJ</t>
  </si>
  <si>
    <t>2026-06-22 13:47</t>
  </si>
  <si>
    <t>260622QGKYBPW9</t>
  </si>
  <si>
    <t>2026-06-22 14:15</t>
  </si>
  <si>
    <t>260622R8ARTQ3F</t>
  </si>
  <si>
    <t>2026-06-22 21:19</t>
  </si>
  <si>
    <t>260623T9TPVH56</t>
  </si>
  <si>
    <t>2026-06-23 16:51</t>
  </si>
  <si>
    <t>260624U3M8JKAU</t>
  </si>
  <si>
    <t>2026-06-24 00:33</t>
  </si>
  <si>
    <t>260624U7CAWB55</t>
  </si>
  <si>
    <t>2026-06-24 01:40</t>
  </si>
  <si>
    <t>260624VJ3X4ARK</t>
  </si>
  <si>
    <t>2026-06-24 14:25</t>
  </si>
  <si>
    <t>260624VRSXCBKP</t>
  </si>
  <si>
    <t>2026-06-24 16:25</t>
  </si>
  <si>
    <t>2606264EMHX60D</t>
  </si>
  <si>
    <t>2026-06-26 14:06</t>
  </si>
  <si>
    <t>2606264MJA0DQQ</t>
  </si>
  <si>
    <t>2026-06-26 15:52</t>
  </si>
  <si>
    <t>2606264RY539GM</t>
  </si>
  <si>
    <t>2026-06-26 17:10</t>
  </si>
  <si>
    <t>2606275FW71QKF</t>
  </si>
  <si>
    <t>2026-06-27 00:01</t>
  </si>
  <si>
    <t>2606277BA0BKEJ</t>
  </si>
  <si>
    <t>2606289SKU70HJ</t>
  </si>
  <si>
    <t>2026-06-28 17:05</t>
  </si>
  <si>
    <t>260629BVG2DA72</t>
  </si>
  <si>
    <t>2026-06-29 13:02</t>
  </si>
  <si>
    <t>260630D4C8JM29</t>
  </si>
  <si>
    <t>2026-06-30 00:56</t>
  </si>
  <si>
    <t>260630E9CW692U</t>
  </si>
  <si>
    <t>2026-06-30 11:58</t>
  </si>
  <si>
    <t>Verification method: every Order ID above was searched across the full 3-month Shopee balance report (16 Apr - 16 Jul 2026). "None" = zero transactions found for that order (as expected for a cancelled order that never shipped/completed). Any payout on a cancelled order would be flagged in red for investigation.</t>
  </si>
  <si>
    <t>RESELLER CLAIMS — SUBMIT CLAIM FOR CREDIT / REFUND</t>
  </si>
  <si>
    <t>Case On Mobile phone Accessories Store (SCON) — use this tab to submit a claim back to FRESCOONE for a specific order (wrong item, product defect, shipping/logistics issue, etc.)</t>
  </si>
  <si>
    <t>Claim ISKU</t>
  </si>
  <si>
    <t>Reason to Claim</t>
  </si>
  <si>
    <t>Image / Receipt / Proof to Claim</t>
  </si>
  <si>
    <t>Claim Amount (RM)</t>
  </si>
  <si>
    <t>Status (Reseller/Frescoone use)</t>
  </si>
  <si>
    <t>TOTAL CLAIMED (all, RM)</t>
  </si>
  <si>
    <t>APPROVED CLAIMS TOTAL (RM) — this is what gets credited off the invoice</t>
  </si>
  <si>
    <t>Example (for reference only — delete or overwrite):</t>
  </si>
  <si>
    <t>MAGNETIC FROSTED Matte/Clear PC TPU Case Oppo Reno 13 — wrong variant shipped</t>
  </si>
  <si>
    <t>GB-PC-QJ(MS)-Reno12-MAT/BLK</t>
  </si>
  <si>
    <t>Wrong item / mistake — customer ordered Black but Blue variant was fulfilled, resulting in return</t>
  </si>
  <si>
    <t>[attach photo / Shopee return ticket]</t>
  </si>
  <si>
    <t>Example only</t>
  </si>
  <si>
    <t>Instructions:</t>
  </si>
  <si>
    <t>1. One row per claim. Order ID and Claim ISKU should match the "Itemized Calculation" tab where applicable.</t>
  </si>
  <si>
    <t>2. Reason to Claim: state clearly — e.g. wrong item shipped by Frescoone, product defect/DOA, missing parts, shipping/logistics damage, lost parcel, over-charged DSP, etc.</t>
  </si>
  <si>
    <t>3. Image / Receipt / Proof to Claim: attach or reference photo evidence, Shopee return/refund ticket number, or courier claim reference.</t>
  </si>
  <si>
    <t>4. Claim Amount: the RM amount being claimed back from Frescoone for this order.</t>
  </si>
  <si>
    <t>5. Frescoone will review each claim and set Status to exactly "Approved", "Rejected", or leave as "Pending Review". Only rows marked "Approved" are credited off the invoice total (see "APPROVED CLAIMS TOTAL" above, which flows through to the Invoice and Summary Dashboard tabs automatically).</t>
  </si>
  <si>
    <t>RESELLER INVOICE — SUMMARY DASHBOARD</t>
  </si>
  <si>
    <t>Case On Mobile phone Accessories Store (SCON) — Shopee Malaysia — June 2026</t>
  </si>
  <si>
    <t>1. Order Reconciliation (SO vs SGO)</t>
  </si>
  <si>
    <t>Shopee Order Report (SO) — total line items</t>
  </si>
  <si>
    <t>731</t>
  </si>
  <si>
    <t>Sitegiant Export (SGO) — total line items</t>
  </si>
  <si>
    <t>Unique Order IDs — SO vs SGO</t>
  </si>
  <si>
    <t>621 / 621 — 100% tally</t>
  </si>
  <si>
    <t>Status tally — Completed</t>
  </si>
  <si>
    <t>611 (SO detail) + 55 (SO return-window) = 666  |  SGO Completed = 666  MATCH</t>
  </si>
  <si>
    <t>Status tally — Cancelled</t>
  </si>
  <si>
    <t>65 (SO) = 65 (SGO)  MATCH</t>
  </si>
  <si>
    <t>Amount tally — Product Subtotal (SO) vs product_total (SGO)</t>
  </si>
  <si>
    <t>RM19,795.31 vs RM19,809.11 (diff RM13.80 across 25 orders — immaterial, likely bundle/voucher reallocation rounding)</t>
  </si>
  <si>
    <t>2. Order Volume &amp; Status Breakdown (June 2026)</t>
  </si>
  <si>
    <t>Total unique orders — all statuses (SO)</t>
  </si>
  <si>
    <t xml:space="preserve">  — Completed</t>
  </si>
  <si>
    <t xml:space="preserve">  — Order Received (return window open) — invoiced as Completed</t>
  </si>
  <si>
    <t xml:space="preserve">  — Cancelled (NOT invoiced; payout check: PASS, see "Cancelled &amp; Status Check" tab)</t>
  </si>
  <si>
    <t>Total Completed order line items invoiced (SGO)</t>
  </si>
  <si>
    <t>Unique completed orders invoiced</t>
  </si>
  <si>
    <t>Line items fully priced automatically (SKU + DSP matched)</t>
  </si>
  <si>
    <t>Line items pending manual DSP entry — see "Pending DSP Entry" tab</t>
  </si>
  <si>
    <t>3. Invoice Calculation Summary (RM) — updates live as DSP entries are keyed in</t>
  </si>
  <si>
    <t>Subtotal — Dropship (DSP) charges, 666 line items</t>
  </si>
  <si>
    <t>Shopee Ads total spend (June 2026, per Ads report)</t>
  </si>
  <si>
    <t>Shopee Ads Rebate (70% of ads spend)</t>
  </si>
  <si>
    <t>Less: Approved Claims (Claims tab)</t>
  </si>
  <si>
    <t>NET INVOICE AMOUNT DUE</t>
  </si>
  <si>
    <t>4. Promotion Compliance Check (reseller retail price vs our Promo Rate table)</t>
  </si>
  <si>
    <t>Order lines verified against SO (Shopee Original vs Deal Price)</t>
  </si>
  <si>
    <t xml:space="preserve">  — Correct: reseller applied our specified rate</t>
  </si>
  <si>
    <t xml:space="preserve">  — WRONG RATE: reseller discounted, but not at our specified rate (flagged, still charged our rate)</t>
  </si>
  <si>
    <t xml:space="preserve">  — No Promotion Set: reseller did not discount at all — charged FULL DSP (no rebate given)</t>
  </si>
  <si>
    <t xml:space="preserve">  — No Promo Rate on file for that ISKU</t>
  </si>
  <si>
    <t>Could not verify (no matching SO price line)</t>
  </si>
  <si>
    <t>See "Itemized Calculation" tab (columns N-O) for the row-by-row verification and legend.</t>
  </si>
  <si>
    <t>5. Reseller Earning Overview (from Order-Level Summary tab)</t>
  </si>
  <si>
    <t>Total Shopee income received (562 orders, per SB)</t>
  </si>
  <si>
    <t>Total DSP charge owed to FRESCOONE (562 orders)</t>
  </si>
  <si>
    <t>Reseller net earning BEFORE ads (Income - DSP charge)</t>
  </si>
  <si>
    <t>Less: Shopee Ads spend borne by reseller (30% of RM362.00 — after 70% Frescoone rebate)</t>
  </si>
  <si>
    <t>RESELLER TOTAL NET EARNING (after ads rebate)</t>
  </si>
  <si>
    <t>Note: the invoice already deducts the 70% ads rebate from what the reseller owes Frescoone; the remaining 30% of the ads spend is the reseller's own cost, reflected here.</t>
  </si>
  <si>
    <t>6. Returns, Refunds &amp; Payment Status</t>
  </si>
  <si>
    <t>June orders under return/refund (Request Approved status)</t>
  </si>
  <si>
    <t xml:space="preserve">  — fully clawed back already (negative net income)</t>
  </si>
  <si>
    <t xml:space="preserve">  — clawback still pending as of report date</t>
  </si>
  <si>
    <t>Return/refund adjustments across full 3-month balance history</t>
  </si>
  <si>
    <t>June orders unmatched to any Shopee payout record</t>
  </si>
  <si>
    <t>0 / 562 (100% matched)</t>
  </si>
  <si>
    <t>DSP charges removed via confirmed-good returns (RM) — already reflected in Itemized Calculation, not a separate deduction</t>
  </si>
  <si>
    <t>Approved claims credit applied to this invoice (RM)</t>
  </si>
  <si>
    <t>See "Returns &amp; Refunds" and "Claims" tabs for full detail.</t>
  </si>
  <si>
    <t>7. Action Needed — Pending Tasks</t>
  </si>
  <si>
    <t>A. Missing DSP price — key in ("Pending DSP Entry" section A)</t>
  </si>
  <si>
    <t>B. Missing SKU link in Sitegiant — confirm + fix linking (section B)</t>
  </si>
  <si>
    <t>C. Missing promo rate on file — key in rate or keep full DSP (section C)</t>
  </si>
  <si>
    <t>D. Wrong promo rate set by reseller — review decisions (section D)</t>
  </si>
  <si>
    <t>E. Unverifiable lines — manual check (section E)</t>
  </si>
  <si>
    <t>Returns &amp; Refunds Section A decisions pending</t>
  </si>
  <si>
    <t>Cancelled orders pending your check ("Cancelled &amp; Status Check" Section B)</t>
  </si>
  <si>
    <t>All tasks live in the "Pending DSP Entry" tab (sections A-E) plus the Returns/Cancelled/Claims tabs. Every decision flows through to the Invoice automatically.</t>
  </si>
  <si>
    <t>7TREE-PC-JJ-MagicV3-BLK</t>
  </si>
  <si>
    <t>7TREE-PC-JJ-MagicV3-GRN</t>
  </si>
  <si>
    <t>7TREE-PC-JJ-MagicV5-GLD</t>
  </si>
  <si>
    <t>7TREE-PC-JJ-MagicV5-RED</t>
  </si>
  <si>
    <t>7TREE-PC-JJ-ZFlip7-BLK</t>
  </si>
  <si>
    <t>7TREE-PC-JJ-ZFlip7-BLU</t>
  </si>
  <si>
    <t>7TREE-PC-JJ-ZFlip7-GRN</t>
  </si>
  <si>
    <t>7TREE-PC-JJ-ZFold7-BLK</t>
  </si>
  <si>
    <t>7TREE-PC-JJ-ZFold7-RED</t>
  </si>
  <si>
    <t>7TREE-PC-PU(MS)-Magic7Pro-BLK</t>
  </si>
  <si>
    <t>7TREE-PC-PU(MS)-Magic7Pro-WHT</t>
  </si>
  <si>
    <t>7TREE-PC-PU-Magic7Pro-BLK</t>
  </si>
  <si>
    <t>7TREE-PC-SHI(MS)-HN/SMARTX9C-BLK</t>
  </si>
  <si>
    <t>7TREE-PC-SHI(MS)-HN/SMARTX9C-TP</t>
  </si>
  <si>
    <t>7TREE-PC-SHI(MS)-Honor200-BLK</t>
  </si>
  <si>
    <t>7TREE-PC-SHI(MS)-Honor200-TP</t>
  </si>
  <si>
    <t>7TREE-PC-SHI(MS)-Honor200Pro-BLK</t>
  </si>
  <si>
    <t>7TREE-PC-SHI(MS)-Honor200Pro-TP</t>
  </si>
  <si>
    <t>7TREE-PC-SHI(MS)-Honor400-BLK</t>
  </si>
  <si>
    <t>7TREE-PC-SHI(MS)-Honor400-TP</t>
  </si>
  <si>
    <t>7TREE-PC-SHI(MS)-Honor400Pro-BLK</t>
  </si>
  <si>
    <t>7TREE-PC-SHI(MS)-Honor400Pro-TP</t>
  </si>
  <si>
    <t>7TREE-PC-SHI(MS)-Honor90-BLK</t>
  </si>
  <si>
    <t>7TREE-PC-SHI(MS)-Honor90-TP</t>
  </si>
  <si>
    <t>7TREE-PC-SHI(MS)-IQOO13-BLK</t>
  </si>
  <si>
    <t>7TREE-PC-SHI(MS)-IQOO13-TP</t>
  </si>
  <si>
    <t>7TREE-PC-SHI(MS)-Magic5-BLK</t>
  </si>
  <si>
    <t>7TREE-PC-SHI(MS)-Magic5-TP</t>
  </si>
  <si>
    <t>7TREE-PC-SHI(MS)-Magic5Pro-BLK</t>
  </si>
  <si>
    <t>7TREE-PC-SHI(MS)-Magic6Pro-TP</t>
  </si>
  <si>
    <t>7TREE-PC-SHI(MS)-Magic7Pro-BLK</t>
  </si>
  <si>
    <t>7TREE-PC-SHI(MS)-Magic8Pro-WHT</t>
  </si>
  <si>
    <t>7TREE-PC-SHI(MS)-Mi14T-BLK</t>
  </si>
  <si>
    <t>7TREE-PC-SHI(MS)-Mi14TPro-TP</t>
  </si>
  <si>
    <t>7TREE-PC-SHI(MS)-Mi15T-BLK</t>
  </si>
  <si>
    <t>7TREE-PC-SHI(MS)-Mi15T-WHT</t>
  </si>
  <si>
    <t>7TREE-PC-SHI(MS)-Mi15TPro-BLK</t>
  </si>
  <si>
    <t>7TREE-PC-SHI(MS)-Mi15TPro-WHT</t>
  </si>
  <si>
    <t>7TREE-PC-SHI(MS)-NTH/3A-TP</t>
  </si>
  <si>
    <t>7TREE-PC-SHI(MS)-NTH/3APRO-BLK</t>
  </si>
  <si>
    <t>7TREE-PC-SHI(MS)-NTH/3APRO-TP</t>
  </si>
  <si>
    <t>7TREE-PC-SHI(MS)-NTH/Phone2-BLK</t>
  </si>
  <si>
    <t>7TREE-PC-SHI(MS)-NoPhone3-BLK</t>
  </si>
  <si>
    <t>7TREE-PC-SHI(MS)-NoPhone3-TP</t>
  </si>
  <si>
    <t>7TREE-PC-SHI(MS)-Pixel10/10Pro-TP</t>
  </si>
  <si>
    <t>7TREE-PC-SHI(MS)-Pixel10ProXL-BLK</t>
  </si>
  <si>
    <t>7TREE-PC-SHI(MS)-Pixel10ProXL-TP</t>
  </si>
  <si>
    <t>7TREE-PC-SHI(MS)-Pixel9A-BLK</t>
  </si>
  <si>
    <t>7TREE-PC-SHI(MS)-Pixel9Pro-BLK</t>
  </si>
  <si>
    <t>7TREE-PC-SHI(MS)-Pixel9Pro-TP</t>
  </si>
  <si>
    <t>7TREE-PC-SHI(MS)-Pixel9ProXL-TP</t>
  </si>
  <si>
    <t>7TREE-PC-SHI(MS)-S24-BLK</t>
  </si>
  <si>
    <t>7TREE-PC-SHI(MS)-S24-TP</t>
  </si>
  <si>
    <t>7TREE-PC-SHI(MS)-S24Plus-BLK</t>
  </si>
  <si>
    <t>7TREE-PC-SHI(MS)-S24Plus-TP</t>
  </si>
  <si>
    <t>7TREE-PC-SHI(MS)-S24Ultra-BLK</t>
  </si>
  <si>
    <t>7TREE-PC-SHI(MS)-S24Ultra-TP</t>
  </si>
  <si>
    <t>7TREE-PC-SHI(MS)-X200-BLK</t>
  </si>
  <si>
    <t>7TREE-PC-SHI(MS)-X200-TP</t>
  </si>
  <si>
    <t>7TREE-PC-SHI(MS)-X200Pro-BLK</t>
  </si>
  <si>
    <t>7TREE-PC-SHI(MS)-X200Pro-TP</t>
  </si>
  <si>
    <t>7TREE-PC-SHI(MS)-XM13Ultra-TP</t>
  </si>
  <si>
    <t>7TREE-PC-SHI(MS)-XM14-BLK</t>
  </si>
  <si>
    <t>7TREE-PC-SHI(MS)-XM14-TP</t>
  </si>
  <si>
    <t>7TREE-PC-SHI(MS)-XM14Ultra-BLK</t>
  </si>
  <si>
    <t>7TREE-PC-SHI(MS)-XM14Ultra-TP</t>
  </si>
  <si>
    <t>7TREE-PC-SHI(MS)-XM15-TP</t>
  </si>
  <si>
    <t>7TREE-PC-SHI(MS)-XM15Pro-BLK</t>
  </si>
  <si>
    <t>7TREE-PC-SHI(MS)-XM15Pro-TP</t>
  </si>
  <si>
    <t>7TREE-PC-SHI(MS)-XM15Ultra-BLK</t>
  </si>
  <si>
    <t>7TREE-PC-SHI(MS)-XM15Ultra-TP</t>
  </si>
  <si>
    <t>7TREE-PC-SHI-1+11-BLK</t>
  </si>
  <si>
    <t>7TREE-PC-SHI-1+11-TP</t>
  </si>
  <si>
    <t>7TREE-PC-SHI-HN/SMARTX9C-BLK</t>
  </si>
  <si>
    <t>7TREE-PC-SHI-HN/SMARTX9C-TP</t>
  </si>
  <si>
    <t>7TREE-PC-SHI-HN/X9C-BLK</t>
  </si>
  <si>
    <t>7TREE-PC-SHI-HN/X9C-TP</t>
  </si>
  <si>
    <t>7TREE-PC-SHI-HN/X9D-BLK</t>
  </si>
  <si>
    <t>7TREE-PC-SHI-HN/X9D-TP</t>
  </si>
  <si>
    <t>7TREE-PC-SHI-Honor200-BLK</t>
  </si>
  <si>
    <t>7TREE-PC-SHI-Honor200-TP</t>
  </si>
  <si>
    <t>7TREE-PC-SHI-Honor200Pro-BLK</t>
  </si>
  <si>
    <t>7TREE-PC-SHI-Honor200Pro-TP</t>
  </si>
  <si>
    <t>7TREE-PC-SHI-Honor400-BLK</t>
  </si>
  <si>
    <t>7TREE-PC-SHI-Honor400-TP</t>
  </si>
  <si>
    <t>7TREE-PC-SHI-Honor400Pro-BLK</t>
  </si>
  <si>
    <t>7TREE-PC-SHI-Honor400Pro-TP</t>
  </si>
  <si>
    <t>7TREE-PC-SHI-Honor90-BLK</t>
  </si>
  <si>
    <t>7TREE-PC-SHI-Honor90-TP</t>
  </si>
  <si>
    <t>7TREE-PC-SHI-IQOO13-BLK</t>
  </si>
  <si>
    <t>7TREE-PC-SHI-IQOO13-TP</t>
  </si>
  <si>
    <t>7TREE-PC-SHI-Magic5-BLK</t>
  </si>
  <si>
    <t>7TREE-PC-SHI-Magic5-TP</t>
  </si>
  <si>
    <t>7TREE-PC-SHI-Magic5Pro-BLK</t>
  </si>
  <si>
    <t>7TREE-PC-SHI-Magic5Pro-TP</t>
  </si>
  <si>
    <t>7TREE-PC-SHI-Magic6Pro-BLK</t>
  </si>
  <si>
    <t>7TREE-PC-SHI-Magic6Pro-TP</t>
  </si>
  <si>
    <t>7TREE-PC-SHI-Magic7Pro-BLK</t>
  </si>
  <si>
    <t>7TREE-PC-SHI-Magic7Pro-TP</t>
  </si>
  <si>
    <t>7TREE-PC-SHI-Magic8Pro-BLK</t>
  </si>
  <si>
    <t>7TREE-PC-SHI-Mi14T-BLK</t>
  </si>
  <si>
    <t>7TREE-PC-SHI-Mi14TPro-BLK</t>
  </si>
  <si>
    <t>7TREE-PC-SHI-Mi14TPro-TP</t>
  </si>
  <si>
    <t>7TREE-PC-SHI-Mi15T-BLK</t>
  </si>
  <si>
    <t>7TREE-PC-SHI-Mi15T-WHT</t>
  </si>
  <si>
    <t>7TREE-PC-SHI-Mi15TPro-BLK</t>
  </si>
  <si>
    <t>7TREE-PC-SHI-Mi15TPro-WHT</t>
  </si>
  <si>
    <t>7TREE-PC-SHI-NTH/3A-BLK</t>
  </si>
  <si>
    <t>7TREE-PC-SHI-NTH/3A-TP</t>
  </si>
  <si>
    <t>7TREE-PC-SHI-NTH/3APRO-BLK</t>
  </si>
  <si>
    <t>7TREE-PC-SHI-NoPhone3-BLK</t>
  </si>
  <si>
    <t>7TREE-PC-SHI-NoPhone3-TP</t>
  </si>
  <si>
    <t>7TREE-PC-SHI-OnePlus12-BLK</t>
  </si>
  <si>
    <t>7TREE-PC-SHI-OnePlus12-TP</t>
  </si>
  <si>
    <t>7TREE-PC-SHI-Pixel10/10Pro-TP</t>
  </si>
  <si>
    <t>7TREE-PC-SHI-Pixel10ProXL-BLK</t>
  </si>
  <si>
    <t>7TREE-PC-SHI-Pixel10ProXL-TP</t>
  </si>
  <si>
    <t>7TREE-PC-SHI-Pixel9A-BLK</t>
  </si>
  <si>
    <t>7TREE-PC-SHI-Pixel9Pro-BLK</t>
  </si>
  <si>
    <t>7TREE-PC-SHI-Pixel9Pro-TP</t>
  </si>
  <si>
    <t>7TREE-PC-SHI-Pixel9ProXL-BLK</t>
  </si>
  <si>
    <t>7TREE-PC-SHI-Pixel9ProXL-TP</t>
  </si>
  <si>
    <t>7TREE-PC-SHI-S24FE-TP</t>
  </si>
  <si>
    <t>7TREE-PC-SHI-X200-BLK</t>
  </si>
  <si>
    <t>7TREE-PC-SHI-X200-TP</t>
  </si>
  <si>
    <t>7TREE-PC-SHI-X200Pro-BLK</t>
  </si>
  <si>
    <t>7TREE-PC-SHI-X200Pro-TP</t>
  </si>
  <si>
    <t>7TREE-PC-SHI-XM13-TP</t>
  </si>
  <si>
    <t>7TREE-PC-SHI-XM13Ultra-BLK</t>
  </si>
  <si>
    <t>7TREE-PC-SHI-XM13Ultra-TP</t>
  </si>
  <si>
    <t>7TREE-PC-SHI-XM14-BLK</t>
  </si>
  <si>
    <t>7TREE-PC-SHI-XM14-TP</t>
  </si>
  <si>
    <t>7TREE-PC-SHI-XM14Ultra-BLK</t>
  </si>
  <si>
    <t>7TREE-PC-SHI-XM14Ultra-TP</t>
  </si>
  <si>
    <t>7TREE-PC-SHI-XM15-BLK</t>
  </si>
  <si>
    <t>7TREE-PC-SHI-XM15-TP</t>
  </si>
  <si>
    <t>7TREE-PC-SHI-XM15Pro-BLK</t>
  </si>
  <si>
    <t>7TREE-PC-SHI-XM15Pro-TP</t>
  </si>
  <si>
    <t>7TREE-PC-SHI-XM15Ultra-BLK</t>
  </si>
  <si>
    <t>7TREE-PC-SHI-XM15Ultra-TP</t>
  </si>
  <si>
    <t>7TREE-PC-SHI-iQOO12-BLK</t>
  </si>
  <si>
    <t>7TREE-PC-SHI-iQOO12-TP</t>
  </si>
  <si>
    <t>7TREE-PC-XF-MagicV3-BLK</t>
  </si>
  <si>
    <t>7TREE-PC-XF-MagicV3-GRN</t>
  </si>
  <si>
    <t>7TREE-PC-XF-MagicV3-RED</t>
  </si>
  <si>
    <t>7TREE-PC-XF-MagicV5-RED</t>
  </si>
  <si>
    <t>BG-STP-AAWU020-Ultra-BLK</t>
  </si>
  <si>
    <t>BG-STP-AAWU020-Ultra-CLR</t>
  </si>
  <si>
    <t>BG-STP-AAWU020-Ultra-GRY</t>
  </si>
  <si>
    <t>BG-STP-AW186-38-BLK</t>
  </si>
  <si>
    <t>BG-STP-AW186-38-BLU</t>
  </si>
  <si>
    <t>BG-STP-AW186-38-GRY</t>
  </si>
  <si>
    <t>BG-STP-AW186-38-PNK</t>
  </si>
  <si>
    <t>BG-STP-AW186-38-STA</t>
  </si>
  <si>
    <t>BG-STP-AW186-38-WHT</t>
  </si>
  <si>
    <t>BG-STP-AW186-42-BLK</t>
  </si>
  <si>
    <t>BG-STP-AW186-42-BLU</t>
  </si>
  <si>
    <t>BG-STP-AW186-42-GRY</t>
  </si>
  <si>
    <t>BG-STP-AW186-42-PNK</t>
  </si>
  <si>
    <t>BG-STP-AW186-42-STA</t>
  </si>
  <si>
    <t>BG-STP-AW186-42-WHT</t>
  </si>
  <si>
    <t>BG-STP-CAW1440-38-BLK</t>
  </si>
  <si>
    <t>BG-STP-CAW1440-38-BLU</t>
  </si>
  <si>
    <t>BG-STP-CAW1440-38-GRN</t>
  </si>
  <si>
    <t>BG-STP-CAW1440-38-GRY</t>
  </si>
  <si>
    <t>BG-STP-CAW1440-38-ORG</t>
  </si>
  <si>
    <t>BG-STP-CAW1440-38-PNK</t>
  </si>
  <si>
    <t>BG-STP-CAW1440-38-RED</t>
  </si>
  <si>
    <t>BG-STP-CAW1440-38-WHT</t>
  </si>
  <si>
    <t>BG-STP-CAW1440-38-YLW</t>
  </si>
  <si>
    <t>BG-STP-CAW1440-42-BLK</t>
  </si>
  <si>
    <t>BG-STP-CAW1440-42-BLU</t>
  </si>
  <si>
    <t>BG-STP-CAW1440-42-GRN</t>
  </si>
  <si>
    <t>BG-STP-CAW1440-42-GRY</t>
  </si>
  <si>
    <t>BG-STP-CAW1440-42-ORG</t>
  </si>
  <si>
    <t>BG-STP-CAW1440-42-PNK</t>
  </si>
  <si>
    <t>BG-STP-CAW1440-42-RED</t>
  </si>
  <si>
    <t>BG-STP-CAW1440-42-WHT</t>
  </si>
  <si>
    <t>BG-STP-CAW1440-42-YLW</t>
  </si>
  <si>
    <t>BG-STP-CAW159-38-BLK</t>
  </si>
  <si>
    <t>BG-STP-CAW159-38-BLU</t>
  </si>
  <si>
    <t>BG-STP-CAW159-38-GRN</t>
  </si>
  <si>
    <t>BG-STP-CAW159-38-GRY</t>
  </si>
  <si>
    <t>BG-STP-CAW159-38-PNK</t>
  </si>
  <si>
    <t>BG-STP-CAW159-38-WHT</t>
  </si>
  <si>
    <t>BG-STP-CAW159-42-BLK</t>
  </si>
  <si>
    <t>BG-STP-CAW159-42-BLU</t>
  </si>
  <si>
    <t>BG-STP-CAW159-42-GRN</t>
  </si>
  <si>
    <t>BG-STP-CAW159-42-GRY</t>
  </si>
  <si>
    <t>BG-STP-CAW159-42-PNK</t>
  </si>
  <si>
    <t>BG-STP-CAW159-42-WHT</t>
  </si>
  <si>
    <t>BG-STP-CAW180-38-BLK</t>
  </si>
  <si>
    <t>BG-STP-CAW180-38-BLU</t>
  </si>
  <si>
    <t>BG-STP-CAW180-38-GRN</t>
  </si>
  <si>
    <t>BG-STP-CAW180-38-GRY</t>
  </si>
  <si>
    <t>BG-STP-CAW180-38-ORG</t>
  </si>
  <si>
    <t>BG-STP-CAW180-38-RED</t>
  </si>
  <si>
    <t>BG-STP-CAW180-38-WHT</t>
  </si>
  <si>
    <t>BG-STP-CAW180-38-YLW</t>
  </si>
  <si>
    <t>BG-STP-CAW180-42-BLK</t>
  </si>
  <si>
    <t>BG-STP-CAW180-42-BLU</t>
  </si>
  <si>
    <t>BG-STP-CAW180-42-GRN</t>
  </si>
  <si>
    <t>BG-STP-CAW180-42-GRY</t>
  </si>
  <si>
    <t>BG-STP-CAW180-42-ORG</t>
  </si>
  <si>
    <t>BG-STP-CAW180-42-RED</t>
  </si>
  <si>
    <t>BG-STP-CAW180-42-WHT</t>
  </si>
  <si>
    <t>BG-STP-CAW180-42-YLW</t>
  </si>
  <si>
    <t>BG-STP-CDY(YT)-40/41-BLK</t>
  </si>
  <si>
    <t>BG-STP-CDY(YT)-40/41-CLR</t>
  </si>
  <si>
    <t>BG-STP-CDY(YT)-40/41-CLR/BLK</t>
  </si>
  <si>
    <t>BG-STP-CDY(YT)-40/41-CLR/BLU</t>
  </si>
  <si>
    <t>BG-STP-CDY(YT)-40/41-CLR/GRN</t>
  </si>
  <si>
    <t>BG-STP-CDY(YT)-40/41-CLR/ORG</t>
  </si>
  <si>
    <t>BG-STP-CDY(YT)-40/41-CLR/PNK</t>
  </si>
  <si>
    <t>BG-STP-CDY(YT)-40/41-CLR/PRP</t>
  </si>
  <si>
    <t>BG-STP-CDY(YT)-40/41-PNK</t>
  </si>
  <si>
    <t>BG-STP-CDY(YT)-42-CLR</t>
  </si>
  <si>
    <t>BG-STP-CDY(YT)-42-CLR/BLK</t>
  </si>
  <si>
    <t>BG-STP-CDY(YT)-44/45-BLK</t>
  </si>
  <si>
    <t>BG-STP-CDY(YT)-44/45-CLR</t>
  </si>
  <si>
    <t>BG-STP-CDY(YT)-44/45-CLR/BLK</t>
  </si>
  <si>
    <t>BG-STP-CDY(YT)-44/45-CLR/BLU</t>
  </si>
  <si>
    <t>BG-STP-CDY(YT)-44/45-CLR/GRN</t>
  </si>
  <si>
    <t>BG-STP-CDY(YT)-44/45-CLR/ORG</t>
  </si>
  <si>
    <t>BG-STP-CDY(YT)-44/45-CLR/PNK</t>
  </si>
  <si>
    <t>BG-STP-CDY(YT)-44/45-CLR/PRP</t>
  </si>
  <si>
    <t>BG-STP-CDY(YT)-44/45-PNK</t>
  </si>
  <si>
    <t>BG-STP-CDY(YT)-46-CLR</t>
  </si>
  <si>
    <t>BG-STP-CDY(YT)-46-CLR/BLK</t>
  </si>
  <si>
    <t>BG-STP-CDY(YT)-49-BLK</t>
  </si>
  <si>
    <t>BG-STP-CDY(YT)-49-CLR/BLK</t>
  </si>
  <si>
    <t>BG-STP-CDY(YT)-49-CLR/PNK</t>
  </si>
  <si>
    <t>BG-STP-FKM2100-42-BLK</t>
  </si>
  <si>
    <t>BG-STP-FKM2100-42-STA</t>
  </si>
  <si>
    <t>BG-STP-GAW840-38-BLK</t>
  </si>
  <si>
    <t>BG-STP-GAW840-38-GRN</t>
  </si>
  <si>
    <t>BG-STP-GAW840-38-GRY</t>
  </si>
  <si>
    <t>BG-STP-GAW840-38-ORG</t>
  </si>
  <si>
    <t>BG-STP-GAW840-42-BLK</t>
  </si>
  <si>
    <t>BG-STP-GAW840-42-GRN</t>
  </si>
  <si>
    <t>BG-STP-GAW840-42-GRY</t>
  </si>
  <si>
    <t>BG-STP-GAW840-42-ORG</t>
  </si>
  <si>
    <t>BG-STP-GAW86-38-BLK</t>
  </si>
  <si>
    <t>BG-STP-GAW86-38-BLU</t>
  </si>
  <si>
    <t>BG-STP-GAW86-38-GRN</t>
  </si>
  <si>
    <t>BG-STP-GAW86-38-ORG</t>
  </si>
  <si>
    <t>BG-STP-GAW86-42-BLK</t>
  </si>
  <si>
    <t>BG-STP-GAW86-42-BLU</t>
  </si>
  <si>
    <t>BG-STP-GAW86-42-GRN</t>
  </si>
  <si>
    <t>BG-STP-GAW86-42-ORG</t>
  </si>
  <si>
    <t>BG-STP-NRM-38/40/41-BLK</t>
  </si>
  <si>
    <t>BG-STP-NRM-38/40/41-BLK/BLU</t>
  </si>
  <si>
    <t>BG-STP-NRM-38/40/41-BLK/GRN</t>
  </si>
  <si>
    <t>BG-STP-NRM-38/40/41-BLK/ORG</t>
  </si>
  <si>
    <t>BG-STP-NRM-42/44/45/49-BLK</t>
  </si>
  <si>
    <t>BG-STP-NRM-42/44/45/49-BLK/BLU</t>
  </si>
  <si>
    <t>BG-STP-NRM-42/44/45/49-BLK/GRN</t>
  </si>
  <si>
    <t>BG-STP-NRM-42/44/45/49-BLK/ORG</t>
  </si>
  <si>
    <t>BG-STP-SGW5-40-BLK</t>
  </si>
  <si>
    <t>BG-STP-SGW5-40-CLR</t>
  </si>
  <si>
    <t>BG-STP-SGW5-44-BLK</t>
  </si>
  <si>
    <t>BG-STP-SGW5-44-CLR</t>
  </si>
  <si>
    <t>BG-STP-SGW5-45-BLK</t>
  </si>
  <si>
    <t>BG-STP-SGW5-45-CLR</t>
  </si>
  <si>
    <t>BG-STP-SIL(YT)-38/40/41-BLK</t>
  </si>
  <si>
    <t>BG-STP-SIL(YT)-38/40/41-PNK</t>
  </si>
  <si>
    <t>BG-STP-SIL(YT)-38/40/41-STA</t>
  </si>
  <si>
    <t>BG-STP-SIL(YT)-42/44/45-BLK</t>
  </si>
  <si>
    <t>BG-STP-SIL(YT)-42/44/45-PNK</t>
  </si>
  <si>
    <t>BG-STP-SIL(YT)-42/44/45-STA</t>
  </si>
  <si>
    <t>BG-STP-SIL(YT)-49-BLK</t>
  </si>
  <si>
    <t>BG-STP-SPT(YT)-38/40/41-BLK</t>
  </si>
  <si>
    <t>BG-STP-SPT(YT)-38/40/41-STA</t>
  </si>
  <si>
    <t>BG-STP-SPT(YT)-42/44/45-BLK</t>
  </si>
  <si>
    <t>BG-STP-SPT(YT)-42/44/45-STA</t>
  </si>
  <si>
    <t>BG-STP-SPT(YT)-49-BLK</t>
  </si>
  <si>
    <t>BG-STP-SPT(YT)-49-STA</t>
  </si>
  <si>
    <t>BG-STP-UAW2201-42-BLK</t>
  </si>
  <si>
    <t>BG-STP-UAW2201-42-SLV</t>
  </si>
  <si>
    <t>BG-STP-YAW1090-42-BLK/ARM</t>
  </si>
  <si>
    <t>BG-STP-YAW1090-42-BLK/GRY</t>
  </si>
  <si>
    <t>BG-STP-YAW1090-42-BLK/ORG</t>
  </si>
  <si>
    <t>BG-STP-YAW1090-42-BLU/GRN</t>
  </si>
  <si>
    <t>BG-WAC-2IN1-S/47mm-BLK</t>
  </si>
  <si>
    <t>BG-WAC-2IN1-S/47mm-CLR</t>
  </si>
  <si>
    <t>BG-WAC-ALLOY-S/47mm-BLK/ORG</t>
  </si>
  <si>
    <t>BG-WAC-ALLOY-S/47mm-BLK/WHT</t>
  </si>
  <si>
    <t>BG-WAC-ALLOY-S/47mm-GRY/ORG</t>
  </si>
  <si>
    <t>BG-WAC-ALLOY-S/47mm-SLV/WHT</t>
  </si>
  <si>
    <t>BG-WAC-ALLOY-S/47mm-TTN/ORG</t>
  </si>
  <si>
    <t>BG-WAC-AW-40mm-BLK</t>
  </si>
  <si>
    <t>BG-WAC-AW-40mm-BLU</t>
  </si>
  <si>
    <t>BG-WAC-AW-40mm-RG</t>
  </si>
  <si>
    <t>BG-WAC-AW-40mm-SLV</t>
  </si>
  <si>
    <t>BG-WAC-AW-42mm-BLK</t>
  </si>
  <si>
    <t>BG-WAC-AW-42mm-BLU</t>
  </si>
  <si>
    <t>BG-WAC-AW-42mm-RG</t>
  </si>
  <si>
    <t>BG-WAC-AW-42mm-SLV</t>
  </si>
  <si>
    <t>BG-WAC-AW-44mm-BLK</t>
  </si>
  <si>
    <t>BG-WAC-AW-44mm-BLU</t>
  </si>
  <si>
    <t>BG-WAC-AW-44mm-RG</t>
  </si>
  <si>
    <t>BG-WAC-AW-44mm-SLV</t>
  </si>
  <si>
    <t>BG-WAC-AW-45mm-BLK</t>
  </si>
  <si>
    <t>BG-WAC-AW-45mm-BLU</t>
  </si>
  <si>
    <t>BG-WAC-AW-45mm-RG</t>
  </si>
  <si>
    <t>BG-WAC-AW-45mm-SLV</t>
  </si>
  <si>
    <t>BG-WAC-AW-46mm-BLK</t>
  </si>
  <si>
    <t>BG-WAC-AW-46mm-BLU</t>
  </si>
  <si>
    <t>BG-WAC-AW-46mm-RG</t>
  </si>
  <si>
    <t>BG-WAC-AW-46mm-SLV</t>
  </si>
  <si>
    <t>BG-WAC-AW-49mm-BLK</t>
  </si>
  <si>
    <t>BG-WAC-AW-49mm-SLV</t>
  </si>
  <si>
    <t>BG-WAC-AW-49mm-STA</t>
  </si>
  <si>
    <t>BG-WAC-BG1(SP)-40mm-BLK</t>
  </si>
  <si>
    <t>BG-WAC-BG1(SP)-40mm-BLU</t>
  </si>
  <si>
    <t>BG-WAC-BG1(SP)-40mm-CLR</t>
  </si>
  <si>
    <t>BG-WAC-BG1(SP)-41mm-BLK</t>
  </si>
  <si>
    <t>BG-WAC-BG1(SP)-41mm-BLU</t>
  </si>
  <si>
    <t>BG-WAC-BG1(SP)-41mm-CLR</t>
  </si>
  <si>
    <t>BG-WAC-BG1(SP)-42mm-BLK</t>
  </si>
  <si>
    <t>BG-WAC-BG1(SP)-42mm-CLR</t>
  </si>
  <si>
    <t>BG-WAC-BG1(SP)-44mm-BLK</t>
  </si>
  <si>
    <t>BG-WAC-BG1(SP)-44mm-BLU</t>
  </si>
  <si>
    <t>BG-WAC-BG1(SP)-44mm-CLR</t>
  </si>
  <si>
    <t>BG-WAC-BG1(SP)-45mm-BLU</t>
  </si>
  <si>
    <t>BG-WAC-BG1(SP)-45mm-CLR</t>
  </si>
  <si>
    <t>BG-WAC-BG1(SP)-46mm-BLK</t>
  </si>
  <si>
    <t>BG-WAC-BG1(SP)-46mm-CLR</t>
  </si>
  <si>
    <t>BG-WAC-BG1(SP)-49mm-BLK</t>
  </si>
  <si>
    <t>BG-WAC-BG1(SP)-49mm-CLR</t>
  </si>
  <si>
    <t>BG-WAC-METAL/ALP-46mm-BLK</t>
  </si>
  <si>
    <t>BG-WAC-METAL/ALP-46mm-TTN</t>
  </si>
  <si>
    <t>BG-WAC-METAL/ALP-49mm-BLK</t>
  </si>
  <si>
    <t>BG-WAC-METAL/ALP-49mm-TTN</t>
  </si>
  <si>
    <t>BNKS-ACE-AMPOP/L56-AUR</t>
  </si>
  <si>
    <t>BNKS-ACE-AMPOP/L56-BLK</t>
  </si>
  <si>
    <t>BNKS-ACE-AMPOP/L56-PRES</t>
  </si>
  <si>
    <t>BNKS-ACE-ARM-Airpods3-BLK</t>
  </si>
  <si>
    <t>BNKS-ACE-ARM-Airpods3-BLU</t>
  </si>
  <si>
    <t>BNKS-ACE-CBANG-APP/2-CRE2</t>
  </si>
  <si>
    <t>BNKS-ACE-CBANG-APP/2-DRM1</t>
  </si>
  <si>
    <t>BNKS-ACE-CBANG-APP/2-EXP4</t>
  </si>
  <si>
    <t>BNKS-ACE-CBANG-APP/2-GO3</t>
  </si>
  <si>
    <t>BNKS-ACE-D40-1.2m-SLV</t>
  </si>
  <si>
    <t>BNKS-ACE-D40-2.0m-BLK</t>
  </si>
  <si>
    <t>BNKS-ACE-D40-2.0m-SLV</t>
  </si>
  <si>
    <t>BNKS-ACE-D41-1.2m-SLV</t>
  </si>
  <si>
    <t>BNKS-ACE-D41-2.0m-BLK</t>
  </si>
  <si>
    <t>BNKS-ACE-D41-2.0m-SLV</t>
  </si>
  <si>
    <t>BNKS-ACE-D43-1.2m-BLK</t>
  </si>
  <si>
    <t>BNKS-ACE-D45-1.2m-WHT</t>
  </si>
  <si>
    <t>BNKS-ACE-D45-2m-WHT</t>
  </si>
  <si>
    <t>BNKS-ACE-D45L-1.2m-WHT</t>
  </si>
  <si>
    <t>BNKS-ACE-GRIP-AURA</t>
  </si>
  <si>
    <t>BNKS-ACE-GRIP-CARB-BLK</t>
  </si>
  <si>
    <t>BNKS-ACE-GRIP-VitaPro-BLK</t>
  </si>
  <si>
    <t>BNKS-ACE-GRIP-VitaPro-GRN</t>
  </si>
  <si>
    <t>BNKS-ACE-GRIP-VitaPro-GRY</t>
  </si>
  <si>
    <t>BNKS-ACE-L30-Stand-WHT</t>
  </si>
  <si>
    <t>BNKS-ACE-L31-Stand-BLK</t>
  </si>
  <si>
    <t>BNKS-ACE-L31-Stand-WHT</t>
  </si>
  <si>
    <t>BNKS-ACE-L40-Stand-BLK</t>
  </si>
  <si>
    <t>BNKS-ACE-L40-Stand-SLV</t>
  </si>
  <si>
    <t>BNKS-ACE-L43Pro-Air4/10.9-SPG</t>
  </si>
  <si>
    <t>BNKS-ACE-L43Pro-Pro11(M4)-SPG</t>
  </si>
  <si>
    <t>BNKS-ACE-L43Pro-Pro12.9-SPG</t>
  </si>
  <si>
    <t>BNKS-ACE-L43Pro-Pro13(M4)-SPG</t>
  </si>
  <si>
    <t>BNKS-ACE-L50-Stand-GRY</t>
  </si>
  <si>
    <t>BNKS-ACE-M07-1.2m-BLK</t>
  </si>
  <si>
    <t>BNKS-ACE-MP01-PB-WHT</t>
  </si>
  <si>
    <t>BNKS-ACE-MP07-PB-BLK</t>
  </si>
  <si>
    <t>BNKS-ACE-MP07-PB-SKB</t>
  </si>
  <si>
    <t>BNKS-ACE-MP07-PB-WHT</t>
  </si>
  <si>
    <t>BNKS-ACE-MP08-PB-BLK</t>
  </si>
  <si>
    <t>BNKS-ACE-MP08-PB-WHT</t>
  </si>
  <si>
    <t>BNKS-ACE-MP09-PB-BLK</t>
  </si>
  <si>
    <t>BNKS-ACE-MP09-PB-SKB</t>
  </si>
  <si>
    <t>BNKS-ACE-MP09-PB-WHT</t>
  </si>
  <si>
    <t>BNKS-ACE-MP10-PB-BLK</t>
  </si>
  <si>
    <t>BNKS-ACE-MP10-PB-BLU</t>
  </si>
  <si>
    <t>BNKS-ACE-MP10-PB-PNK</t>
  </si>
  <si>
    <t>BNKS-ACE-MP10-PB-PRP</t>
  </si>
  <si>
    <t>BNKS-ACE-MP10-PB-WHT</t>
  </si>
  <si>
    <t>BNKS-ACE-MP13-WHT</t>
  </si>
  <si>
    <t>BNKS-ACE-MP15-PB-BLK</t>
  </si>
  <si>
    <t>BNKS-ACE-MP16-PB-BLK</t>
  </si>
  <si>
    <t>BNKS-ACE-PA46-Adapter-WHT</t>
  </si>
  <si>
    <t>BNKS-ACE-PB15-TypeC-BLK</t>
  </si>
  <si>
    <t>BNKS-ACE-PB15-TypeC-WHT</t>
  </si>
  <si>
    <t>BNKS-ACE-PB15-iOS-BLK</t>
  </si>
  <si>
    <t>BNKS-ACE-PB15-iOS-WHT</t>
  </si>
  <si>
    <t>BNKS-ACE-SILI-AirTag-PNK</t>
  </si>
  <si>
    <t>BNKS-ACE-SILI-AirTag-RED</t>
  </si>
  <si>
    <t>BNKS-ACE-W09-Charger-GRY</t>
  </si>
  <si>
    <t>BNKS-ACE-W12-BLK</t>
  </si>
  <si>
    <t>BNKS-ACE-W12-WHT</t>
  </si>
  <si>
    <t>BNKS-ACE-W13-BLK</t>
  </si>
  <si>
    <t>BNKS-ACE-W13-WHT</t>
  </si>
  <si>
    <t>BNKS-ACE-W15-TAR</t>
  </si>
  <si>
    <t>BNKS-ACE-W16-BLK</t>
  </si>
  <si>
    <t>BNKS-ACE-W16-WHT</t>
  </si>
  <si>
    <t>BNKS-CL-BC-i13Mini</t>
  </si>
  <si>
    <t>BNKS-CL-BC-i14-CLR</t>
  </si>
  <si>
    <t>BNKS-CL-BC-i14Pro-CLR</t>
  </si>
  <si>
    <t>BNKS-CL-BC-i15-CLR</t>
  </si>
  <si>
    <t>BNKS-CL-BC-i15Pro-CLR</t>
  </si>
  <si>
    <t>BNKS-CL-GLW-S25Ultra-CLR</t>
  </si>
  <si>
    <t>BNKS-CL-KR-i13Mini-BLK</t>
  </si>
  <si>
    <t>BNKS-CL-KR-i13Mini-DAB</t>
  </si>
  <si>
    <t>BNKS-CL-KR-i13Mini-DZL</t>
  </si>
  <si>
    <t>BNKS-CL-KR-i13Mini-PNK</t>
  </si>
  <si>
    <t>BNKS-CL-KR-i13Mini-RED</t>
  </si>
  <si>
    <t>BNKS-CL-KR-i13Mini-WHT</t>
  </si>
  <si>
    <t>BNKS-CL-KR-i13Pro-DZL</t>
  </si>
  <si>
    <t>BNKS-CL-KR-i13Pro-GRA</t>
  </si>
  <si>
    <t>BNKS-CL-KR-i13Pro-LIB</t>
  </si>
  <si>
    <t>BNKS-CL-KR-i13Pro-SKS</t>
  </si>
  <si>
    <t>BNKS-CL-KR-i13Pro-SLV</t>
  </si>
  <si>
    <t>BNKS-CL-PVD-i15-CLR</t>
  </si>
  <si>
    <t>BNKS-CL-PVD-i15Pro-CLR</t>
  </si>
  <si>
    <t>BNKS-CL-PVD-i16-BLK</t>
  </si>
  <si>
    <t>BNKS-CL-PVD-i16-CLR</t>
  </si>
  <si>
    <t>BNKS-CL-PVD-i16-SLV</t>
  </si>
  <si>
    <t>BNKS-CL-PVD-i16Pro-BLK</t>
  </si>
  <si>
    <t>BNKS-CL-PVD-i16Pro-CLR</t>
  </si>
  <si>
    <t>BNKS-CL-PVD-i16Pro-SLV</t>
  </si>
  <si>
    <t>BNKS-CL-SAP-S24Ultra</t>
  </si>
  <si>
    <t>BNKS-CL-SAP-ZFold6</t>
  </si>
  <si>
    <t>BNKS-CL-SAP-i11-BLK</t>
  </si>
  <si>
    <t>BNKS-CL-SAP-i11-GRN</t>
  </si>
  <si>
    <t>BNKS-CL-SAP-i11-PRP</t>
  </si>
  <si>
    <t>BNKS-CL-SAP-i11-YLW</t>
  </si>
  <si>
    <t>BNKS-CL-SAP-i11Pro/Max-GLD</t>
  </si>
  <si>
    <t>BNKS-CL-SAP-i11Pro/Max-GRY</t>
  </si>
  <si>
    <t>BNKS-CL-SAP-i11Pro/Max-SLV</t>
  </si>
  <si>
    <t>BNKS-CL-SAP-i14-BLK</t>
  </si>
  <si>
    <t>BNKS-CL-SAP-i14-BLU</t>
  </si>
  <si>
    <t>BNKS-CL-SAP-i14-PRP</t>
  </si>
  <si>
    <t>BNKS-CL-SAP-i14-RED</t>
  </si>
  <si>
    <t>BNKS-CL-SAP-i14-WHT</t>
  </si>
  <si>
    <t>BNKS-CL-SAP-i14Pro-GLD</t>
  </si>
  <si>
    <t>BNKS-CL-SAP-i14Pro-GRA</t>
  </si>
  <si>
    <t>BNKS-CL-SAP-i14Pro-PRP</t>
  </si>
  <si>
    <t>BNKS-CL-SAP-i14Pro-SLV</t>
  </si>
  <si>
    <t>BNKS-CL-i12</t>
  </si>
  <si>
    <t>BNKS-CL-i12Mini</t>
  </si>
  <si>
    <t>BNKS-CL-i12Pro</t>
  </si>
  <si>
    <t>BNKS-CL-i12ProMax</t>
  </si>
  <si>
    <t>BNKS-IC-DM-Mini6-BLK</t>
  </si>
  <si>
    <t>BNKS-IC-DM-Mini6-MNG</t>
  </si>
  <si>
    <t>BNKS-IC-DM-Mini6-SKB</t>
  </si>
  <si>
    <t>BNKS-IC-DM-Pro11(18)-SKB</t>
  </si>
  <si>
    <t>BNKS-IC-DM-Pro12.9(21)-BLK</t>
  </si>
  <si>
    <t>BNKS-IC-LEAM-iPad10/10.9-BLK</t>
  </si>
  <si>
    <t>BNKS-IC-LEAM-iPad10/10.9-BLU</t>
  </si>
  <si>
    <t>BNKS-IC-MGNP-Pro11(20)-GRN</t>
  </si>
  <si>
    <t>BNKS-IC-MGNP-Pro12.9(18)-RED</t>
  </si>
  <si>
    <t>BNKS-IC-MGP-Pro12.9(20)-BLU</t>
  </si>
  <si>
    <t>BNKS-IC-MGP-Pro12.9(20)-GRN</t>
  </si>
  <si>
    <t>BNKS-IC-TRIF-Air4/10.9-BLK</t>
  </si>
  <si>
    <t>BNKS-IC-TRIF-Pro12.9(18)-BLK</t>
  </si>
  <si>
    <t>BNKS-IC-URB-Pro11(18)-GRY</t>
  </si>
  <si>
    <t>BNKS-IC-URB-Pro12.9(18)-GRY</t>
  </si>
  <si>
    <t>BNKS-LANY-GS01-ADJ-APR</t>
  </si>
  <si>
    <t>BNKS-LANY-GS01-ADJ-BLK</t>
  </si>
  <si>
    <t>BNKS-LANY-GS01-ADJ-BLU</t>
  </si>
  <si>
    <t>BNKS-LANY-GS01-ADJ-ORG</t>
  </si>
  <si>
    <t>BNKS-MAC-SR07-Radiator-BLK</t>
  </si>
  <si>
    <t>BNKS-MAC-ZT01-Cover-BLK</t>
  </si>
  <si>
    <t>BNKS-PC-AMAIR-S24Ultra-BLK</t>
  </si>
  <si>
    <t>BNKS-PC-AMAIR-S25Ultra-BLK</t>
  </si>
  <si>
    <t>BNKS-PC-AMAIR-i14Pro-BLK</t>
  </si>
  <si>
    <t>BNKS-PC-AMAIR-i14ProMax-BLK</t>
  </si>
  <si>
    <t>BNKS-PC-AMAIR-i15Pro-BLK</t>
  </si>
  <si>
    <t>BNKS-PC-AMAIR-i15ProMax-BLK</t>
  </si>
  <si>
    <t>BNKS-PC-AMAIR-i16-BLK</t>
  </si>
  <si>
    <t>BNKS-PC-AMAIR-i16Plus-BLK</t>
  </si>
  <si>
    <t>BNKS-PC-AMAIR-i16Pro-BLK</t>
  </si>
  <si>
    <t>BNKS-PC-AMAIR-i16ProMax-BLK</t>
  </si>
  <si>
    <t>BNKS-PC-AMAIR/AUR-S25Ultra-AUR</t>
  </si>
  <si>
    <t>BNKS-PC-AMPRO-S24Ultra-BLK</t>
  </si>
  <si>
    <t>BNKS-PC-AMPRO-S25Ultra-BLK</t>
  </si>
  <si>
    <t>BNKS-PC-AMPRO-i15Pro-BLK</t>
  </si>
  <si>
    <t>BNKS-PC-AMPRO-i15ProMax-BLK</t>
  </si>
  <si>
    <t>BNKS-PC-AMPRO-i16-BLK</t>
  </si>
  <si>
    <t>BNKS-PC-AMPRO-i16Plus-BLK</t>
  </si>
  <si>
    <t>BNKS-PC-AMPRO-i16Pro-BLK</t>
  </si>
  <si>
    <t>BNKS-PC-AMPRO-i16ProMax-BLK</t>
  </si>
  <si>
    <t>BNKS-PC-AMPRO/MTG-S24Ultra-BLK</t>
  </si>
  <si>
    <t>BNKS-PC-AMPRO/MTG-S25Ultra-BLK</t>
  </si>
  <si>
    <t>BNKS-PC-AMPRO/MTG-i15Pro-BLK</t>
  </si>
  <si>
    <t>BNKS-PC-AMPRO/MTG-i15ProMax-BLK</t>
  </si>
  <si>
    <t>BNKS-PC-AMPRO/MTG-i16Pro-BLK</t>
  </si>
  <si>
    <t>BNKS-PC-AMPRO/MTG-i16ProMax-BLK</t>
  </si>
  <si>
    <t>BNKS-PC-AMPRO/PRES-i16Pro-GLD</t>
  </si>
  <si>
    <t>BNKS-PC-AMPRO/PRES-i16ProMax-GLD</t>
  </si>
  <si>
    <t>BNKS-PC-AUR-S24Ultra-BLK</t>
  </si>
  <si>
    <t>BNKS-PC-AUR-S25Ultra-AUR</t>
  </si>
  <si>
    <t>BNKS-PC-AUR-i14Pro-BLK</t>
  </si>
  <si>
    <t>BNKS-PC-AUR-i14ProMax-BLK</t>
  </si>
  <si>
    <t>BNKS-PC-AUR-i15Pro-BLK</t>
  </si>
  <si>
    <t>BNKS-PC-AUR-i15ProMax-BLK</t>
  </si>
  <si>
    <t>BNKS-PC-AUR-i16Pro-BLK</t>
  </si>
  <si>
    <t>BNKS-PC-AUR-i16ProMax-BLK</t>
  </si>
  <si>
    <t>BNKS-PC-CARB(D)-i12-BLK</t>
  </si>
  <si>
    <t>BNKS-PC-CARB(D)-i12Pro-BLK</t>
  </si>
  <si>
    <t>BNKS-PC-CARB(MS)-i13-BLK</t>
  </si>
  <si>
    <t>BNKS-PC-CARB(MS)-i13Pro-BLK</t>
  </si>
  <si>
    <t>BNKS-PC-CARB(MS)-i13ProMax-BLK</t>
  </si>
  <si>
    <t>BNKS-PC-CARB-S22-BLK</t>
  </si>
  <si>
    <t>BNKS-PC-CARB-S22Plus-BLK</t>
  </si>
  <si>
    <t>BNKS-PC-CARB-S22Ultra-BLK</t>
  </si>
  <si>
    <t>BNKS-PC-CARB-ZFlip3-BLK</t>
  </si>
  <si>
    <t>BNKS-PC-CARB-i13Pro-BLK</t>
  </si>
  <si>
    <t>BNKS-PC-CARB-i13ProMax-BLK</t>
  </si>
  <si>
    <t>BNKS-PC-CBANG(MS)-i14Pro-DG1</t>
  </si>
  <si>
    <t>BNKS-PC-CBANG(MS)-i14Pro-FP2</t>
  </si>
  <si>
    <t>BNKS-PC-CBANG(MS)-i14ProMax-DG1</t>
  </si>
  <si>
    <t>BNKS-PC-CBANG(MS)-i14ProMax-FP2</t>
  </si>
  <si>
    <t>BNKS-PC-CID-i14-BLK</t>
  </si>
  <si>
    <t>BNKS-PC-CID-i14Plus-BLK</t>
  </si>
  <si>
    <t>BNKS-PC-CID-i14Pro-BLK</t>
  </si>
  <si>
    <t>BNKS-PC-CID-i14ProMax-BLK</t>
  </si>
  <si>
    <t>BNKS-PC-COLK-i14Pro-BLK</t>
  </si>
  <si>
    <t>BNKS-PC-COLK-i14ProMax-BLK</t>
  </si>
  <si>
    <t>BNKS-PC-COOL-i13-GRY</t>
  </si>
  <si>
    <t>BNKS-PC-COOL-i13Pro-GRY</t>
  </si>
  <si>
    <t>BNKS-PC-COOL-i13ProMax-GRY</t>
  </si>
  <si>
    <t>BNKS-PC-COOL-i14-GRY</t>
  </si>
  <si>
    <t>BNKS-PC-COOL-i14Plus-GRY</t>
  </si>
  <si>
    <t>BNKS-PC-COOL-i14Pro-GRY</t>
  </si>
  <si>
    <t>BNKS-PC-COOL-i14ProMax-GRY</t>
  </si>
  <si>
    <t>BNKS-PC-COOL-i15Pro-GRY</t>
  </si>
  <si>
    <t>BNKS-PC-COOL-i15ProMax-GRY</t>
  </si>
  <si>
    <t>BNKS-PC-CRY(MS)-i13-CLR</t>
  </si>
  <si>
    <t>BNKS-PC-CRY(MS)-i13Pro-CLR</t>
  </si>
  <si>
    <t>BNKS-PC-CRY(MS)-i13ProMax-CLR</t>
  </si>
  <si>
    <t>BNKS-PC-CRY(MS)-i15-CLR</t>
  </si>
  <si>
    <t>BNKS-PC-CRY(MS)-i15Plus-CLR</t>
  </si>
  <si>
    <t>BNKS-PC-CRY(MS)-i15Pro-CLR</t>
  </si>
  <si>
    <t>BNKS-PC-CRY(MS)-i15ProMax-CLR</t>
  </si>
  <si>
    <t>BNKS-PC-CRY(MS)-i16-CLR</t>
  </si>
  <si>
    <t>BNKS-PC-CRY(MS)-i16Plus-CLR</t>
  </si>
  <si>
    <t>BNKS-PC-CRY(MS)-i16Pro-CLR</t>
  </si>
  <si>
    <t>BNKS-PC-CRY(MS)-i16ProMax-CLR</t>
  </si>
  <si>
    <t>BNKS-PC-CRY-i13-CLR</t>
  </si>
  <si>
    <t>BNKS-PC-CRY-i13Mini-CLR</t>
  </si>
  <si>
    <t>BNKS-PC-CRY-i13Pro-CLR</t>
  </si>
  <si>
    <t>BNKS-PC-CRYS-i15-CLR</t>
  </si>
  <si>
    <t>BNKS-PC-CRYS-i15Plus-CLR</t>
  </si>
  <si>
    <t>BNKS-PC-CRYS-i15Pro-CLR</t>
  </si>
  <si>
    <t>BNKS-PC-CRYS-i15ProMax-CLR</t>
  </si>
  <si>
    <t>BNKS-PC-CRYSTAL-S24-BLK</t>
  </si>
  <si>
    <t>BNKS-PC-CRYSTAL-S24-BLU</t>
  </si>
  <si>
    <t>BNKS-PC-CRYSTAL-S24Plus-BLK</t>
  </si>
  <si>
    <t>BNKS-PC-CRYSTAL-S24Plus-BLU</t>
  </si>
  <si>
    <t>BNKS-PC-CRYSTAL-S24Ultra-BLK</t>
  </si>
  <si>
    <t>BNKS-PC-CRYSTAL-S24Ultra-BLU</t>
  </si>
  <si>
    <t>BNKS-PC-CUBE(MS)-i13-GRN</t>
  </si>
  <si>
    <t>BNKS-PC-HAZ-i14Pro-BLK</t>
  </si>
  <si>
    <t>BNKS-PC-HAZ-i14Pro-BLU</t>
  </si>
  <si>
    <t>BNKS-PC-HAZ-i14Pro-PRP</t>
  </si>
  <si>
    <t>BNKS-PC-HAZ-i14Pro-SLV</t>
  </si>
  <si>
    <t>BNKS-PC-HAZ-i14ProMax-BLK</t>
  </si>
  <si>
    <t>BNKS-PC-HAZ-i14ProMax-BLU</t>
  </si>
  <si>
    <t>BNKS-PC-HAZ-i14ProMax-SLV</t>
  </si>
  <si>
    <t>BNKS-PC-HAZ-i15-BLK</t>
  </si>
  <si>
    <t>BNKS-PC-HAZ-i15-WHT</t>
  </si>
  <si>
    <t>BNKS-PC-HAZ-i15Pro-BLK</t>
  </si>
  <si>
    <t>BNKS-PC-HAZ-i15Pro-WHT</t>
  </si>
  <si>
    <t>BNKS-PC-HAZ-i15ProMax-BLK</t>
  </si>
  <si>
    <t>BNKS-PC-HAZ-i15ProMax-WHT</t>
  </si>
  <si>
    <t>BNKS-PC-HAZ-i16-BLK</t>
  </si>
  <si>
    <t>BNKS-PC-HAZ-i16-WHT</t>
  </si>
  <si>
    <t>BNKS-PC-HAZ-i16Plus-BLK</t>
  </si>
  <si>
    <t>BNKS-PC-HAZ-i16Plus-WHT</t>
  </si>
  <si>
    <t>BNKS-PC-HAZ-i16Pro-BLK</t>
  </si>
  <si>
    <t>BNKS-PC-HAZ-i16Pro-WHT</t>
  </si>
  <si>
    <t>BNKS-PC-HAZ-i16ProMax-BLK</t>
  </si>
  <si>
    <t>BNKS-PC-HAZ-i16ProMax-WHT</t>
  </si>
  <si>
    <t>BNKS-PC-HYB(MS)-S24Ultra-BLK</t>
  </si>
  <si>
    <t>BNKS-PC-HYB(MS)-S25Ultra-BLK</t>
  </si>
  <si>
    <t>BNKS-PC-HYB(MS)-i15Pro-BLK</t>
  </si>
  <si>
    <t>BNKS-PC-HYB(MS)-i15ProMax-BLK</t>
  </si>
  <si>
    <t>BNKS-PC-HYB(MS)-i16-BLK</t>
  </si>
  <si>
    <t>BNKS-PC-HYB(MS)-i16Plus-BLK</t>
  </si>
  <si>
    <t>BNKS-PC-HYB(MS)-i16Pro-BLK</t>
  </si>
  <si>
    <t>BNKS-PC-HYB(MS)-i16ProMax-BLK</t>
  </si>
  <si>
    <t>BNKS-PC-KEV(MS)-i13-BLK</t>
  </si>
  <si>
    <t>BNKS-PC-KFL(MS)-S24Ultra-BLK</t>
  </si>
  <si>
    <t>BNKS-PC-KFL(MS)-S25Ultra-BLK</t>
  </si>
  <si>
    <t>BNKS-PC-KFL(MS)-i14Pro-BLK</t>
  </si>
  <si>
    <t>BNKS-PC-KFL(MS)-i14ProMax-BLK</t>
  </si>
  <si>
    <t>BNKS-PC-KFL(MS)-i15Pro-BLK</t>
  </si>
  <si>
    <t>BNKS-PC-KFL(MS)-i15ProMax-BLK</t>
  </si>
  <si>
    <t>BNKS-PC-KFL(MS)-i16-BLK</t>
  </si>
  <si>
    <t>BNKS-PC-KFL(MS)-i16Plus-BLK</t>
  </si>
  <si>
    <t>BNKS-PC-KFL(MS)-i16Pro-BLK</t>
  </si>
  <si>
    <t>BNKS-PC-KFL(MS)-i16ProMax-BLK</t>
  </si>
  <si>
    <t>BNKS-PC-LEA(MS)-i13-BLK</t>
  </si>
  <si>
    <t>BNKS-PC-LG(D)-i13-TP</t>
  </si>
  <si>
    <t>BNKS-PC-LG(D)-i13Pro-TP</t>
  </si>
  <si>
    <t>BNKS-PC-LG(D)-iP13ProMax-TP</t>
  </si>
  <si>
    <t>BNKS-PC-LG-i13-TP</t>
  </si>
  <si>
    <t>BNKS-PC-LG-i13Mini-TP</t>
  </si>
  <si>
    <t>BNKS-PC-LIGHT-i14Pro-BLU</t>
  </si>
  <si>
    <t>BNKS-PC-LIGHT-i14Pro-GRN</t>
  </si>
  <si>
    <t>BNKS-PC-LIGHT-i14Pro-ORG</t>
  </si>
  <si>
    <t>BNKS-PC-LIGHT-i14Pro-PNK</t>
  </si>
  <si>
    <t>BNKS-PC-LIGHT-i14ProMax-BLU</t>
  </si>
  <si>
    <t>BNKS-PC-LIGHT-i14ProMax-GRN</t>
  </si>
  <si>
    <t>BNKS-PC-LIGHT-i14ProMax-ORG</t>
  </si>
  <si>
    <t>BNKS-PC-LIGHT-i14ProMax-PNK</t>
  </si>
  <si>
    <t>BNKS-PC-LQ(MS)-i12-BLK</t>
  </si>
  <si>
    <t>BNKS-PC-LQ(MS)-i12-BLU</t>
  </si>
  <si>
    <t>BNKS-PC-MIS-i14-CLR</t>
  </si>
  <si>
    <t>BNKS-PC-MIS-i14Plus-CLR</t>
  </si>
  <si>
    <t>BNKS-PC-MIS-i14Pro-CLR</t>
  </si>
  <si>
    <t>BNKS-PC-MIS-i14ProMax-CLR</t>
  </si>
  <si>
    <t>BNKS-PC-MIST-S24-BLK</t>
  </si>
  <si>
    <t>BNKS-PC-MIST-S24-BLU</t>
  </si>
  <si>
    <t>BNKS-PC-MIST-S24Plus-BLK</t>
  </si>
  <si>
    <t>BNKS-PC-MIST-S24Plus-BLU</t>
  </si>
  <si>
    <t>BNKS-PC-MIST-S24Ultra-BLK</t>
  </si>
  <si>
    <t>BNKS-PC-MIST-S24Ultra-BLU</t>
  </si>
  <si>
    <t>BNKS-PC-MTG-S24Ultra-BLK</t>
  </si>
  <si>
    <t>BNKS-PC-MTG-S25Ultra-BLK</t>
  </si>
  <si>
    <t>BNKS-PC-MTG-ZFold5-BLK</t>
  </si>
  <si>
    <t>BNKS-PC-MTG-ZFold6-BLK</t>
  </si>
  <si>
    <t>BNKS-PC-MTG-i15Pro-BLK</t>
  </si>
  <si>
    <t>BNKS-PC-MTG-i15ProMax-BLK</t>
  </si>
  <si>
    <t>BNKS-PC-MTG-i16Pro-BLK</t>
  </si>
  <si>
    <t>BNKS-PC-MTG-i16ProMax-BLK</t>
  </si>
  <si>
    <t>BNKS-PC-OTG-P40-TP</t>
  </si>
  <si>
    <t>BNKS-PC-PP-P40-TP</t>
  </si>
  <si>
    <t>BNKS-PC-PP-i14-WHT</t>
  </si>
  <si>
    <t>BNKS-PC-PP-i14Plus-BLK</t>
  </si>
  <si>
    <t>BNKS-PC-PP-i14Plus-WHT</t>
  </si>
  <si>
    <t>BNKS-PC-PP-i14Pro-WHT</t>
  </si>
  <si>
    <t>BNKS-PC-PP-i14ProMax-WHT</t>
  </si>
  <si>
    <t>BNKS-PC-SHI(MS)-i13-BLK</t>
  </si>
  <si>
    <t>BNKS-PC-SHI(MS)-i13-BLU</t>
  </si>
  <si>
    <t>BNKS-PC-SHI(MS)-i13Pro-BLK</t>
  </si>
  <si>
    <t>BNKS-PC-SHI(MS)-i13Pro-BLU</t>
  </si>
  <si>
    <t>BNKS-PC-SHI(MS)-i13ProMax-BLU</t>
  </si>
  <si>
    <t>BNKS-PC-SHI(MS)-i14-BLK</t>
  </si>
  <si>
    <t>BNKS-PC-SHI(MS)-i14-BLU</t>
  </si>
  <si>
    <t>BNKS-PC-SHI(MS)-i14Plus-BLK</t>
  </si>
  <si>
    <t>BNKS-PC-SHI(MS)-i14Plus-BLU</t>
  </si>
  <si>
    <t>BNKS-PC-SHI(MS)-i14Pro-BLK</t>
  </si>
  <si>
    <t>BNKS-PC-SHI(MS)-i14Pro-BLU</t>
  </si>
  <si>
    <t>BNKS-PC-SHI(MS)-i14ProMax-BLK</t>
  </si>
  <si>
    <t>BNKS-PC-SHI(MS)-i14ProMax-BLU</t>
  </si>
  <si>
    <t>BNKS-PC-SHI(MS)-i15-BLK</t>
  </si>
  <si>
    <t>BNKS-PC-SHI(MS)-i15Plus-BLK</t>
  </si>
  <si>
    <t>BNKS-PC-SHI(MS)-i15Pro-BLK</t>
  </si>
  <si>
    <t>BNKS-PC-SHI(MS)-i15ProMax-BLK</t>
  </si>
  <si>
    <t>BNKS-PC-SHI-P40-GRN</t>
  </si>
  <si>
    <t>BNKS-PC-SHI-P40-GRY</t>
  </si>
  <si>
    <t>BNKS-PC-SHI-P40P-GRN</t>
  </si>
  <si>
    <t>BNKS-PC-SHI-i12-BLU</t>
  </si>
  <si>
    <t>BNKS-PC-SHI-i12-GRY</t>
  </si>
  <si>
    <t>BNKS-PC-SHI-i12Mini-BLK</t>
  </si>
  <si>
    <t>BNKS-PC-SHI-i12Mini-BLU</t>
  </si>
  <si>
    <t>BNKS-PC-SHI-i12Mini-GRY</t>
  </si>
  <si>
    <t>BNKS-PC-SHI-i12Mini-MNG</t>
  </si>
  <si>
    <t>BNKS-PC-SHI-i12ProMax-BLU</t>
  </si>
  <si>
    <t>BNKS-PC-SHI-i12ProMax-GRY</t>
  </si>
  <si>
    <t>BNKS-PC-SHI-i12ProMax-MNG</t>
  </si>
  <si>
    <t>BNKS-PC-SHI-i13-BLU</t>
  </si>
  <si>
    <t>BNKS-PC-SHI-i13-GRY</t>
  </si>
  <si>
    <t>BNKS-PC-SHI-i13Pro-BLK</t>
  </si>
  <si>
    <t>BNKS-PC-SHI-i13Pro-BLU</t>
  </si>
  <si>
    <t>BNKS-PC-SHI-i13Pro-GRY</t>
  </si>
  <si>
    <t>BNKS-PC-SHI-i13ProMax-BLK</t>
  </si>
  <si>
    <t>BNKS-PC-SHI-i13ProMax-BLU</t>
  </si>
  <si>
    <t>BNKS-PC-SHI-i13ProMax-GRY</t>
  </si>
  <si>
    <t>BNKS-PC-TPU-i12ProMax-TP</t>
  </si>
  <si>
    <t>BNKS-PC-VitaPro-S25Ultra-BLK</t>
  </si>
  <si>
    <t>BNKS-PC-VitaPro-S25Ultra-GRN</t>
  </si>
  <si>
    <t>BNKS-PC-VitaPro-S25Ultra-GRY</t>
  </si>
  <si>
    <t>BNKS-SP-CKR+-i12Mini-CLR</t>
  </si>
  <si>
    <t>BNKS-SP-CKR+-i12ProMax-CLR</t>
  </si>
  <si>
    <t>BNKS-SP-COMBO-ZFold5-CLR</t>
  </si>
  <si>
    <t>BNKS-SP-ICE-i13-BLK</t>
  </si>
  <si>
    <t>BNKS-SP-ICE-i13ProMax-BLK</t>
  </si>
  <si>
    <t>BNKS-SP-ICE-i14Pro-BLK</t>
  </si>
  <si>
    <t>BNKS-SP-ICE-i14ProMax-BLK</t>
  </si>
  <si>
    <t>BNKS-SP-JOY-i16-MAT</t>
  </si>
  <si>
    <t>BNKS-SP-JOY-i16Plus-MAT</t>
  </si>
  <si>
    <t>BNKS-SP-JOY-i16Pro-MAT</t>
  </si>
  <si>
    <t>BNKS-SP-JOY-i16ProMax-MAT</t>
  </si>
  <si>
    <t>BNKS-SP-KR+-i12-CLR</t>
  </si>
  <si>
    <t>BNKS-SP-KR+-i12Mini-CLR</t>
  </si>
  <si>
    <t>BNKS-SP-KR+-i12ProMax-CLR</t>
  </si>
  <si>
    <t>BNKS-SP-KR-i12-BR</t>
  </si>
  <si>
    <t>BNKS-SP-KR-i12-CLR</t>
  </si>
  <si>
    <t>BNKS-SP-KR-i12Mini-BR</t>
  </si>
  <si>
    <t>BNKS-SP-KR-i12Mini-CLR</t>
  </si>
  <si>
    <t>BNKS-SP-KR-i12ProMax-BR</t>
  </si>
  <si>
    <t>BNKS-SP-KR-i12ProMax-CLR</t>
  </si>
  <si>
    <t>BNKS-SP-KR-i13-CLR</t>
  </si>
  <si>
    <t>BNKS-SP-KR-i13-GRN</t>
  </si>
  <si>
    <t>BNKS-SP-KR-i13Mini-CLR</t>
  </si>
  <si>
    <t>BNKS-SP-KR-i13ProMax-GRN</t>
  </si>
  <si>
    <t>BNKS-SP-KR-i14Pro-CLR</t>
  </si>
  <si>
    <t>BNKS-SP-KR-i14Pro-GRN</t>
  </si>
  <si>
    <t>BNKS-SP-KR-i14ProMax-CLR</t>
  </si>
  <si>
    <t>BNKS-SP-KR-i14ProMax-GRN</t>
  </si>
  <si>
    <t>BNKS-SP-MG-i13-MAT</t>
  </si>
  <si>
    <t>BNKS-SP-MG-i13ProMax-MAT</t>
  </si>
  <si>
    <t>BNKS-SP-OKR+-Air2/9.7-CLR</t>
  </si>
  <si>
    <t>BNKS-SP-OKR+-Air4/10.9-BR</t>
  </si>
  <si>
    <t>BNKS-SP-OKR+-Air4/10.9-CLR</t>
  </si>
  <si>
    <t>BNKS-SP-OKR+-Mini4-CLR</t>
  </si>
  <si>
    <t>BNKS-SP-OKR+-Mini6-CLR</t>
  </si>
  <si>
    <t>BNKS-SP-OKR+-Pro12.9(18)-BR</t>
  </si>
  <si>
    <t>BNKS-SP-OKR+-Pro12.9(18)-CLR</t>
  </si>
  <si>
    <t>BNKS-SP-OKR+-i12-CLR</t>
  </si>
  <si>
    <t>BNKS-SP-OKR+-i12-PVC</t>
  </si>
  <si>
    <t>BNKS-SP-OKR+-i12Mini-BR</t>
  </si>
  <si>
    <t>BNKS-SP-OKR+-i12Mini-PVC</t>
  </si>
  <si>
    <t>BNKS-SP-OKR+-i12ProMax-BR</t>
  </si>
  <si>
    <t>BNKS-SP-OKR+-i12ProMax-CLR</t>
  </si>
  <si>
    <t>BNKS-SP-OKR+-i12ProMax-PVC</t>
  </si>
  <si>
    <t>BNKS-SP-OKR-i13-CLR</t>
  </si>
  <si>
    <t>BNKS-SP-OKR-i13Mini-CLR</t>
  </si>
  <si>
    <t>BNKS-SP-OKR-i13ProMax-CLR</t>
  </si>
  <si>
    <t>BNKS-SP-SAPS-i15-CLR</t>
  </si>
  <si>
    <t>BNKS-SP-SAPS-i15Plus-CLR</t>
  </si>
  <si>
    <t>BNKS-SP-SAPS-i15Pro-CLR</t>
  </si>
  <si>
    <t>BNKS-SP-SAPS-i15ProMax-CLR</t>
  </si>
  <si>
    <t>BNKS-SP-USHD-i14Pro-CLR</t>
  </si>
  <si>
    <t>BNKS-SP-USHD-i14Pro-PVC</t>
  </si>
  <si>
    <t>BNKS-SP-USHD-i14ProMax-CLR</t>
  </si>
  <si>
    <t>BNKS-SP-USHD-i14ProMax-PVC</t>
  </si>
  <si>
    <t>BNKS-SP-USHD-i15-CLR</t>
  </si>
  <si>
    <t>BNKS-SP-USHD-i15-PVC</t>
  </si>
  <si>
    <t>BNKS-SP-USHD-i15Plus-CLR</t>
  </si>
  <si>
    <t>BNKS-SP-USHD-i15Plus-PVC</t>
  </si>
  <si>
    <t>BNKS-SP-USHD-i15Pro-CLR</t>
  </si>
  <si>
    <t>BNKS-SP-USHD-i15Pro-PVC</t>
  </si>
  <si>
    <t>BNKS-SP-USHD-i15ProMax-CLR</t>
  </si>
  <si>
    <t>BNKS-SP-USHD-i15ProMax-PVC</t>
  </si>
  <si>
    <t>BNKS-SP-USHD-i16-CLR</t>
  </si>
  <si>
    <t>BNKS-SP-USHD-i16-PVC</t>
  </si>
  <si>
    <t>BNKS-SP-USHD-i16Plus-CLR</t>
  </si>
  <si>
    <t>BNKS-SP-USHD-i16Plus-PVC</t>
  </si>
  <si>
    <t>BNKS-SP-USHD-i16Pro-CLR</t>
  </si>
  <si>
    <t>BNKS-SP-USHD-i16Pro-PVC</t>
  </si>
  <si>
    <t>BNKS-SP-USHD-i16ProMax-CLR</t>
  </si>
  <si>
    <t>BNKS-SP-USHD-i16ProMax-PVC</t>
  </si>
  <si>
    <t>BNKS-SP-VPRO+-i12-CLR</t>
  </si>
  <si>
    <t>BNKS-SP-VPRO+-i12-MAT</t>
  </si>
  <si>
    <t>BNKS-SP-VPRO+-i12-PVC</t>
  </si>
  <si>
    <t>BNKS-SP-VPRO+-i12Mini-CLR</t>
  </si>
  <si>
    <t>BNKS-SP-VPRO+-i12Mini-GRN</t>
  </si>
  <si>
    <t>BNKS-SP-VPRO+-i12Mini-MAT</t>
  </si>
  <si>
    <t>BNKS-SP-VPRO+-i12Mini-PVC</t>
  </si>
  <si>
    <t>BNKS-SP-VPRO+-i12ProMax-CLR</t>
  </si>
  <si>
    <t>BNKS-SP-VPRO+-i12ProMax-GRN</t>
  </si>
  <si>
    <t>BNKS-SP-VPRO+-i12ProMax-MAT</t>
  </si>
  <si>
    <t>BNKS-SP-VPRO+-i12ProMax-PVC</t>
  </si>
  <si>
    <t>BNKS-SP-VPRO+-i13-CLR</t>
  </si>
  <si>
    <t>BNKS-SP-VPRO+-i13-PVC</t>
  </si>
  <si>
    <t>BNKS-SP-VPRO+-i13ProMax-CLR</t>
  </si>
  <si>
    <t>BNKS-SP-VPRO+-i13ProMax-PVC</t>
  </si>
  <si>
    <t>BNKS-SP-VPRO+-i14Pro-CLR</t>
  </si>
  <si>
    <t>BNKS-SP-VPRO+-i14Pro-PVC</t>
  </si>
  <si>
    <t>BNKS-SP-VPRO+-i14ProMax-CLR</t>
  </si>
  <si>
    <t>BNKS-SP-VPRO+-i14ProMax-PVC</t>
  </si>
  <si>
    <t>BNKS-SP-VPRO-Mate30-BR</t>
  </si>
  <si>
    <t>BNKS-SP-VPRO-Mate30-CLR</t>
  </si>
  <si>
    <t>BNKS-SP-VPRO-P40-BR</t>
  </si>
  <si>
    <t>BNKS-SP-VPRO-P40-CLR</t>
  </si>
  <si>
    <t>BNKS-SP-VPRO-S24-CLR</t>
  </si>
  <si>
    <t>BNKS-SP-VPRO-S24-PVC</t>
  </si>
  <si>
    <t>BNKS-SP-VPRO-S24Plus-CLR</t>
  </si>
  <si>
    <t>BNKS-SP-VPRO-S24Plus-PVC</t>
  </si>
  <si>
    <t>BNKS-SP-VPRO-S24Ultra-CLR</t>
  </si>
  <si>
    <t>BNKS-SP-VPRO-S24Ultra-PVC</t>
  </si>
  <si>
    <t>BNKS-SP-VPRO-S25Ultra-CLR</t>
  </si>
  <si>
    <t>BNKS-SP-VPRO-S25Ultra-PVC</t>
  </si>
  <si>
    <t>BNKS-SP-VPRO-ZFlip6-CLR</t>
  </si>
  <si>
    <t>BNKS-SP-VPRO-ZFold6-CLR</t>
  </si>
  <si>
    <t>BNKS-SP-VPRO-i13-CLR</t>
  </si>
  <si>
    <t>BNKS-SP-VPRO-i13-GRN</t>
  </si>
  <si>
    <t>BNKS-SP-VPRO-i13-MAT</t>
  </si>
  <si>
    <t>BNKS-SP-VPRO-i13-PVC</t>
  </si>
  <si>
    <t>BNKS-SP-VPRO-i13Mini-CLR</t>
  </si>
  <si>
    <t>BNKS-SP-VPRO-i13Mini-GRN</t>
  </si>
  <si>
    <t>BNKS-SP-VPRO-i13Mini-MAT</t>
  </si>
  <si>
    <t>BNKS-SP-VPRO-i13Mini-PVC</t>
  </si>
  <si>
    <t>BNKS-SP-VPRO-i13ProMax-CLR</t>
  </si>
  <si>
    <t>BNKS-SP-VPRO-i13ProMax-MAT</t>
  </si>
  <si>
    <t>BNKS-SP-VPRO-i13ProMax-PVC</t>
  </si>
  <si>
    <t>BNKS-SP-VPRO-i14Pro-CLR</t>
  </si>
  <si>
    <t>BNKS-SP-VPRO-i14Pro-MAT</t>
  </si>
  <si>
    <t>BNKS-SP-VPRO-i14Pro-PVC</t>
  </si>
  <si>
    <t>BNKS-SP-VPRO-i14ProMax-CLR</t>
  </si>
  <si>
    <t>BNKS-SP-VPRO-i14ProMax-MAT</t>
  </si>
  <si>
    <t>BNKS-SP-VPRO-i14ProMax-PVC</t>
  </si>
  <si>
    <t>BNKS-SP-VPRO-i15-CLR</t>
  </si>
  <si>
    <t>BNKS-SP-VPRO-i15-PVC</t>
  </si>
  <si>
    <t>BNKS-SP-VPRO-i15Plus-CLR</t>
  </si>
  <si>
    <t>BNKS-SP-VPRO-i15Plus-PVC</t>
  </si>
  <si>
    <t>BNKS-SP-VPRO-i15Pro-CLR</t>
  </si>
  <si>
    <t>BNKS-SP-VPRO-i15Pro-PVC</t>
  </si>
  <si>
    <t>BNKS-SP-VPRO-i15ProMax-CLR</t>
  </si>
  <si>
    <t>BNKS-SP-VPRO-i15ProMax-PVC</t>
  </si>
  <si>
    <t>BNKS-SP-VPRO-i16-CLR</t>
  </si>
  <si>
    <t>BNKS-SP-VPRO-i16-PVC</t>
  </si>
  <si>
    <t>BNKS-SP-VPRO-i16Plus-CLR</t>
  </si>
  <si>
    <t>BNKS-SP-VPRO-i16Plus-PVC</t>
  </si>
  <si>
    <t>BNKS-SP-VPRO-i16Pro-CLR</t>
  </si>
  <si>
    <t>BNKS-SP-VPRO-i16Pro-PVC</t>
  </si>
  <si>
    <t>BNKS-SP-VPRO-i16ProMax-CLR</t>
  </si>
  <si>
    <t>BNKS-SP-VPRO-i16ProMax-PVC</t>
  </si>
  <si>
    <t>BNKS-SP-XPRO+-i12-CLR</t>
  </si>
  <si>
    <t>BNKS-SP-XPRO+-i12Mini-CLR</t>
  </si>
  <si>
    <t>BNKS-SP-XPRO+-i12ProMax-CLR</t>
  </si>
  <si>
    <t>BNKS-WTF-Air2(9.7)-MAT</t>
  </si>
  <si>
    <t>BNKS-WTF-Air3(10.5)-MAT</t>
  </si>
  <si>
    <t>BNKS-WTF-MNET-Air4/10.9-MAT</t>
  </si>
  <si>
    <t>BNKS-WTF-MNET-Pro12.9(18)-MAT</t>
  </si>
  <si>
    <t>BNKS-WTF-MNET-iPad7/10.2-MAT</t>
  </si>
  <si>
    <t>BNKS-WTF-MPadPro10.8-MAT</t>
  </si>
  <si>
    <t>BNKS-WTF-Mini45-MAT</t>
  </si>
  <si>
    <t>BNKS-WTF-Mini6-MAT</t>
  </si>
  <si>
    <t>BNKS-WTF-Pro12.9(20)-BR</t>
  </si>
  <si>
    <t>BNKS-WTF-Pro12.9(20)-MAT</t>
  </si>
  <si>
    <t>BNKS-WTF-iPad7(10.2)-MAT</t>
  </si>
  <si>
    <t>BNKS-WTF-iPadAir4(10.9)-MAT</t>
  </si>
  <si>
    <t>BONE-AC-FL01-BLK</t>
  </si>
  <si>
    <t>BONE-AC-L02-SLV</t>
  </si>
  <si>
    <t>BONE-AC-L04-SLV</t>
  </si>
  <si>
    <t>BONE-AC-METAL-P15-GRY</t>
  </si>
  <si>
    <t>BONE-AC-METAL-P15-SLV</t>
  </si>
  <si>
    <t>BONE-AC-P17-GRY</t>
  </si>
  <si>
    <t>BONE-AC-P17-SLV</t>
  </si>
  <si>
    <t>BONE-AC-P18-SLV</t>
  </si>
  <si>
    <t>BONE-AC-P19-BLU</t>
  </si>
  <si>
    <t>BONE-AC-P19-GRY</t>
  </si>
  <si>
    <t>BONE-AC-P19-SLV</t>
  </si>
  <si>
    <t>BONE-AC-P21-BLK</t>
  </si>
  <si>
    <t>BONE-AC-P21-WHT</t>
  </si>
  <si>
    <t>BONE-AC-P43-GRY</t>
  </si>
  <si>
    <t>BONE-AC-P43-SLV</t>
  </si>
  <si>
    <t>BONE-AC-P47-BLK</t>
  </si>
  <si>
    <t>BONE-AC-P47-WHT</t>
  </si>
  <si>
    <t>BONE-AC-P52-BLK</t>
  </si>
  <si>
    <t>BONE-AC-P52-WHT</t>
  </si>
  <si>
    <t>BONE-AC-RUBBER-P15-GRY</t>
  </si>
  <si>
    <t>BONE-AC-T1-BLK</t>
  </si>
  <si>
    <t>BONE-AC-T1-GRY</t>
  </si>
  <si>
    <t>BONE-AC-T1-SLV</t>
  </si>
  <si>
    <t>BONE-ACE-E02-STAND-GRY</t>
  </si>
  <si>
    <t>BONE-ACE-E02-STAND-SLV</t>
  </si>
  <si>
    <t>BONE-ACE-P86-STAND-GRY</t>
  </si>
  <si>
    <t>BONE-ACE-X51-BLK</t>
  </si>
  <si>
    <t>BONE-ACE-X51-WHT</t>
  </si>
  <si>
    <t>BONE-ACE-X68-BLK</t>
  </si>
  <si>
    <t>BONE-ACE-X68-WHT</t>
  </si>
  <si>
    <t>BONE-MOUNT-Z05-BIKE-GRY</t>
  </si>
  <si>
    <t>BONE-MOUNT-Z05-BIKE-SLV</t>
  </si>
  <si>
    <t>BONE-PC-M1-i14Pro-GRY</t>
  </si>
  <si>
    <t>BONE-PC-M1-i14Pro-SLV</t>
  </si>
  <si>
    <t>BONE-PC-M1-i14ProMax-GRY</t>
  </si>
  <si>
    <t>BONE-PC-M1-i14ProMax-SLV</t>
  </si>
  <si>
    <t>BONE-STAND-T8-ADJ-BLK</t>
  </si>
  <si>
    <t>BONE-STAND-T8-ADJ-WHT</t>
  </si>
  <si>
    <t>CK-LC-MATT-MbookAir/13(20)-BLK</t>
  </si>
  <si>
    <t>CK-LC-MATT-MbookAir/13(20)-CLR</t>
  </si>
  <si>
    <t>CK-LC-MATT-MbookAir/13(20)-CLR/BLK</t>
  </si>
  <si>
    <t>CK-LC-MATT-MbookAir/13(20)-CLR/GRY</t>
  </si>
  <si>
    <t>CK-LC-MATT-MbookAir/13(22)-BLK</t>
  </si>
  <si>
    <t>CK-LC-MATT-MbookAir/13(22)-CLR</t>
  </si>
  <si>
    <t>CK-LC-MATT-MbookAir/13(22)-CLR/BLK</t>
  </si>
  <si>
    <t>CK-LC-MATT-MbookAir/13(22)-CLR/GRY</t>
  </si>
  <si>
    <t>CK-LC-MATT-MbookAir/15(23)-BLK</t>
  </si>
  <si>
    <t>CK-LC-MATT-MbookAir/15(23)-CLR</t>
  </si>
  <si>
    <t>CK-LC-MATT-MbookAir/15(23)-CLR/BLK</t>
  </si>
  <si>
    <t>CK-LC-MATT-MbookPro/13(16-19)-BLK</t>
  </si>
  <si>
    <t>CK-LC-MATT-MbookPro/13(16-19)-CLR</t>
  </si>
  <si>
    <t>CK-LC-MATT-MbookPro/13(16-19)-CLR/BLK</t>
  </si>
  <si>
    <t>CK-LC-MATT-MbookPro/13(16-19)-CLR/GRY</t>
  </si>
  <si>
    <t>CK-LC-MATT-MbookPro/14(21)-BLK</t>
  </si>
  <si>
    <t>CK-LC-MATT-MbookPro/14(21)-CLR</t>
  </si>
  <si>
    <t>CK-LC-MATT-MbookPro/14(21)-CLR/BLK</t>
  </si>
  <si>
    <t>CK-LC-MATT-MbookPro/14(21)-CLR/GRY</t>
  </si>
  <si>
    <t>CK-LC-MATT-MbookPro/16(21)-BLK</t>
  </si>
  <si>
    <t>CK-LC-MATT-MbookPro/16(21)-CLR/BLK</t>
  </si>
  <si>
    <t>CK-LC-MATT-MbookPro/16(21)-CLR/GRY</t>
  </si>
  <si>
    <t>CK-PC-ABAG-iP17-BLK</t>
  </si>
  <si>
    <t>CK-PC-ABAG-iP17-GRY</t>
  </si>
  <si>
    <t>CK-PC-ABAG-iP17Air-BLK</t>
  </si>
  <si>
    <t>CK-PC-ABAG-iP17Air-GRY</t>
  </si>
  <si>
    <t>CK-PC-ABAG-iP17Pro-BLK</t>
  </si>
  <si>
    <t>CK-PC-ABAG-iP17Pro-GRY</t>
  </si>
  <si>
    <t>CK-PC-ABAG-iP17ProMax-GRY</t>
  </si>
  <si>
    <t>DDC-LAC-BSNE-Bag/13inch-BLK</t>
  </si>
  <si>
    <t>DDC-LAC-BSNE-Bag/13inch-BRW</t>
  </si>
  <si>
    <t>DDC-LAC-BSNE-Bag/13inch-CCD/BLK</t>
  </si>
  <si>
    <t>DDC-LAC-BSNE-Bag/13inch-CCD/BRW</t>
  </si>
  <si>
    <t>DDC-LAC-BSNE-Bag/13inch-SPA/GRY</t>
  </si>
  <si>
    <t>DDC-LAC-BSNE-Bag/15inch-BLK</t>
  </si>
  <si>
    <t>DDC-LAC-BSNE-Bag/15inch-BRW</t>
  </si>
  <si>
    <t>DDC-LAC-BSNE-Bag/15inch-CCD/BLK</t>
  </si>
  <si>
    <t>DDC-LAC-BSNE-Bag/15inch-CCD/BRW</t>
  </si>
  <si>
    <t>DDC-LAC-BSNE-Bag/15inch-SPA/GRY</t>
  </si>
  <si>
    <t>DDC-LAC-CROC-Bag/13inch-BLK</t>
  </si>
  <si>
    <t>DDC-LAC-CROC-Bag/13inch-BRW</t>
  </si>
  <si>
    <t>DDC-LAC-KC-MbookAir/13(18)-BLK</t>
  </si>
  <si>
    <t>DDC-LAC-KC-MbookAir/13(18)-CLR</t>
  </si>
  <si>
    <t>DDC-LAC-KC-MbookAir/13(20)-BLK</t>
  </si>
  <si>
    <t>DDC-LAC-KC-MbookPro/13(16/19)-BLK</t>
  </si>
  <si>
    <t>DDC-LAC-TPAD-MbookAir/13(18)-CLR</t>
  </si>
  <si>
    <t>DDC-LAC-TPAD-MbookAir/15(23)-CLR</t>
  </si>
  <si>
    <t>DDC-LAC-TPAD-MbookPro/13(16-19)-CLR</t>
  </si>
  <si>
    <t>DDC-LAC-TPAD-MbookPro/14(21)-CLR</t>
  </si>
  <si>
    <t>DDC-LAC-TPAD-MbookPro/15(16-19)-CLR</t>
  </si>
  <si>
    <t>DDC-LAC-TPAD-MbookPro/16(19-20)-CLR</t>
  </si>
  <si>
    <t>DDC-LC-CARB-MbookAir/13(18)-BLK</t>
  </si>
  <si>
    <t>DDC-LC-CARB-MbookAir/13(18)-WHT</t>
  </si>
  <si>
    <t>DDC-LC-CARB-MbookAir/13(22)-BLK</t>
  </si>
  <si>
    <t>DDC-LC-CARB-MbookAir/15(23)-BLK</t>
  </si>
  <si>
    <t>DDC-LC-CARB-MbookPro/13(16-19)-BLK</t>
  </si>
  <si>
    <t>DDC-LC-CARB-MbookPro/13(16-19)-DAK/GRN</t>
  </si>
  <si>
    <t>DDC-LC-CARB-MbookPro/13(16-19)-MSL/RED</t>
  </si>
  <si>
    <t>DDC-LC-CARB-MbookPro/14(21)-BLK</t>
  </si>
  <si>
    <t>DDC-LC-CARB-MbookPro/16(21)-BLK</t>
  </si>
  <si>
    <t>DDC-LC-CREM-MbookAir/13(18)-LAV/GRY</t>
  </si>
  <si>
    <t>DDC-LC-CREM-MbookAir/13(18)-ROK/GRY</t>
  </si>
  <si>
    <t>DDC-LC-CREM-MbookAir/13(22)-LAV/GRY</t>
  </si>
  <si>
    <t>DDC-LC-CREM-MbookAir/13(22)-ROK/GRY</t>
  </si>
  <si>
    <t>DDC-LC-CREM-MbookAir/15(23)-LAV/GRY</t>
  </si>
  <si>
    <t>DDC-LC-CREM-MbookAir/15(23)-ROK/GRY</t>
  </si>
  <si>
    <t>DDC-LC-CREM-MbookPro/13(16-19)-CRM/YLW</t>
  </si>
  <si>
    <t>DDC-LC-CREM-MbookPro/13(16-19)-LAV/GRY</t>
  </si>
  <si>
    <t>DDC-LC-CREM-MbookPro/13(16-19)-ROK/GRY</t>
  </si>
  <si>
    <t>DDC-LC-CREM-MbookPro/14(21)-CRM/YLW</t>
  </si>
  <si>
    <t>DDC-LC-CREM-MbookPro/14(21)-LAV/GRY</t>
  </si>
  <si>
    <t>DDC-LC-CREM-MbookPro/14(21)-ROK/GRY</t>
  </si>
  <si>
    <t>DDC-LC-CREM-MbookPro/16(21)-CRM/GRN</t>
  </si>
  <si>
    <t>DDC-LC-CREM-MbookPro/16(21)-CRM/PNK</t>
  </si>
  <si>
    <t>DDC-LC-CREM-MbookPro/16(21)-CRM/YLW</t>
  </si>
  <si>
    <t>DDC-LC-CREM-MbookPro/16(21)-LAV/GRY</t>
  </si>
  <si>
    <t>DDC-LC-CREM-MbookPro/16(21)-ROK/GRY</t>
  </si>
  <si>
    <t>DDC-LC-CRYS-D14(23/24)-BLK</t>
  </si>
  <si>
    <t>DDC-LC-CRYS-D14(23/24)-CLR</t>
  </si>
  <si>
    <t>DDC-LC-CRYS-D16(22/23)-BLK</t>
  </si>
  <si>
    <t>DDC-LC-CRYS-D16(22/23)-CLR</t>
  </si>
  <si>
    <t>DDC-LC-CRYS-D16(24)-BLK</t>
  </si>
  <si>
    <t>DDC-LC-CRYS-D16(24)-CLR</t>
  </si>
  <si>
    <t>DDC-LC-CRYS-MB14(24)-BLK</t>
  </si>
  <si>
    <t>DDC-LC-CRYS-MB14(24)-CLR</t>
  </si>
  <si>
    <t>DDC-LC-CRYS-MB16S-BLK</t>
  </si>
  <si>
    <t>DDC-LC-CRYS-MB16S-CLR</t>
  </si>
  <si>
    <t>DDC-LC-CRYS-MagicBook14(22)-BLK</t>
  </si>
  <si>
    <t>DDC-LC-CRYS-MagicBook14(22)-CLR</t>
  </si>
  <si>
    <t>DDC-LC-CRYS-MateBook14(21)-BLK</t>
  </si>
  <si>
    <t>DDC-LC-CRYS-MateBook14(21)-CLR</t>
  </si>
  <si>
    <t>DDC-LC-CRYS-MateBook14s(21)-BLK</t>
  </si>
  <si>
    <t>DDC-LC-CRYS-MateBookD14-BLK</t>
  </si>
  <si>
    <t>DDC-LC-CRYS-MateBookD14-CLR</t>
  </si>
  <si>
    <t>DDC-LC-CRYS-MateBookD15-BLK</t>
  </si>
  <si>
    <t>DDC-LC-CRYS-MateBookD15-CLR</t>
  </si>
  <si>
    <t>DDC-LC-CRYS-MateBookXPro(20)-CLR</t>
  </si>
  <si>
    <t>DDC-LC-CRYS-MbookAir/13(18)-BLK</t>
  </si>
  <si>
    <t>DDC-LC-CRYS-MbookAir/13(18)-GRY</t>
  </si>
  <si>
    <t>DDC-LC-CRYS-MbookAir/13(22)-BLK</t>
  </si>
  <si>
    <t>DDC-LC-CRYS-MbookAir/13(22)-CLR</t>
  </si>
  <si>
    <t>DDC-LC-CRYS-MbookAir/13(22)-PRP</t>
  </si>
  <si>
    <t>DDC-LC-CRYS-MbookAir/15(23)-BLK</t>
  </si>
  <si>
    <t>DDC-LC-CRYS-MbookAir/15(23)-CLR</t>
  </si>
  <si>
    <t>DDC-LC-CRYS-MbookPro/13(16-19)-BLK</t>
  </si>
  <si>
    <t>DDC-LC-CRYS-MbookPro/13(16-19)-CLR</t>
  </si>
  <si>
    <t>DDC-LC-CRYS-MbookPro/13(16-19)-GRY</t>
  </si>
  <si>
    <t>DDC-LC-CRYS-MbookPro/13(16-19)-LIG/BLU</t>
  </si>
  <si>
    <t>DDC-LC-CRYS-MbookPro/13(16-19)-PRP</t>
  </si>
  <si>
    <t>DDC-LC-CRYS-MbookPro/14(21)-BLK</t>
  </si>
  <si>
    <t>DDC-LC-CRYS-MbookPro/14(21)-GRY</t>
  </si>
  <si>
    <t>DDC-LC-CRYS-MbookPro/16(21)-BLK</t>
  </si>
  <si>
    <t>DDC-LC-CRYS-MbookPro/16(21)-CLR</t>
  </si>
  <si>
    <t>DDC-LC-CRYS-MbookPro/16(21)-GRY</t>
  </si>
  <si>
    <t>DDC-LC-CRYS-SL2036-BLK</t>
  </si>
  <si>
    <t>DDC-LC-CRYS-SL2036-CLR</t>
  </si>
  <si>
    <t>DDC-LC-CRYS-SL2037-BLK</t>
  </si>
  <si>
    <t>DDC-LC-CRYS-SL2037-CLR</t>
  </si>
  <si>
    <t>DDC-LC-CRYS-Surface15-BLK</t>
  </si>
  <si>
    <t>DDC-LC-CRYS-Surface15-CLR</t>
  </si>
  <si>
    <t>DDC-LC-CRYS-Surface2(A)-BLK</t>
  </si>
  <si>
    <t>DDC-LC-CRYS-Surface3(S)-BLK</t>
  </si>
  <si>
    <t>DDC-LC-CRYS-Surface3(S)-WHT</t>
  </si>
  <si>
    <t>DDC-LC-CRYS-SurfaceGo/12.4-BLK</t>
  </si>
  <si>
    <t>DDC-LC-CRYS-SurfaceGo/12.4-CLR</t>
  </si>
  <si>
    <t>DDC-LC-MATT-D14(23/24)-BLK</t>
  </si>
  <si>
    <t>DDC-LC-MATT-D14(23/24)-WHT</t>
  </si>
  <si>
    <t>DDC-LC-MATT-D16(22/23)-WHT</t>
  </si>
  <si>
    <t>DDC-LC-MATT-D16(24)-BLK</t>
  </si>
  <si>
    <t>DDC-LC-MATT-D16(24)-WHT</t>
  </si>
  <si>
    <t>DDC-LC-MATT-MB14(24)-BLK</t>
  </si>
  <si>
    <t>DDC-LC-MATT-MB14(24)-WHT</t>
  </si>
  <si>
    <t>DDC-LC-MATT-MB16S-BLK</t>
  </si>
  <si>
    <t>DDC-LC-MATT-MB16S-WHT</t>
  </si>
  <si>
    <t>DDC-LC-MATT-MagicBook14(22)-BLK</t>
  </si>
  <si>
    <t>DDC-LC-MATT-MagicBook14(22)-WHT</t>
  </si>
  <si>
    <t>DDC-LC-MATT-MateBook14(20)-BLK</t>
  </si>
  <si>
    <t>DDC-LC-MATT-MateBook14(20)-WHT</t>
  </si>
  <si>
    <t>DDC-LC-MATT-MateBook14(21)-WHT</t>
  </si>
  <si>
    <t>DDC-LC-MATT-MateBook14s(21)-BLK</t>
  </si>
  <si>
    <t>DDC-LC-MATT-MateBook14s(21)-WHT</t>
  </si>
  <si>
    <t>DDC-LC-MATT-MateBookD14-BLK</t>
  </si>
  <si>
    <t>DDC-LC-MATT-MateBookD14-WHT</t>
  </si>
  <si>
    <t>DDC-LC-MATT-MateBookD15-BLK</t>
  </si>
  <si>
    <t>DDC-LC-MATT-MateBookD15-WHT</t>
  </si>
  <si>
    <t>DDC-LC-MATT-MbookAir/13(18)-BLK</t>
  </si>
  <si>
    <t>DDC-LC-MATT-MbookAir/13(18)-GRY</t>
  </si>
  <si>
    <t>DDC-LC-MATT-MbookAir/13(18)-MID/GRN</t>
  </si>
  <si>
    <t>DDC-LC-MATT-MbookAir/13(18)-NAV/BLU</t>
  </si>
  <si>
    <t>DDC-LC-MATT-MbookAir/13(22)-BLK</t>
  </si>
  <si>
    <t>DDC-LC-MATT-MbookAir/13(22)-NAV/BLU</t>
  </si>
  <si>
    <t>DDC-LC-MATT-MbookAir/13(22)-PRP</t>
  </si>
  <si>
    <t>DDC-LC-MATT-MbookAir/13(22)-WHT</t>
  </si>
  <si>
    <t>DDC-LC-MATT-MbookAir/15(23)-BLK</t>
  </si>
  <si>
    <t>DDC-LC-MATT-MbookAir/15(23)-CLR</t>
  </si>
  <si>
    <t>DDC-LC-MATT-MbookPro/13(16-19)-GRY</t>
  </si>
  <si>
    <t>DDC-LC-MATT-MbookPro/13(16-19)-MID/GRN</t>
  </si>
  <si>
    <t>DDC-LC-MATT-MbookPro/13(16-19)-NAV/BLU</t>
  </si>
  <si>
    <t>DDC-LC-MATT-MbookPro/13(16-19)-WHT</t>
  </si>
  <si>
    <t>DDC-LC-MATT-MbookPro/14(21)-GRY</t>
  </si>
  <si>
    <t>DDC-LC-MATT-MbookPro/14(21)-MID/GRN</t>
  </si>
  <si>
    <t>DDC-LC-MATT-MbookPro/14(21)-NAV/BLU</t>
  </si>
  <si>
    <t>DDC-LC-MATT-MbookPro/14(21)-WHT</t>
  </si>
  <si>
    <t>DDC-LC-MATT-MbookPro/16(21)-GRY</t>
  </si>
  <si>
    <t>DDC-LC-MATT-MbookPro/16(21)-MID/GRN</t>
  </si>
  <si>
    <t>DDC-LC-MATT-MbookPro/16(21)-NAV/BLU</t>
  </si>
  <si>
    <t>DDC-LC-MATT-MbookPro/16(21)-WHT</t>
  </si>
  <si>
    <t>DDC-LC-MATT-SL2036-BLK</t>
  </si>
  <si>
    <t>DDC-LC-MATT-SL2036-CLR</t>
  </si>
  <si>
    <t>DDC-LC-MATT-SL2037-BLK</t>
  </si>
  <si>
    <t>DDC-LC-MATT-SL2037-CLR</t>
  </si>
  <si>
    <t>DDC-LC-MATT-Surface15-BLK</t>
  </si>
  <si>
    <t>DDC-LC-MATT-Surface15-WHT</t>
  </si>
  <si>
    <t>DDC-LC-MATT-Surface2(A)-BLK</t>
  </si>
  <si>
    <t>DDC-LC-MATT-Surface2(A)-WHT</t>
  </si>
  <si>
    <t>DDC-LC-MATT-Surface3(S)-BLK</t>
  </si>
  <si>
    <t>DDC-LC-MATT-Surface3(S)-WHT</t>
  </si>
  <si>
    <t>DDC-LC-MATT-SurfaceGo/12.4-BLK</t>
  </si>
  <si>
    <t>DDC-LC-MATT-SurfaceGo/12.4-CLR</t>
  </si>
  <si>
    <t>DDC-LC-SAND-MbookAir/13(18)-BLK</t>
  </si>
  <si>
    <t>DDC-LC-SAND-MbookAir/13(18)-CLR</t>
  </si>
  <si>
    <t>DDC-LC-SAND-MbookAir/13(22)-BLK</t>
  </si>
  <si>
    <t>DDC-LC-SAND-MbookAir/13(22)-CLR</t>
  </si>
  <si>
    <t>DDC-LC-SAND-MbookAir/15(23)-BLK</t>
  </si>
  <si>
    <t>DDC-LC-SAND-MbookAir/15(23)-CLR</t>
  </si>
  <si>
    <t>DDC-LC-SAND-MbookPro/13(16-19)-BLK</t>
  </si>
  <si>
    <t>DDC-LC-SAND-MbookPro/13(16-19)-CLR</t>
  </si>
  <si>
    <t>DDC-LC-SAND-MbookPro/14(21)-BLK</t>
  </si>
  <si>
    <t>DDC-LC-SAND-MbookPro/14(21)-CLR</t>
  </si>
  <si>
    <t>DDC-LC-SAND-MbookPro/16(21)-BLK</t>
  </si>
  <si>
    <t>DDC-LC-SAND-MbookPro/16(21)-CLR</t>
  </si>
  <si>
    <t>DDC-WTF-AR-MbookAir/15(23)-CLR</t>
  </si>
  <si>
    <t>DDC-WTF-AR-MbookPro/14(21)-CLR</t>
  </si>
  <si>
    <t>DDC-WTF-AR-MbookPro/15(16-19)-CLR</t>
  </si>
  <si>
    <t>DDC-WTF-AR-MbookPro/16(19-20)-CLR</t>
  </si>
  <si>
    <t>DIGI-PC-AURA-i11-TP</t>
  </si>
  <si>
    <t>DIGI-PC-AURA-i11-TPBLK</t>
  </si>
  <si>
    <t>DIGI-PC-AURA-i11MAX-TP</t>
  </si>
  <si>
    <t>DIGI-PC-AURA-i11PRO-TP</t>
  </si>
  <si>
    <t>DIGI-PC-AURA-i11PRO-TPBLK</t>
  </si>
  <si>
    <t>DIGI-PC-AURA-iXR-TP</t>
  </si>
  <si>
    <t>DIGI-PC-AURA-iXR-TPBLK</t>
  </si>
  <si>
    <t>DIGI-PC-AURA-iXS-TP</t>
  </si>
  <si>
    <t>DIGI-PC-AURA-iXS-TPBLK</t>
  </si>
  <si>
    <t>DIGI-PC-AURA-iXSMAX-TP</t>
  </si>
  <si>
    <t>DIGI-PC-AURA-iXSMAX-TPBLK</t>
  </si>
  <si>
    <t>DUX-AAC-APP-BLK</t>
  </si>
  <si>
    <t>DUX-AAC-APP-BLU</t>
  </si>
  <si>
    <t>DUX-AAC-APP-RED</t>
  </si>
  <si>
    <t>DUX-AAC-PECA-AP1/2-BLK</t>
  </si>
  <si>
    <t>DUX-AAC-PECA-AP1/2-BLU</t>
  </si>
  <si>
    <t>DUX-AAC-PECA-AP1/2-PRP</t>
  </si>
  <si>
    <t>DUX-AAC-PECA-AP1/2-WHT</t>
  </si>
  <si>
    <t>DUX-AAC-PECA-AP3-BLK</t>
  </si>
  <si>
    <t>DUX-AAC-PECA-AP3-BLU</t>
  </si>
  <si>
    <t>DUX-AAC-PECA-AP3-PRP</t>
  </si>
  <si>
    <t>DUX-AAC-PECA-AP3-WHT</t>
  </si>
  <si>
    <t>DUX-AAC-PECA-APP-BLK</t>
  </si>
  <si>
    <t>DUX-AAC-PECA-APP-BLU</t>
  </si>
  <si>
    <t>DUX-AAC-PECA-APP-PRP</t>
  </si>
  <si>
    <t>DUX-AAC-PECA-APP-WHT</t>
  </si>
  <si>
    <t>DUX-AAC-PECA-APP2-BLK</t>
  </si>
  <si>
    <t>DUX-AAC-PECA-APP2-BLU</t>
  </si>
  <si>
    <t>DUX-AAC-PECA-APP2-PRP</t>
  </si>
  <si>
    <t>DUX-AAC-PECA-APP2-WHT</t>
  </si>
  <si>
    <t>DUX-AAC-PECB-AP1/2-BLK</t>
  </si>
  <si>
    <t>DUX-AAC-PECB-AP3-BLK</t>
  </si>
  <si>
    <t>DUX-AAC-PECB-APP-BLK</t>
  </si>
  <si>
    <t>DUX-AAC-PECB-APP2-BLK</t>
  </si>
  <si>
    <t>DUX-AAC-PECC-AP1/2-BLK/BLK</t>
  </si>
  <si>
    <t>DUX-AAC-PECC-AP1/2-BLU/BLK</t>
  </si>
  <si>
    <t>DUX-AAC-PECC-AP1/2-BLU/WHT</t>
  </si>
  <si>
    <t>DUX-AAC-PECC-AP1/2-WHT/GRY</t>
  </si>
  <si>
    <t>DUX-AAC-PECC-AP1/2-WHT/PNK</t>
  </si>
  <si>
    <t>DUX-AAC-PECC-AP1/2-WHT/WHT</t>
  </si>
  <si>
    <t>DUX-AAC-PECC-AP3-BLK/BLK</t>
  </si>
  <si>
    <t>DUX-AAC-PECC-AP3-BLU/BLK</t>
  </si>
  <si>
    <t>DUX-AAC-PECC-AP3-BLU/WHT</t>
  </si>
  <si>
    <t>DUX-AAC-PECC-AP3-WHT/GRY</t>
  </si>
  <si>
    <t>DUX-AAC-PECC-AP3-WHT/PNK</t>
  </si>
  <si>
    <t>DUX-AAC-PECC-AP3-WHT/WHT</t>
  </si>
  <si>
    <t>DUX-AAC-PECC-APP-BLK/BLK</t>
  </si>
  <si>
    <t>DUX-AAC-PECC-APP-BLU/BLK</t>
  </si>
  <si>
    <t>DUX-AAC-PECC-APP-BLU/WHT</t>
  </si>
  <si>
    <t>DUX-AAC-PECC-APP-WHT/GRY</t>
  </si>
  <si>
    <t>DUX-AAC-PECC-APP-WHT/PNK</t>
  </si>
  <si>
    <t>DUX-AAC-PECC-APP-WHT/WHT</t>
  </si>
  <si>
    <t>DUX-AAC-PECC-APP2-BLK/BLK</t>
  </si>
  <si>
    <t>DUX-AAC-PECC-APP2-BLU/BLK</t>
  </si>
  <si>
    <t>DUX-AAC-PECC-APP2-BLU/WHT</t>
  </si>
  <si>
    <t>DUX-AAC-PECC-APP2-WHT/GRY</t>
  </si>
  <si>
    <t>DUX-AAC-PECC-APP2-WHT/PNK</t>
  </si>
  <si>
    <t>DUX-AAC-PECC-APP2-WHT/WHT</t>
  </si>
  <si>
    <t>DUX-AAC-PECD-AP1/2-BLK</t>
  </si>
  <si>
    <t>DUX-AAC-PECD-AP1/2-BLU</t>
  </si>
  <si>
    <t>DUX-AAC-PECD-AP1/2-PNK</t>
  </si>
  <si>
    <t>DUX-AAC-PECD-AP1/2-PRP</t>
  </si>
  <si>
    <t>DUX-AAC-PECD-AP1/2-WHT</t>
  </si>
  <si>
    <t>DUX-AAC-PECD-AP3-BLK</t>
  </si>
  <si>
    <t>DUX-AAC-PECD-AP3-BLU</t>
  </si>
  <si>
    <t>DUX-AAC-PECD-AP3-PNK</t>
  </si>
  <si>
    <t>DUX-AAC-PECD-AP3-PRP</t>
  </si>
  <si>
    <t>DUX-AAC-PECD-AP3-WHT</t>
  </si>
  <si>
    <t>DUX-AAC-PECD-APP-BLK</t>
  </si>
  <si>
    <t>DUX-AAC-PECD-APP-BLU</t>
  </si>
  <si>
    <t>DUX-AAC-PECD-APP-PNK</t>
  </si>
  <si>
    <t>DUX-AAC-PECD-APP-PRP</t>
  </si>
  <si>
    <t>DUX-AAC-PECD-APP-WHT</t>
  </si>
  <si>
    <t>DUX-AAC-PECD-APP2-BLK</t>
  </si>
  <si>
    <t>DUX-AAC-PECD-APP2-BLU</t>
  </si>
  <si>
    <t>DUX-AAC-PECD-APP2-PNK</t>
  </si>
  <si>
    <t>DUX-AAC-PECD-APP2-PRP</t>
  </si>
  <si>
    <t>DUX-AAC-PECD-APP2-WHT</t>
  </si>
  <si>
    <t>DUX-AAC-PECF-APP-BLK</t>
  </si>
  <si>
    <t>DUX-AAC-PECF-APP-WHT</t>
  </si>
  <si>
    <t>DUX-AAC-PECF-APP2-BLK</t>
  </si>
  <si>
    <t>DUX-AAC-PECF-APP2-WHT</t>
  </si>
  <si>
    <t>DUX-AAC-PECI-AP1/2-BLK</t>
  </si>
  <si>
    <t>DUX-AAC-PECI-AP1/2-GRN</t>
  </si>
  <si>
    <t>DUX-AAC-PECI-AP3-BLK</t>
  </si>
  <si>
    <t>DUX-AAC-PECI-AP3-GRN</t>
  </si>
  <si>
    <t>DUX-AAC-PECI-APP-BLK</t>
  </si>
  <si>
    <t>DUX-AAC-PECI-APP-GRN</t>
  </si>
  <si>
    <t>DUX-AAC-PECI-APP2-BLK</t>
  </si>
  <si>
    <t>DUX-AAC-PECI-APP2-GRN</t>
  </si>
  <si>
    <t>DUX-AAC-PECL-AP1/2-BLU</t>
  </si>
  <si>
    <t>DUX-AAC-PECL-AP1/2-CLR</t>
  </si>
  <si>
    <t>DUX-AAC-PECL-AP1/2-CLR/BLK</t>
  </si>
  <si>
    <t>DUX-AAC-PECL-AP1/2-GRY</t>
  </si>
  <si>
    <t>DUX-AAC-PECL-AP1/2-PNK</t>
  </si>
  <si>
    <t>DUX-AAC-PECL-AP1/2-PRP</t>
  </si>
  <si>
    <t>DUX-AAC-PECL-AP3-BLU</t>
  </si>
  <si>
    <t>DUX-AAC-PECL-AP3-CLR</t>
  </si>
  <si>
    <t>DUX-AAC-PECL-AP3-CLR/BLK</t>
  </si>
  <si>
    <t>DUX-AAC-PECL-AP3-GRY</t>
  </si>
  <si>
    <t>DUX-AAC-PECL-AP3-PNK</t>
  </si>
  <si>
    <t>DUX-AAC-PECL-AP3-PRP</t>
  </si>
  <si>
    <t>DUX-AAC-PECL-AP4-CLR</t>
  </si>
  <si>
    <t>DUX-AAC-PECL-AP4-CLR/BLK</t>
  </si>
  <si>
    <t>DUX-AAC-PECL-AP4-GRY</t>
  </si>
  <si>
    <t>DUX-AAC-PECL-APP-BLU</t>
  </si>
  <si>
    <t>DUX-AAC-PECL-APP-CLR</t>
  </si>
  <si>
    <t>DUX-AAC-PECL-APP-CLR/BLK</t>
  </si>
  <si>
    <t>DUX-AAC-PECL-APP-GRY</t>
  </si>
  <si>
    <t>DUX-AAC-PECL-APP-PNK</t>
  </si>
  <si>
    <t>DUX-AAC-PECL-APP-PRP</t>
  </si>
  <si>
    <t>DUX-AAC-PECL-APP2-BLU</t>
  </si>
  <si>
    <t>DUX-AAC-PECL-APP2-CLR</t>
  </si>
  <si>
    <t>DUX-AAC-PECL-APP2-CLR/BLK</t>
  </si>
  <si>
    <t>DUX-AAC-PECL-APP2-GRY</t>
  </si>
  <si>
    <t>DUX-AAC-PECL-APP2-PNK</t>
  </si>
  <si>
    <t>DUX-AAC-PECL-APP2-PRP</t>
  </si>
  <si>
    <t>DUX-AAC-PECL-APP3-CLR</t>
  </si>
  <si>
    <t>DUX-AAC-PECL-APP3-CLR/BLK</t>
  </si>
  <si>
    <t>DUX-AAC-PECL-APP3-GRY</t>
  </si>
  <si>
    <t>DUX-AAC-PECL-APP3-PNK</t>
  </si>
  <si>
    <t>DUX-AAC-PECN-AP1/2-BLK/BLK</t>
  </si>
  <si>
    <t>DUX-AAC-PECN-AP1/2-BLU/BLK</t>
  </si>
  <si>
    <t>DUX-AAC-PECN-AP1/2-PNK/WHT</t>
  </si>
  <si>
    <t>DUX-AAC-PECN-AP1/2-PRP/WHT</t>
  </si>
  <si>
    <t>DUX-AAC-PECN-AP1/2-RED/WHT</t>
  </si>
  <si>
    <t>DUX-AAC-PECN-AP1/2-WWHT</t>
  </si>
  <si>
    <t>DUX-AAC-PECN-AP3-BLK/BLK</t>
  </si>
  <si>
    <t>DUX-AAC-PECN-AP3-BLU/BLK</t>
  </si>
  <si>
    <t>DUX-AAC-PECN-AP3-PNK/WHT</t>
  </si>
  <si>
    <t>DUX-AAC-PECN-AP3-PRP/WHT</t>
  </si>
  <si>
    <t>DUX-AAC-PECN-AP3-RED/WHT</t>
  </si>
  <si>
    <t>DUX-AAC-PECN-AP3-WWHT</t>
  </si>
  <si>
    <t>DUX-AAC-PECN-APP-BLK/BLK</t>
  </si>
  <si>
    <t>DUX-AAC-PECN-APP-BLU/BLK</t>
  </si>
  <si>
    <t>DUX-AAC-PECN-APP-PNK/WHT</t>
  </si>
  <si>
    <t>DUX-AAC-PECN-APP-PRP/WHT</t>
  </si>
  <si>
    <t>DUX-AAC-PECN-APP-RED/WHT</t>
  </si>
  <si>
    <t>DUX-AAC-PECN-APP-WWHT</t>
  </si>
  <si>
    <t>DUX-AAC-PECN-APP2-BLK/BLK</t>
  </si>
  <si>
    <t>DUX-AAC-PECN-APP2-BLU/BLK</t>
  </si>
  <si>
    <t>DUX-AAC-PECN-APP2-PNK/WHT</t>
  </si>
  <si>
    <t>DUX-AAC-PECN-APP2-PRP/WHT</t>
  </si>
  <si>
    <t>DUX-AAC-PECN-APP2-RED/WHT</t>
  </si>
  <si>
    <t>DUX-AAC-PECN-APP2-WWHT</t>
  </si>
  <si>
    <t>DUX-AAC-PECO-AP1/2-BLK</t>
  </si>
  <si>
    <t>DUX-AAC-PECO-AP1/2-BLK/YLW</t>
  </si>
  <si>
    <t>DUX-AAC-PECO-AP3-BLK</t>
  </si>
  <si>
    <t>DUX-AAC-PECO-AP3-BLK/YLW</t>
  </si>
  <si>
    <t>DUX-AAC-PECO-APP-BLK</t>
  </si>
  <si>
    <t>DUX-AAC-PECO-APP-BLK/YLW</t>
  </si>
  <si>
    <t>DUX-AAC-PECO-APP2-BLK</t>
  </si>
  <si>
    <t>DUX-AAC-PECO-APP2-BLK/YLW</t>
  </si>
  <si>
    <t>DUX-AAC-PECP-AP4-BLK</t>
  </si>
  <si>
    <t>DUX-AAC-PECP-AP4-BLU</t>
  </si>
  <si>
    <t>DUX-AAC-PECP-AP4-GRN</t>
  </si>
  <si>
    <t>DUX-AAC-PECP-AP4-WHT</t>
  </si>
  <si>
    <t>DUX-AAC-PECP-APP2-BLK</t>
  </si>
  <si>
    <t>DUX-AAC-PECP-APP2-BLU</t>
  </si>
  <si>
    <t>DUX-AAC-PECP-APP2-GRN</t>
  </si>
  <si>
    <t>DUX-AAC-PECP-APP2-WHT</t>
  </si>
  <si>
    <t>DUX-AAC-PECQ-AP4-BLK</t>
  </si>
  <si>
    <t>DUX-AAC-PECQ-AP4-WHT</t>
  </si>
  <si>
    <t>DUX-AAC-PECQ-AP4-WHT/BLU</t>
  </si>
  <si>
    <t>DUX-AAC-PECQ-AP4-WHT/PNK</t>
  </si>
  <si>
    <t>DUX-AAC-PECQ-APP2-BLK</t>
  </si>
  <si>
    <t>DUX-AAC-PECQ-APP2-WHT</t>
  </si>
  <si>
    <t>DUX-AAC-PECQ-APP2-WHT/BLU</t>
  </si>
  <si>
    <t>DUX-AAC-PECQ-APP2-WHT/PNK</t>
  </si>
  <si>
    <t>DUX-AAC-PECQ-APP3-BLK</t>
  </si>
  <si>
    <t>DUX-AAC-PECQ-APP3-WHT</t>
  </si>
  <si>
    <t>DUX-AAC-PECQ-APP3-WHT/BLU</t>
  </si>
  <si>
    <t>DUX-AAC-PECQ-APP3-WHT/PNK</t>
  </si>
  <si>
    <t>DUX-AAC-PECR-AP4-CLR</t>
  </si>
  <si>
    <t>DUX-AAC-PECR-AP4-GRY</t>
  </si>
  <si>
    <t>DUX-AAC-PECR-APP2-CLR</t>
  </si>
  <si>
    <t>DUX-AAC-PECR-APP2-GRY</t>
  </si>
  <si>
    <t>DUX-AAC-PECR-APP3-GRY</t>
  </si>
  <si>
    <t>DUX-AAC-PLEN-Airpods1/2-BLK</t>
  </si>
  <si>
    <t>DUX-AAC-PLEN-Airpods1/2-BLU</t>
  </si>
  <si>
    <t>DUX-AAC-PLEN-AirpodsPro/Pro2-BLK</t>
  </si>
  <si>
    <t>DUX-AAC-PLEN-AirpodsPro/Pro2-BLU</t>
  </si>
  <si>
    <t>DUX-AAC-SECA-SSBuds-BLK</t>
  </si>
  <si>
    <t>DUX-AAC-SECA-SSBuds-LPRP</t>
  </si>
  <si>
    <t>DUX-AAC-SECA-SSBuds-WHT</t>
  </si>
  <si>
    <t>DUX-AAC-SECC-SSBuds-BLK</t>
  </si>
  <si>
    <t>DUX-AAC-SECC-SSBuds-PNK</t>
  </si>
  <si>
    <t>DUX-AAC-SECC-SSBuds-WHT</t>
  </si>
  <si>
    <t>DUX-AAC-SECD-SSBuds-BLK</t>
  </si>
  <si>
    <t>DUX-AAC-SECD-SSBuds-PRP</t>
  </si>
  <si>
    <t>DUX-AAC-SECD-SSBuds-WHT</t>
  </si>
  <si>
    <t>DUX-AAC-SECE-SSBuds-BLK</t>
  </si>
  <si>
    <t>DUX-AAC-SECE-SSBuds-LPRP</t>
  </si>
  <si>
    <t>DUX-AAC-SECE-SSBuds-PNK</t>
  </si>
  <si>
    <t>DUX-AAC-SECE-SSBuds-PRP</t>
  </si>
  <si>
    <t>DUX-AAC-SECE-SSBuds-WHT</t>
  </si>
  <si>
    <t>DUX-AAC-SECF-SSBuds-BLK</t>
  </si>
  <si>
    <t>DUX-AAC-SECF-SSBuds-BLU</t>
  </si>
  <si>
    <t>DUX-AAC-SECF-SSBuds-PRP</t>
  </si>
  <si>
    <t>DUX-AAC-SECF-SSBuds-WHT</t>
  </si>
  <si>
    <t>DUX-AAC-SECG-SSBuds-BLK</t>
  </si>
  <si>
    <t>DUX-AAC-SECG-SSBuds-PRP</t>
  </si>
  <si>
    <t>DUX-AAC-SECG-SSBuds-WHT</t>
  </si>
  <si>
    <t>DUX-AAC-SECH-SSBuds3/Pro-BLK</t>
  </si>
  <si>
    <t>DUX-AAC-SECH-SSBuds3/Pro-WHT</t>
  </si>
  <si>
    <t>DUX-AAC-SECI-SSBuds3/Pro-CLR</t>
  </si>
  <si>
    <t>DUX-AAC-SECI-SSBuds3/Pro-GRY</t>
  </si>
  <si>
    <t>DUX-AAC-SECI-SSBuds3/Pro-PNK</t>
  </si>
  <si>
    <t>DUX-ACE-ARCH-GRY/BLK</t>
  </si>
  <si>
    <t>DUX-ACE-ARCH-KHA</t>
  </si>
  <si>
    <t>DUX-ACE-ARCH-PNK</t>
  </si>
  <si>
    <t>DUX-ACE-ARCH-PRP</t>
  </si>
  <si>
    <t>DUX-ACE-ARCH-WHT/CYA</t>
  </si>
  <si>
    <t>DUX-ACE-CARD-AirTag</t>
  </si>
  <si>
    <t>DUX-ACE-CASE-AirTag-4Pack</t>
  </si>
  <si>
    <t>DUX-ACE-NEVA-WALLET-BLK</t>
  </si>
  <si>
    <t>DUX-ACE-NEVA-WALLET-GRY</t>
  </si>
  <si>
    <t>DUX-ACE-RPM-Tip-WHT</t>
  </si>
  <si>
    <t>DUX-ACE-TPU-AirTag-MIX</t>
  </si>
  <si>
    <t>DUX-BAG-LBDA-13/13.9-BLK</t>
  </si>
  <si>
    <t>DUX-BAG-LBDA-13/13.9-BLU</t>
  </si>
  <si>
    <t>DUX-BAG-LBDA-13/13.9-DGRY</t>
  </si>
  <si>
    <t>DUX-BAG-LBDA-13/13.9-LGRY</t>
  </si>
  <si>
    <t>DUX-BAG-LBDA-14/15.4-BLK</t>
  </si>
  <si>
    <t>DUX-BAG-LBDA-14/15.4-BLU</t>
  </si>
  <si>
    <t>DUX-BAG-LBDA-14/15.4-LGRY</t>
  </si>
  <si>
    <t>DUX-BAG-LBDA-15.5/16-BLK</t>
  </si>
  <si>
    <t>DUX-BAG-LBDA-15.5/16-BLU</t>
  </si>
  <si>
    <t>DUX-BAG-LBDA-15.5/16-DGRY</t>
  </si>
  <si>
    <t>DUX-BAG-LBDA-15.5/16-LGRY</t>
  </si>
  <si>
    <t>DUX-BAG-LBDB-13/13.9-BLK</t>
  </si>
  <si>
    <t>DUX-BAG-LBDB-13/13.9-BLU</t>
  </si>
  <si>
    <t>DUX-BAG-LBDB-13/13.9-DGRY</t>
  </si>
  <si>
    <t>DUX-BAG-LBDB-13/13.9-LGRY</t>
  </si>
  <si>
    <t>DUX-BAG-LBDB-14/15.4-BLK</t>
  </si>
  <si>
    <t>DUX-BAG-LBDB-14/15.4-DGRY</t>
  </si>
  <si>
    <t>DUX-BAG-LBDB-14/15.4-LGRY</t>
  </si>
  <si>
    <t>DUX-BAG-LBDB-15.5/16-BLK</t>
  </si>
  <si>
    <t>DUX-BAG-LBDB-15.5/16-BLU</t>
  </si>
  <si>
    <t>DUX-BAG-LBDB-15.5/16-DGRY</t>
  </si>
  <si>
    <t>DUX-BAG-LBDB-15.5/16-LGRY</t>
  </si>
  <si>
    <t>DUX-BAG-LBDC-13/13.9-BLK</t>
  </si>
  <si>
    <t>DUX-BAG-LBDC-13/13.9-BLU</t>
  </si>
  <si>
    <t>DUX-BAG-LBDC-13/13.9-DGRY</t>
  </si>
  <si>
    <t>DUX-BAG-LBDC-13/13.9-LGRY</t>
  </si>
  <si>
    <t>DUX-BAG-LBDC-14/15.4-BLK</t>
  </si>
  <si>
    <t>DUX-BAG-LBDC-14/15.4-BLU</t>
  </si>
  <si>
    <t>DUX-BAG-LBDC-14/15.4-DGRY</t>
  </si>
  <si>
    <t>DUX-BAG-LBDC-14/15.4-LGRY</t>
  </si>
  <si>
    <t>DUX-BAG-LBDC-15.5/16-BLK</t>
  </si>
  <si>
    <t>DUX-BAG-LBDC-15.5/16-BLU</t>
  </si>
  <si>
    <t>DUX-BAG-LBDC-15.5/16-DGRY</t>
  </si>
  <si>
    <t>DUX-BAG-LBDC-15.5/16-LGRY</t>
  </si>
  <si>
    <t>DUX-BAG-LBTA-13/13.9-BLK</t>
  </si>
  <si>
    <t>DUX-BAG-LBTA-13/13.9-BLU</t>
  </si>
  <si>
    <t>DUX-BAG-LBTA-13/13.9-DGRY</t>
  </si>
  <si>
    <t>DUX-BAG-LBTA-13/13.9-LGRY</t>
  </si>
  <si>
    <t>DUX-BAG-LBTA-14/15.4-BLK</t>
  </si>
  <si>
    <t>DUX-BAG-LBTA-14/15.4-BLU</t>
  </si>
  <si>
    <t>DUX-BAG-LBTA-14/15.4-DGRY</t>
  </si>
  <si>
    <t>DUX-BAG-LBTA-14/15.4-LGRY</t>
  </si>
  <si>
    <t>DUX-BAG-LBTA-15.5/16-BLK</t>
  </si>
  <si>
    <t>DUX-BAG-LBTA-15.5/16-BLU</t>
  </si>
  <si>
    <t>DUX-BAG-LBTA-15.5/16-DGRY</t>
  </si>
  <si>
    <t>DUX-BAG-LBTA-15.5/16-LGRY</t>
  </si>
  <si>
    <t>DUX-CBL-3PCK-TypeC</t>
  </si>
  <si>
    <t>DUX-CBL-3PCK-iOS</t>
  </si>
  <si>
    <t>DUX-CBL-K1-Micro-100</t>
  </si>
  <si>
    <t>DUX-CBL-K1-Micro-200</t>
  </si>
  <si>
    <t>DUX-CBL-K1-Micro-25</t>
  </si>
  <si>
    <t>DUX-CBL-K1-Micro-300</t>
  </si>
  <si>
    <t>DUX-CBL-K1-Micro-50</t>
  </si>
  <si>
    <t>DUX-CBL-K1-TypeC-100</t>
  </si>
  <si>
    <t>DUX-CBL-K1-TypeC-200</t>
  </si>
  <si>
    <t>DUX-CBL-K1-TypeC-25</t>
  </si>
  <si>
    <t>DUX-CBL-K1-TypeC-300</t>
  </si>
  <si>
    <t>DUX-CBL-K1-iOS-100</t>
  </si>
  <si>
    <t>DUX-CBL-K1-iOS-200</t>
  </si>
  <si>
    <t>DUX-CBL-K1-iOS-25</t>
  </si>
  <si>
    <t>DUX-CBL-K1-iOS-300</t>
  </si>
  <si>
    <t>DUX-CBL-K2-TypeC-BLK</t>
  </si>
  <si>
    <t>DUX-CBL-K2-TypeC-RED</t>
  </si>
  <si>
    <t>DUX-CBL-K2-iOS-RED</t>
  </si>
  <si>
    <t>DUX-CBL-K4-iOS-120</t>
  </si>
  <si>
    <t>DUX-CBL-K4-iOS-200</t>
  </si>
  <si>
    <t>DUX-CBL-K5-iOS-WHT</t>
  </si>
  <si>
    <t>DUX-CL-HAWK-i16/Plus-BLK</t>
  </si>
  <si>
    <t>DUX-CL-HAWK-i16/Plus-BLU</t>
  </si>
  <si>
    <t>DUX-CL-HAWK-i16/Plus-GRN</t>
  </si>
  <si>
    <t>DUX-CL-HAWK-i16/Plus-ROS/PNK</t>
  </si>
  <si>
    <t>DUX-CL-HAWK-i16/Plus-SLV</t>
  </si>
  <si>
    <t>DUX-CL-HAWK-i16Pro/Max-BLK</t>
  </si>
  <si>
    <t>DUX-CL-HAWK-i16Pro/Max-DS</t>
  </si>
  <si>
    <t>DUX-CL-HAWK-i16Pro/Max-NT</t>
  </si>
  <si>
    <t>DUX-CL-HAWK-i16Pro/Max-SLV</t>
  </si>
  <si>
    <t>DUX-CL-HAWK-iP17-BLK</t>
  </si>
  <si>
    <t>DUX-CL-HAWK-iP17-DT</t>
  </si>
  <si>
    <t>DUX-CL-HAWK-iP17-MIST</t>
  </si>
  <si>
    <t>DUX-CL-HAWK-iP17-NT</t>
  </si>
  <si>
    <t>DUX-CL-HAWK-iP17-SAGE</t>
  </si>
  <si>
    <t>DUX-CL-HAWK-iP17-SLV</t>
  </si>
  <si>
    <t>DUX-CL-HAWK-iP17Air-BLK</t>
  </si>
  <si>
    <t>DUX-CL-HAWK-iP17Air-BLU</t>
  </si>
  <si>
    <t>DUX-CL-HAWK-iP17Air-DT</t>
  </si>
  <si>
    <t>DUX-CL-HAWK-iP17Air-L/GLD</t>
  </si>
  <si>
    <t>DUX-CL-HAWK-iP17Air-NT</t>
  </si>
  <si>
    <t>DUX-CL-HAWK-iP17Air-SLV</t>
  </si>
  <si>
    <t>DUX-CL-HAWK-iP17Pro/Max-BLK</t>
  </si>
  <si>
    <t>DUX-CL-HAWK-iP17Pro/Max-BLU</t>
  </si>
  <si>
    <t>DUX-CL-HAWK-iP17Pro/Max-DT</t>
  </si>
  <si>
    <t>DUX-CL-HAWK-iP17Pro/Max-NT</t>
  </si>
  <si>
    <t>DUX-CL-HAWK-iP17Pro/Max-ORG</t>
  </si>
  <si>
    <t>DUX-CL-HAWK-iP17Pro/Max-SLV</t>
  </si>
  <si>
    <t>DUX-GC-BAG-SWITCH2-BLK</t>
  </si>
  <si>
    <t>DUX-GC-CASE-SWITCH2-BLK</t>
  </si>
  <si>
    <t>DUX-GC-PCCASE-SWITCH2-TP</t>
  </si>
  <si>
    <t>DUX-IAC-SP02-Pen-WHT</t>
  </si>
  <si>
    <t>DUX-IAC-SP03-PEN-WHT</t>
  </si>
  <si>
    <t>DUX-IAC-SP04-Pen-TPR</t>
  </si>
  <si>
    <t>DUX-IAC-SP05-Pen-WHT</t>
  </si>
  <si>
    <t>DUX-IAC-SP06-Pen-WHT</t>
  </si>
  <si>
    <t>DUX-IC-AXIS-Air11-BLK</t>
  </si>
  <si>
    <t>DUX-IC-AXIS-Air13-BLK</t>
  </si>
  <si>
    <t>DUX-IC-AXIS-Pro11-BLK</t>
  </si>
  <si>
    <t>DUX-IC-AXIS-Pro13-BLK</t>
  </si>
  <si>
    <t>DUX-IC-AXIS-iPad10/11-BLK</t>
  </si>
  <si>
    <t>DUX-IC-BENDO-Mini6-BLK</t>
  </si>
  <si>
    <t>DUX-IC-BENDO-Pro11(18)-BLK</t>
  </si>
  <si>
    <t>DUX-IC-BENDO-Pro12.9(18)-BLK</t>
  </si>
  <si>
    <t>DUX-IC-CK-KEY-TP</t>
  </si>
  <si>
    <t>DUX-IC-COPA-Air4/10.9-PNK</t>
  </si>
  <si>
    <t>DUX-IC-COPA-Pro11(18)-BLU</t>
  </si>
  <si>
    <t>DUX-IC-COPA-Pro11(18)-PNK</t>
  </si>
  <si>
    <t>DUX-IC-COPA-Pro11(18)-PRP</t>
  </si>
  <si>
    <t>DUX-IC-COPA-Pro12.9(18)-BLK</t>
  </si>
  <si>
    <t>DUX-IC-COPA-Pro12.9(18)-BLU</t>
  </si>
  <si>
    <t>DUX-IC-COPA-Pro12.9(18)-PNK</t>
  </si>
  <si>
    <t>DUX-IC-COPA-Pro12.9(18)-PRP</t>
  </si>
  <si>
    <t>DUX-IC-COPA-iPad10/10.9(22)-BLU</t>
  </si>
  <si>
    <t>DUX-IC-COPA-iPad10/10.9(22)-PNK</t>
  </si>
  <si>
    <t>DUX-IC-COPA-iPad10/10.9(22)-PRP</t>
  </si>
  <si>
    <t>DUX-IC-COPA-iPad7/10.2-BLU</t>
  </si>
  <si>
    <t>DUX-IC-COPA-iPad7/10.2-PNK</t>
  </si>
  <si>
    <t>DUX-IC-COPA-iPad7/10.2-PRP</t>
  </si>
  <si>
    <t>DUX-IC-DK(BLIT)-Air11(2024)-BLK</t>
  </si>
  <si>
    <t>DUX-IC-DK(BLIT)-Air13(2024)-BLK</t>
  </si>
  <si>
    <t>DUX-IC-DK(BLIT)-Pro11(2024)-BLK</t>
  </si>
  <si>
    <t>DUX-IC-DK(BLIT)-Pro13(2024)-BLK</t>
  </si>
  <si>
    <t>DUX-IC-DK(BLIT)-TabS10FEPlus-BLK</t>
  </si>
  <si>
    <t>DUX-IC-DK(BLIT)-TabS10Ultra-BLK</t>
  </si>
  <si>
    <t>DUX-IC-DK(BLIT)-TabS11-BLK</t>
  </si>
  <si>
    <t>DUX-IC-DK(BLIT)-TabS11Ultra-BLK</t>
  </si>
  <si>
    <t>DUX-IC-DK(BLIT)-TabS9-BLK</t>
  </si>
  <si>
    <t>DUX-IC-DK(BLIT)-TabS9FE-BLK</t>
  </si>
  <si>
    <t>DUX-IC-DK(BLIT)-TabS9FEPlus-BLK</t>
  </si>
  <si>
    <t>DUX-IC-DK(BLIT)-TabS9Plus-BLK</t>
  </si>
  <si>
    <t>DUX-IC-DK(BLIT)-XMPad7/Pro-BLK</t>
  </si>
  <si>
    <t>DUX-IC-DK(BLIT)-iPad10(10.9)-BLK</t>
  </si>
  <si>
    <t>DUX-IC-DK(BLIT)-iPad789-BLK</t>
  </si>
  <si>
    <t>DUX-IC-DK-Air11(2024)-BLK</t>
  </si>
  <si>
    <t>DUX-IC-DK-Air13(2024)-BLK</t>
  </si>
  <si>
    <t>DUX-IC-DK-Pro11(2024)-BLK</t>
  </si>
  <si>
    <t>DUX-IC-DK-Pro12.9-BLK</t>
  </si>
  <si>
    <t>DUX-IC-DK-Pro13(2024)-BLK</t>
  </si>
  <si>
    <t>DUX-IC-DK-S/A9Plus-BLK</t>
  </si>
  <si>
    <t>DUX-IC-DK-TabA8(21)-BLK</t>
  </si>
  <si>
    <t>DUX-IC-DK-TabS10FEPlus-BLK</t>
  </si>
  <si>
    <t>DUX-IC-DK-TabS10Plus-BLK</t>
  </si>
  <si>
    <t>DUX-IC-DK-TabS10Ultra-BLK</t>
  </si>
  <si>
    <t>DUX-IC-DK-TabS11-BLK</t>
  </si>
  <si>
    <t>DUX-IC-DK-TabS6Lite-BLK</t>
  </si>
  <si>
    <t>DUX-IC-DK-TabS7/S8-BLK</t>
  </si>
  <si>
    <t>DUX-IC-DK-TabS7FE-BLK</t>
  </si>
  <si>
    <t>DUX-IC-DK-TabS9-BLK</t>
  </si>
  <si>
    <t>DUX-IC-DK-TabS9FE-BLK</t>
  </si>
  <si>
    <t>DUX-IC-DK-TabS9FEPlus-BLK</t>
  </si>
  <si>
    <t>DUX-IC-DK-TabS9Plus-BLK</t>
  </si>
  <si>
    <t>DUX-IC-DK-XMPad5-BLK</t>
  </si>
  <si>
    <t>DUX-IC-DK-XMPad6-BLK</t>
  </si>
  <si>
    <t>DUX-IC-DK-XMPad7/Pro-BLK</t>
  </si>
  <si>
    <t>DUX-IC-DK-iPad789-BLK</t>
  </si>
  <si>
    <t>DUX-IC-DOMO-Air13(2024)-BLK</t>
  </si>
  <si>
    <t>DUX-IC-DOMO-Air13(2024)-BLU</t>
  </si>
  <si>
    <t>DUX-IC-DOMO-Air13(2024)-PNK</t>
  </si>
  <si>
    <t>DUX-IC-DOMO-Air3/Pro10.5-BLK</t>
  </si>
  <si>
    <t>DUX-IC-DOMO-Air3/Pro10.5-PNK</t>
  </si>
  <si>
    <t>DUX-IC-DOMO-HonorPadX9-BLK</t>
  </si>
  <si>
    <t>DUX-IC-DOMO-HonorPadX9-PNK</t>
  </si>
  <si>
    <t>DUX-IC-DOMO-MPad10.4(20/22)-BLK</t>
  </si>
  <si>
    <t>DUX-IC-DOMO-MPad11(21)-BLK</t>
  </si>
  <si>
    <t>DUX-IC-DOMO-MPad11(23)-BLK</t>
  </si>
  <si>
    <t>DUX-IC-DOMO-MPad11(23)-BLU</t>
  </si>
  <si>
    <t>DUX-IC-DOMO-MPadPro11(22)-BLK</t>
  </si>
  <si>
    <t>DUX-IC-DOMO-MPadPro11(22)-BLU</t>
  </si>
  <si>
    <t>DUX-IC-DOMO-MPadSE/10.4-BLK</t>
  </si>
  <si>
    <t>DUX-IC-DOMO-MPadT10-BLK</t>
  </si>
  <si>
    <t>DUX-IC-DOMO-MPadT10-BLU</t>
  </si>
  <si>
    <t>DUX-IC-DOMO-Mini6-BLK</t>
  </si>
  <si>
    <t>DUX-IC-DOMO-Mini6-BLU</t>
  </si>
  <si>
    <t>DUX-IC-DOMO-Mini7-BLK</t>
  </si>
  <si>
    <t>DUX-IC-DOMO-Mini7-BLU</t>
  </si>
  <si>
    <t>DUX-IC-DOMO-NokiaT20-BLU</t>
  </si>
  <si>
    <t>DUX-IC-DOMO-NokiaT20-PNK</t>
  </si>
  <si>
    <t>DUX-IC-DOMO-OppoPad(22)-BLK</t>
  </si>
  <si>
    <t>DUX-IC-DOMO-OppoPadAir/10.36-BLK</t>
  </si>
  <si>
    <t>DUX-IC-DOMO-PadSE11(2024)-BLK</t>
  </si>
  <si>
    <t>DUX-IC-DOMO-PadSE11(2024)-BLU</t>
  </si>
  <si>
    <t>DUX-IC-DOMO-PadX8a-BLK</t>
  </si>
  <si>
    <t>DUX-IC-DOMO-PadX8a-BLU</t>
  </si>
  <si>
    <t>DUX-IC-DOMO-Pro11(18)-PNK</t>
  </si>
  <si>
    <t>DUX-IC-DOMO-Pro11(20)-BLK</t>
  </si>
  <si>
    <t>DUX-IC-DOMO-Pro11(20)-BLU</t>
  </si>
  <si>
    <t>DUX-IC-DOMO-Pro11(20)-GRY</t>
  </si>
  <si>
    <t>DUX-IC-DOMO-Pro11(20)-PNK</t>
  </si>
  <si>
    <t>DUX-IC-DOMO-Pro11(2024)-BLU</t>
  </si>
  <si>
    <t>DUX-IC-DOMO-Pro11(2024)-PNK</t>
  </si>
  <si>
    <t>DUX-IC-DOMO-Pro12.9(18)-PNK</t>
  </si>
  <si>
    <t>DUX-IC-DOMO-Pro12.9(20)-BLK</t>
  </si>
  <si>
    <t>DUX-IC-DOMO-Pro12.9(20)-BLU</t>
  </si>
  <si>
    <t>DUX-IC-DOMO-Pro12.9(20)-PNK</t>
  </si>
  <si>
    <t>DUX-IC-DOMO-Pro13(2024)-BLK</t>
  </si>
  <si>
    <t>DUX-IC-DOMO-Pro13(2024)-BLU</t>
  </si>
  <si>
    <t>DUX-IC-DOMO-Pro13(2024)-PNK</t>
  </si>
  <si>
    <t>DUX-IC-DOMO-RPad/10.4-BLK</t>
  </si>
  <si>
    <t>DUX-IC-DOMO-RPad2-BLK</t>
  </si>
  <si>
    <t>DUX-IC-DOMO-RPad2-BLU</t>
  </si>
  <si>
    <t>DUX-IC-DOMO-RPadMini/8.7-BLK</t>
  </si>
  <si>
    <t>DUX-IC-DOMO-RedmiPad-BLK</t>
  </si>
  <si>
    <t>DUX-IC-DOMO-RedmiPad-BLU</t>
  </si>
  <si>
    <t>DUX-IC-DOMO-RedmiPad-PNK</t>
  </si>
  <si>
    <t>DUX-IC-DOMO-S/A11-BLK</t>
  </si>
  <si>
    <t>DUX-IC-DOMO-S/A11-BLU</t>
  </si>
  <si>
    <t>DUX-IC-DOMO-S/A11-PNK</t>
  </si>
  <si>
    <t>DUX-IC-DOMO-S/A9-BLK</t>
  </si>
  <si>
    <t>DUX-IC-DOMO-S/A9-BLU</t>
  </si>
  <si>
    <t>DUX-IC-DOMO-S/A9-PNK</t>
  </si>
  <si>
    <t>DUX-IC-DOMO-S/A9Plus-BLK</t>
  </si>
  <si>
    <t>DUX-IC-DOMO-S/A9Plus-BLU</t>
  </si>
  <si>
    <t>DUX-IC-DOMO-S/A9Plus-PNK</t>
  </si>
  <si>
    <t>DUX-IC-DOMO-SurfacePro9-BLK</t>
  </si>
  <si>
    <t>DUX-IC-DOMO-TabA/8.0(P)-BLK</t>
  </si>
  <si>
    <t>DUX-IC-DOMO-TabA/8.0(P)-PNK</t>
  </si>
  <si>
    <t>DUX-IC-DOMO-TabA/8.0(T)-BLK</t>
  </si>
  <si>
    <t>DUX-IC-DOMO-TabA/8.0(T)-BLU</t>
  </si>
  <si>
    <t>DUX-IC-DOMO-TabA/8.0(T)-PNK</t>
  </si>
  <si>
    <t>DUX-IC-DOMO-TabA10.1(19)-BLU</t>
  </si>
  <si>
    <t>DUX-IC-DOMO-TabA10.1(19)-PNK</t>
  </si>
  <si>
    <t>DUX-IC-DOMO-TabA710.4(20)-BLU</t>
  </si>
  <si>
    <t>DUX-IC-DOMO-TabA710.4(20)-PNK</t>
  </si>
  <si>
    <t>DUX-IC-DOMO-TabA7Lite-BLK</t>
  </si>
  <si>
    <t>DUX-IC-DOMO-TabA7Lite-BLU</t>
  </si>
  <si>
    <t>DUX-IC-DOMO-TabA7Lite-PNK</t>
  </si>
  <si>
    <t>DUX-IC-DOMO-TabA8(21)-BLU</t>
  </si>
  <si>
    <t>DUX-IC-DOMO-TabA8(21)-PNK</t>
  </si>
  <si>
    <t>DUX-IC-DOMO-TabM10/10.1-BLK</t>
  </si>
  <si>
    <t>DUX-IC-DOMO-TabM10Plus/10.6-BLK</t>
  </si>
  <si>
    <t>DUX-IC-DOMO-TabM8-BLK</t>
  </si>
  <si>
    <t>DUX-IC-DOMO-TabM8-BLU</t>
  </si>
  <si>
    <t>DUX-IC-DOMO-TabS10FEPlus-BLK</t>
  </si>
  <si>
    <t>DUX-IC-DOMO-TabS10FEPlus-BLU</t>
  </si>
  <si>
    <t>DUX-IC-DOMO-TabS10FEPlus-PNK</t>
  </si>
  <si>
    <t>DUX-IC-DOMO-TabS10Lite-BLK</t>
  </si>
  <si>
    <t>DUX-IC-DOMO-TabS10Lite-BLU</t>
  </si>
  <si>
    <t>DUX-IC-DOMO-TabS10Lite-PNK</t>
  </si>
  <si>
    <t>DUX-IC-DOMO-TabS10Plus-BLU</t>
  </si>
  <si>
    <t>DUX-IC-DOMO-TabS10Plus-PNK</t>
  </si>
  <si>
    <t>DUX-IC-DOMO-TabS10Ultra-BLK</t>
  </si>
  <si>
    <t>DUX-IC-DOMO-TabS10Ultra-PNK</t>
  </si>
  <si>
    <t>DUX-IC-DOMO-TabS11-BLK</t>
  </si>
  <si>
    <t>DUX-IC-DOMO-TabS11-BLU</t>
  </si>
  <si>
    <t>DUX-IC-DOMO-TabS11-PNK</t>
  </si>
  <si>
    <t>DUX-IC-DOMO-TabS11Ultra-BLK</t>
  </si>
  <si>
    <t>DUX-IC-DOMO-TabS11Ultra-BLU</t>
  </si>
  <si>
    <t>DUX-IC-DOMO-TabS11Ultra-PNK</t>
  </si>
  <si>
    <t>DUX-IC-DOMO-TabS6-BLK</t>
  </si>
  <si>
    <t>DUX-IC-DOMO-TabS6-BLU</t>
  </si>
  <si>
    <t>DUX-IC-DOMO-TabS6-PNK</t>
  </si>
  <si>
    <t>DUX-IC-DOMO-TabS6Lite-BLK</t>
  </si>
  <si>
    <t>DUX-IC-DOMO-TabS6Lite-BLU</t>
  </si>
  <si>
    <t>DUX-IC-DOMO-TabS6Lite-PNK</t>
  </si>
  <si>
    <t>DUX-IC-DOMO-TabS7-BLK</t>
  </si>
  <si>
    <t>DUX-IC-DOMO-TabS7-BLU</t>
  </si>
  <si>
    <t>DUX-IC-DOMO-TabS7-PNK</t>
  </si>
  <si>
    <t>DUX-IC-DOMO-TabS7FE-BLK</t>
  </si>
  <si>
    <t>DUX-IC-DOMO-TabS7FE-BLU</t>
  </si>
  <si>
    <t>DUX-IC-DOMO-TabS7FE-PNK</t>
  </si>
  <si>
    <t>DUX-IC-DOMO-TabS8Ultra-PNK</t>
  </si>
  <si>
    <t>DUX-IC-DOMO-TabS9-BLU</t>
  </si>
  <si>
    <t>DUX-IC-DOMO-TabS9-PNK</t>
  </si>
  <si>
    <t>DUX-IC-DOMO-TabS9FE-BLK</t>
  </si>
  <si>
    <t>DUX-IC-DOMO-TabS9FE-BLU</t>
  </si>
  <si>
    <t>DUX-IC-DOMO-TabS9FE-PNK</t>
  </si>
  <si>
    <t>DUX-IC-DOMO-TabS9FEPlus-BLK</t>
  </si>
  <si>
    <t>DUX-IC-DOMO-TabS9FEPlus-BLU</t>
  </si>
  <si>
    <t>DUX-IC-DOMO-TabS9FEPlus-PNK</t>
  </si>
  <si>
    <t>DUX-IC-DOMO-TabS9Plus-BLK</t>
  </si>
  <si>
    <t>DUX-IC-DOMO-TabS9Plus-BLU</t>
  </si>
  <si>
    <t>DUX-IC-DOMO-TabS9Plus-PNK</t>
  </si>
  <si>
    <t>DUX-IC-DOMO-TabS9Ultra-BLK</t>
  </si>
  <si>
    <t>DUX-IC-DOMO-TabS9Ultra-BLU</t>
  </si>
  <si>
    <t>DUX-IC-DOMO-TabS9Ultra-PNK</t>
  </si>
  <si>
    <t>DUX-IC-DOMO-XMPad5-BLK</t>
  </si>
  <si>
    <t>DUX-IC-DOMO-XMPad5-BLU</t>
  </si>
  <si>
    <t>DUX-IC-DOMO-XMPad5-PNK</t>
  </si>
  <si>
    <t>DUX-IC-DOMO-XMPad5Pro/12.4-BLK</t>
  </si>
  <si>
    <t>DUX-IC-DOMO-XMPad6-BLK</t>
  </si>
  <si>
    <t>DUX-IC-DOMO-XMPad6-BLU</t>
  </si>
  <si>
    <t>DUX-IC-DOMO-XMPad6-PNK</t>
  </si>
  <si>
    <t>DUX-IC-DOMO-XMPad7/Pro-BLK</t>
  </si>
  <si>
    <t>DUX-IC-DOMO-XMPad7/Pro-BLU</t>
  </si>
  <si>
    <t>DUX-IC-DOMO-iPad10/10.9(22)-BLK</t>
  </si>
  <si>
    <t>DUX-IC-DOMO-iPad10/10.9(22)-PNK</t>
  </si>
  <si>
    <t>DUX-IC-DOMO-iPad7/10.2-BLK</t>
  </si>
  <si>
    <t>DUX-IC-DOMO-iPad7/10.2-BLU</t>
  </si>
  <si>
    <t>DUX-IC-DOMO-iPad7/10.2-PNK</t>
  </si>
  <si>
    <t>DUX-IC-DOMO-iPadAir4(10.9)-BLK</t>
  </si>
  <si>
    <t>DUX-IC-DOMO-iPadAir4(10.9)-BLU</t>
  </si>
  <si>
    <t>DUX-IC-DOMO-iPadAir4(10.9)-PNK</t>
  </si>
  <si>
    <t>DUX-IC-MAGI-Air11(2024)-BLK</t>
  </si>
  <si>
    <t>DUX-IC-MAGI-Air11(2024)-GRY</t>
  </si>
  <si>
    <t>DUX-IC-MAGI-Air11(2024)-PNK</t>
  </si>
  <si>
    <t>DUX-IC-MAGI-Air11(2024)-PRP</t>
  </si>
  <si>
    <t>DUX-IC-MAGI-Air13(2024)-GRY</t>
  </si>
  <si>
    <t>DUX-IC-MAGI-Air13(2024)-PNK</t>
  </si>
  <si>
    <t>DUX-IC-MAGI-Air13(2024)-PRP</t>
  </si>
  <si>
    <t>DUX-IC-MAGI-Air4/10.9-PNK</t>
  </si>
  <si>
    <t>DUX-IC-MAGI-Mini6-BLK</t>
  </si>
  <si>
    <t>DUX-IC-MAGI-Mini6-GRY</t>
  </si>
  <si>
    <t>DUX-IC-MAGI-Mini6-PNK</t>
  </si>
  <si>
    <t>DUX-IC-MAGI-Mini7-BLK</t>
  </si>
  <si>
    <t>DUX-IC-MAGI-Pro11(20)-BLK</t>
  </si>
  <si>
    <t>DUX-IC-MAGI-Pro11(20)-GRY</t>
  </si>
  <si>
    <t>DUX-IC-MAGI-Pro11(20)-PNK</t>
  </si>
  <si>
    <t>DUX-IC-MAGI-Pro11(2024)-BLK</t>
  </si>
  <si>
    <t>DUX-IC-MAGI-Pro11(2024)-GRY</t>
  </si>
  <si>
    <t>DUX-IC-MAGI-Pro11(2024)-PNK</t>
  </si>
  <si>
    <t>DUX-IC-MAGI-Pro11(2024)-PRP</t>
  </si>
  <si>
    <t>DUX-IC-MAGI-Pro12.9(20)-BLK</t>
  </si>
  <si>
    <t>DUX-IC-MAGI-Pro12.9(20)-GRY</t>
  </si>
  <si>
    <t>DUX-IC-MAGI-Pro12.9(20)-PNK</t>
  </si>
  <si>
    <t>DUX-IC-MAGI-Pro13(2024)-BLK</t>
  </si>
  <si>
    <t>DUX-IC-MAGI-Pro13(2024)-GRY</t>
  </si>
  <si>
    <t>DUX-IC-MAGI-Pro13(2024)-PNK</t>
  </si>
  <si>
    <t>DUX-IC-MAGI-Pro13(2024)-PRP</t>
  </si>
  <si>
    <t>DUX-IC-MAGI-TabS10FEPlus-BLK</t>
  </si>
  <si>
    <t>DUX-IC-MAGI-TabS10FEPlus-GRY</t>
  </si>
  <si>
    <t>DUX-IC-MAGI-TabS10FEPlus-PNK</t>
  </si>
  <si>
    <t>DUX-IC-MAGI-TabS10Lite-BLK</t>
  </si>
  <si>
    <t>DUX-IC-MAGI-TabS10Lite-GRY</t>
  </si>
  <si>
    <t>DUX-IC-MAGI-TabS10Lite-PNK</t>
  </si>
  <si>
    <t>DUX-IC-MAGI-TabS10Plus-GRY</t>
  </si>
  <si>
    <t>DUX-IC-MAGI-TabS10Plus-PNK</t>
  </si>
  <si>
    <t>DUX-IC-MAGI-TabS10Ultra-BLK</t>
  </si>
  <si>
    <t>DUX-IC-MAGI-TabS10Ultra-GRY</t>
  </si>
  <si>
    <t>DUX-IC-MAGI-TabS10Ultra-PINK</t>
  </si>
  <si>
    <t>DUX-IC-MAGI-TabS11-BLK</t>
  </si>
  <si>
    <t>DUX-IC-MAGI-TabS11-GRY</t>
  </si>
  <si>
    <t>DUX-IC-MAGI-TabS11-PNK</t>
  </si>
  <si>
    <t>DUX-IC-MAGI-TabS11Ultra-BLK</t>
  </si>
  <si>
    <t>DUX-IC-MAGI-TabS11Ultra-GRY</t>
  </si>
  <si>
    <t>DUX-IC-MAGI-TabS11Ultra-PNK</t>
  </si>
  <si>
    <t>DUX-IC-MAGI-TabS6Lite-BLK</t>
  </si>
  <si>
    <t>DUX-IC-MAGI-TabS6Lite-GRY</t>
  </si>
  <si>
    <t>DUX-IC-MAGI-TabS6Lite-PNK</t>
  </si>
  <si>
    <t>DUX-IC-MAGI-TabS9-BLK</t>
  </si>
  <si>
    <t>DUX-IC-MAGI-TabS9-GRY</t>
  </si>
  <si>
    <t>DUX-IC-MAGI-TabS9-PNK</t>
  </si>
  <si>
    <t>DUX-IC-MAGI-TabS9Plus-BLK</t>
  </si>
  <si>
    <t>DUX-IC-MAGI-TabS9Plus-GRY</t>
  </si>
  <si>
    <t>DUX-IC-MAGI-TabS9Plus-PNK</t>
  </si>
  <si>
    <t>DUX-IC-MAGI-iPad10(22)-BLK</t>
  </si>
  <si>
    <t>DUX-IC-MAGI-iPad10(22)-GRY</t>
  </si>
  <si>
    <t>DUX-IC-MAGI-iPad10(22)-PNK</t>
  </si>
  <si>
    <t>DUX-IC-MAGI-iPad7/10.2-BLK</t>
  </si>
  <si>
    <t>DUX-IC-MAGI-iPad7/10.2-GRY</t>
  </si>
  <si>
    <t>DUX-IC-MAGI-iPad7/10.2-PNK</t>
  </si>
  <si>
    <t>DUX-IC-MK-Air11(2024)-BLK</t>
  </si>
  <si>
    <t>DUX-IC-MK-Air13(2024)-BLK</t>
  </si>
  <si>
    <t>DUX-IC-MK-Air4/10.9-BLK</t>
  </si>
  <si>
    <t>DUX-IC-MK-Pro11(2024)-BLK</t>
  </si>
  <si>
    <t>DUX-IC-MK-Pro12.9(20)-BLK</t>
  </si>
  <si>
    <t>DUX-IC-MK-Pro13(2024)-BLK</t>
  </si>
  <si>
    <t>DUX-IC-MK-TabS10Plus-BLK</t>
  </si>
  <si>
    <t>DUX-IC-MK-TabS10Ultra-BLK</t>
  </si>
  <si>
    <t>DUX-IC-MK-TabS9-BLK</t>
  </si>
  <si>
    <t>DUX-IC-MK-TabS9Plus-BLK</t>
  </si>
  <si>
    <t>DUX-IC-MKPRO-Air11-BLK</t>
  </si>
  <si>
    <t>DUX-IC-MKPRO-Air13-BLK</t>
  </si>
  <si>
    <t>DUX-IC-MKPRO-Pro11-BLK</t>
  </si>
  <si>
    <t>DUX-IC-MKPRO-Pro13-BLK</t>
  </si>
  <si>
    <t>DUX-IC-MKPRO-iPad10/11-BLK</t>
  </si>
  <si>
    <t>DUX-IC-OKEY-UNI-BLK</t>
  </si>
  <si>
    <t>DUX-IC-OSOM-Pro11(18)-PNK</t>
  </si>
  <si>
    <t>DUX-IC-OSOM-Pro11(18)-RED</t>
  </si>
  <si>
    <t>DUX-IC-OSOM-Pro11(20)-BLU</t>
  </si>
  <si>
    <t>DUX-IC-OSOM-Pro11(20)-PNK</t>
  </si>
  <si>
    <t>DUX-IC-OSOM-Pro11(21)-BLK</t>
  </si>
  <si>
    <t>DUX-IC-OSOM-Pro11(21)-BLU</t>
  </si>
  <si>
    <t>DUX-IC-OSOM-Pro11(21)-PNK</t>
  </si>
  <si>
    <t>DUX-IC-OSOM-Pro12.9(18)-PNK</t>
  </si>
  <si>
    <t>DUX-IC-OSOM-Pro12.9(18)-RED</t>
  </si>
  <si>
    <t>DUX-IC-OSOM-Pro12.9(20)-BLU</t>
  </si>
  <si>
    <t>DUX-IC-OSOM-Pro12.9(20)-MNG</t>
  </si>
  <si>
    <t>DUX-IC-OSOM-Pro12.9(20)-PNK</t>
  </si>
  <si>
    <t>DUX-IC-OSOM-iPad7/10.2-PNK</t>
  </si>
  <si>
    <t>DUX-IC-PANDA-Air4/10.9-BLU</t>
  </si>
  <si>
    <t>DUX-IC-PANDA-Air4/10.9-PNK</t>
  </si>
  <si>
    <t>DUX-IC-PANDA-Mini6-BLU</t>
  </si>
  <si>
    <t>DUX-IC-PANDA-Mini6-PNK</t>
  </si>
  <si>
    <t>DUX-IC-PANDA-S/A9-BLU</t>
  </si>
  <si>
    <t>DUX-IC-PANDA-S/A9-PNK</t>
  </si>
  <si>
    <t>DUX-IC-PANDA-S/A9Plus-BLU</t>
  </si>
  <si>
    <t>DUX-IC-PANDA-S/A9Plus-PNK</t>
  </si>
  <si>
    <t>DUX-IC-PANDA-TabA7/10.4-BLU</t>
  </si>
  <si>
    <t>DUX-IC-PANDA-TabA7/10.4-GRN</t>
  </si>
  <si>
    <t>DUX-IC-PANDA-TabA7/10.4-PNK</t>
  </si>
  <si>
    <t>DUX-IC-PANDA-TabA7/10.4-YLW</t>
  </si>
  <si>
    <t>DUX-IC-PANDA-TabA7Lite-BLU</t>
  </si>
  <si>
    <t>DUX-IC-PANDA-TabA7Lite-PNK</t>
  </si>
  <si>
    <t>DUX-IC-PANDA-TabA8(21)-BLU</t>
  </si>
  <si>
    <t>DUX-IC-PANDA-TabA8(21)-GRN</t>
  </si>
  <si>
    <t>DUX-IC-PANDA-TabA8(21)-PNK</t>
  </si>
  <si>
    <t>DUX-IC-PANDA-iPad10/10.9-BLU</t>
  </si>
  <si>
    <t>DUX-IC-PANDA-iPad10/10.9-PNK</t>
  </si>
  <si>
    <t>DUX-IC-PANDA-iPad7/10.2-BLU</t>
  </si>
  <si>
    <t>DUX-IC-PANDA-iPad7/10.2-PNK</t>
  </si>
  <si>
    <t>DUX-IC-PUFF-Air11-BLU</t>
  </si>
  <si>
    <t>DUX-IC-PUFF-Air11-PNK</t>
  </si>
  <si>
    <t>DUX-IC-PUFF-Air4/5-BLU</t>
  </si>
  <si>
    <t>DUX-IC-PUFF-Mini7-BLU</t>
  </si>
  <si>
    <t>DUX-IC-PUFF-Mini7-PNK</t>
  </si>
  <si>
    <t>DUX-IC-PUFF-S/A11-BLU</t>
  </si>
  <si>
    <t>DUX-IC-PUFF-S/A11-PNK</t>
  </si>
  <si>
    <t>DUX-IC-PUFF-S/A9-BLU</t>
  </si>
  <si>
    <t>DUX-IC-PUFF-S/A9-PNK</t>
  </si>
  <si>
    <t>DUX-IC-PUFF-S/A9Plus-BLU</t>
  </si>
  <si>
    <t>DUX-IC-PUFF-S/A9Plus-PNK</t>
  </si>
  <si>
    <t>DUX-IC-PUFF-TabS10FE-BLU</t>
  </si>
  <si>
    <t>DUX-IC-PUFF-TabS10FE-PNK</t>
  </si>
  <si>
    <t>DUX-IC-PUFF-XMPad6/Pro-BLU</t>
  </si>
  <si>
    <t>DUX-IC-PUFF-XMPad6/Pro-PNK</t>
  </si>
  <si>
    <t>DUX-IC-PUFF-XMPad7/Pro-BLU</t>
  </si>
  <si>
    <t>DUX-IC-PUFF-XMPad7/Pro-PNK</t>
  </si>
  <si>
    <t>DUX-IC-PUFF-iPad789-PNK</t>
  </si>
  <si>
    <t>DUX-IC-TK-Air11(2024)-BLK</t>
  </si>
  <si>
    <t>DUX-IC-TK-Air13(2024)-BLK</t>
  </si>
  <si>
    <t>DUX-IC-TK-Air4/10.9-BLK</t>
  </si>
  <si>
    <t>DUX-IC-TK-Pro11(2024)-BLK</t>
  </si>
  <si>
    <t>DUX-IC-TK-Pro13(2024)-BLK</t>
  </si>
  <si>
    <t>DUX-IC-TK-S/A9-BLK</t>
  </si>
  <si>
    <t>DUX-IC-TK-S/A9Plus-BLK</t>
  </si>
  <si>
    <t>DUX-IC-TK-TabA7/10.4-BLK</t>
  </si>
  <si>
    <t>DUX-IC-TK-TabA8(21)-BLK</t>
  </si>
  <si>
    <t>DUX-IC-TK-TabS10Plus-BLK</t>
  </si>
  <si>
    <t>DUX-IC-TK-TabS10Ultra-BLK</t>
  </si>
  <si>
    <t>DUX-IC-TK-TabS11-BLK</t>
  </si>
  <si>
    <t>DUX-IC-TK-TabS6Lite-BLK</t>
  </si>
  <si>
    <t>DUX-IC-TK-TabS7-BLK</t>
  </si>
  <si>
    <t>DUX-IC-TK-TabS7FE-BLK</t>
  </si>
  <si>
    <t>DUX-IC-TK-TabS9-BLK</t>
  </si>
  <si>
    <t>DUX-IC-TK-TabS9Plus-BLK</t>
  </si>
  <si>
    <t>DUX-IC-TK-TabS9Ultra-BLK</t>
  </si>
  <si>
    <t>DUX-IC-TK-XMPad6/Pro-BLK</t>
  </si>
  <si>
    <t>DUX-IC-TK-iPad10(10.9)-BLK</t>
  </si>
  <si>
    <t>DUX-IC-TK-iPad7(10.2)-BLK</t>
  </si>
  <si>
    <t>DUX-IC-TOBY-Air13(2024)-BLK</t>
  </si>
  <si>
    <t>DUX-IC-TOBY-Air13(2024)-BLU</t>
  </si>
  <si>
    <t>DUX-IC-TOBY-Air13(2024)-PNK</t>
  </si>
  <si>
    <t>DUX-IC-TOBY-Air4/10.9-BLK</t>
  </si>
  <si>
    <t>DUX-IC-TOBY-Air4/10.9-BLU</t>
  </si>
  <si>
    <t>DUX-IC-TOBY-Air4/10.9-PNK</t>
  </si>
  <si>
    <t>DUX-IC-TOBY-MPadPro11(22)-BLK</t>
  </si>
  <si>
    <t>DUX-IC-TOBY-Mini6-BLK</t>
  </si>
  <si>
    <t>DUX-IC-TOBY-Mini6-BLU</t>
  </si>
  <si>
    <t>DUX-IC-TOBY-Mini6-GRN</t>
  </si>
  <si>
    <t>DUX-IC-TOBY-Mini6-PNK</t>
  </si>
  <si>
    <t>DUX-IC-TOBY-NokiaT20-BLK</t>
  </si>
  <si>
    <t>DUX-IC-TOBY-NokiaT20-BLU</t>
  </si>
  <si>
    <t>DUX-IC-TOBY-NokiaT20-GRN</t>
  </si>
  <si>
    <t>DUX-IC-TOBY-NokiaT20-PNK</t>
  </si>
  <si>
    <t>DUX-IC-TOBY-OppoPad(22)-BLK</t>
  </si>
  <si>
    <t>DUX-IC-TOBY-Pro11(20)-BLK</t>
  </si>
  <si>
    <t>DUX-IC-TOBY-Pro11(20)-BLU</t>
  </si>
  <si>
    <t>DUX-IC-TOBY-Pro11(20)-GRN</t>
  </si>
  <si>
    <t>DUX-IC-TOBY-Pro11(20)-PNK</t>
  </si>
  <si>
    <t>DUX-IC-TOBY-Pro11(2024)-BLK</t>
  </si>
  <si>
    <t>DUX-IC-TOBY-Pro11(2024)-BLU</t>
  </si>
  <si>
    <t>DUX-IC-TOBY-Pro11(2024)-PNK</t>
  </si>
  <si>
    <t>DUX-IC-TOBY-Pro12.9(18)-BLU</t>
  </si>
  <si>
    <t>DUX-IC-TOBY-Pro12.9(18)-GRN</t>
  </si>
  <si>
    <t>DUX-IC-TOBY-Pro12.9(18)-PNK</t>
  </si>
  <si>
    <t>DUX-IC-TOBY-Pro13(2024)-BLK</t>
  </si>
  <si>
    <t>DUX-IC-TOBY-Pro13(2024)-BLU</t>
  </si>
  <si>
    <t>DUX-IC-TOBY-Pro13(2024)-PNK</t>
  </si>
  <si>
    <t>DUX-IC-TOBY-RPad/10.4-BLK</t>
  </si>
  <si>
    <t>DUX-IC-TOBY-RPad/10.4-BLU</t>
  </si>
  <si>
    <t>DUX-IC-TOBY-RPadMini/8.7-BLK</t>
  </si>
  <si>
    <t>DUX-IC-TOBY-RedmiPad-BLK</t>
  </si>
  <si>
    <t>DUX-IC-TOBY-S/A11-BLK</t>
  </si>
  <si>
    <t>DUX-IC-TOBY-S/A11-BLU</t>
  </si>
  <si>
    <t>DUX-IC-TOBY-S/A11-PNK</t>
  </si>
  <si>
    <t>DUX-IC-TOBY-S/A9-BLK</t>
  </si>
  <si>
    <t>DUX-IC-TOBY-S/A9-BLU</t>
  </si>
  <si>
    <t>DUX-IC-TOBY-S/A9-PNK</t>
  </si>
  <si>
    <t>DUX-IC-TOBY-S/A9Plus-BLK</t>
  </si>
  <si>
    <t>DUX-IC-TOBY-S/A9Plus-BLU</t>
  </si>
  <si>
    <t>DUX-IC-TOBY-S/A9Plus-PNK</t>
  </si>
  <si>
    <t>DUX-IC-TOBY-TabA7/10.4-BLK</t>
  </si>
  <si>
    <t>DUX-IC-TOBY-TabA7/10.4-BLU</t>
  </si>
  <si>
    <t>DUX-IC-TOBY-TabA7/10.4-GRN</t>
  </si>
  <si>
    <t>DUX-IC-TOBY-TabA7/10.4-PNK</t>
  </si>
  <si>
    <t>DUX-IC-TOBY-TabA7Lite-BLK</t>
  </si>
  <si>
    <t>DUX-IC-TOBY-TabA7Lite-BLU</t>
  </si>
  <si>
    <t>DUX-IC-TOBY-TabA7Lite-GRN</t>
  </si>
  <si>
    <t>DUX-IC-TOBY-TabA7Lite-PNK</t>
  </si>
  <si>
    <t>DUX-IC-TOBY-TabA8(21)-BLK</t>
  </si>
  <si>
    <t>DUX-IC-TOBY-TabA8(21)-BLU</t>
  </si>
  <si>
    <t>DUX-IC-TOBY-TabA8(21)-GRN</t>
  </si>
  <si>
    <t>DUX-IC-TOBY-TabA8(21)-PNK</t>
  </si>
  <si>
    <t>DUX-IC-TOBY-TabS10FEPlus-BLU</t>
  </si>
  <si>
    <t>DUX-IC-TOBY-TabS10FEPlus-PNK</t>
  </si>
  <si>
    <t>DUX-IC-TOBY-TabS10Lite-BLK</t>
  </si>
  <si>
    <t>DUX-IC-TOBY-TabS10Lite-BLU</t>
  </si>
  <si>
    <t>DUX-IC-TOBY-TabS10Lite-PNK</t>
  </si>
  <si>
    <t>DUX-IC-TOBY-TabS10Plus-BLK</t>
  </si>
  <si>
    <t>DUX-IC-TOBY-TabS10Plus-BLU</t>
  </si>
  <si>
    <t>DUX-IC-TOBY-TabS10Plus-PNK</t>
  </si>
  <si>
    <t>DUX-IC-TOBY-TabS10Ultra-BLU</t>
  </si>
  <si>
    <t>DUX-IC-TOBY-TabS10Ultra-PNK</t>
  </si>
  <si>
    <t>DUX-IC-TOBY-TabS11-BLK</t>
  </si>
  <si>
    <t>DUX-IC-TOBY-TabS11-BLU</t>
  </si>
  <si>
    <t>DUX-IC-TOBY-TabS11-PNK</t>
  </si>
  <si>
    <t>DUX-IC-TOBY-TabS11Ultra-BLK</t>
  </si>
  <si>
    <t>DUX-IC-TOBY-TabS11Ultra-BLU</t>
  </si>
  <si>
    <t>DUX-IC-TOBY-TabS11Ultra-PNK</t>
  </si>
  <si>
    <t>DUX-IC-TOBY-TabS6Lite-BLK</t>
  </si>
  <si>
    <t>DUX-IC-TOBY-TabS6Lite-BLU</t>
  </si>
  <si>
    <t>DUX-IC-TOBY-TabS6Lite-PNK</t>
  </si>
  <si>
    <t>DUX-IC-TOBY-TabS7-BLK</t>
  </si>
  <si>
    <t>DUX-IC-TOBY-TabS7-BLU</t>
  </si>
  <si>
    <t>DUX-IC-TOBY-TabS7-PNK</t>
  </si>
  <si>
    <t>DUX-IC-TOBY-TabS7FE-BLK</t>
  </si>
  <si>
    <t>DUX-IC-TOBY-TabS7FE-BLU</t>
  </si>
  <si>
    <t>DUX-IC-TOBY-TabS7FE-PNK</t>
  </si>
  <si>
    <t>DUX-IC-TOBY-TabS8Ultra-BLK</t>
  </si>
  <si>
    <t>DUX-IC-TOBY-TabS8Ultra-BLU</t>
  </si>
  <si>
    <t>DUX-IC-TOBY-TabS8Ultra-PNK</t>
  </si>
  <si>
    <t>DUX-IC-TOBY-TabS9-BLK</t>
  </si>
  <si>
    <t>DUX-IC-TOBY-TabS9-BLU</t>
  </si>
  <si>
    <t>DUX-IC-TOBY-TabS9-PNK</t>
  </si>
  <si>
    <t>DUX-IC-TOBY-TabS9FE-BLU</t>
  </si>
  <si>
    <t>DUX-IC-TOBY-TabS9FE-PNK</t>
  </si>
  <si>
    <t>DUX-IC-TOBY-TabS9FEPlus-BLK</t>
  </si>
  <si>
    <t>DUX-IC-TOBY-TabS9FEPlus-BLU</t>
  </si>
  <si>
    <t>DUX-IC-TOBY-TabS9FEPlus-PNK</t>
  </si>
  <si>
    <t>DUX-IC-TOBY-TabS9Plus-BLU</t>
  </si>
  <si>
    <t>DUX-IC-TOBY-TabS9Plus-PNK</t>
  </si>
  <si>
    <t>DUX-IC-TOBY-TabS9Ultra-BLK</t>
  </si>
  <si>
    <t>DUX-IC-TOBY-TabS9Ultra-BLU</t>
  </si>
  <si>
    <t>DUX-IC-TOBY-TabS9Ultra-PNK</t>
  </si>
  <si>
    <t>DUX-IC-TOBY-XMPad5-BLK</t>
  </si>
  <si>
    <t>DUX-IC-TOBY-XMPad5-BLU</t>
  </si>
  <si>
    <t>DUX-IC-TOBY-XMPad5-GRN</t>
  </si>
  <si>
    <t>DUX-IC-TOBY-XMPad5-PNK</t>
  </si>
  <si>
    <t>DUX-IC-TOBY-XMPad6-BLK</t>
  </si>
  <si>
    <t>DUX-IC-TOBY-XMPad6-BLU</t>
  </si>
  <si>
    <t>DUX-IC-TOBY-XMPad6-PNK</t>
  </si>
  <si>
    <t>DUX-IC-TOBY-XMPad7/Pro-BLK</t>
  </si>
  <si>
    <t>DUX-IC-TOBY-iPad10/10.9(22)-BLK</t>
  </si>
  <si>
    <t>DUX-IC-TOBY-iPad10/10.9(22)-BLU</t>
  </si>
  <si>
    <t>DUX-IC-TOBY-iPad10/10.9(22)-GRN</t>
  </si>
  <si>
    <t>DUX-IC-TOBY-iPad10/10.9(22)-PNK</t>
  </si>
  <si>
    <t>DUX-IC-TOBY-iPad7/10.2-BLK</t>
  </si>
  <si>
    <t>DUX-IC-TOBY-iPad7/10.2-BLU</t>
  </si>
  <si>
    <t>DUX-IC-TOBY-iPad7/10.2-PNK</t>
  </si>
  <si>
    <t>DUX-IC-TOBY-iPad9.7(17)-BLK</t>
  </si>
  <si>
    <t>DUX-IC-TOBY-iPad9.7(17)-BLU</t>
  </si>
  <si>
    <t>DUX-IC-TOBY-iPad9.7(17)-PNK</t>
  </si>
  <si>
    <t>DUX-IC-UNID-Air11(2024)-BLK</t>
  </si>
  <si>
    <t>DUX-IC-UNID-Air11(2024)-BLU</t>
  </si>
  <si>
    <t>DUX-IC-UNID-Air11(2024)-GRN</t>
  </si>
  <si>
    <t>DUX-IC-UNID-Air11(2024)-PNK</t>
  </si>
  <si>
    <t>DUX-IC-UNID-Air11(2024)-PRP</t>
  </si>
  <si>
    <t>DUX-IC-UNID-Air13(2024)-BLK</t>
  </si>
  <si>
    <t>DUX-IC-UNID-Air13(2024)-BLU</t>
  </si>
  <si>
    <t>DUX-IC-UNID-Air13(2024)-GRN</t>
  </si>
  <si>
    <t>DUX-IC-UNID-Air13(2024)-PNK</t>
  </si>
  <si>
    <t>DUX-IC-UNID-Air13(2024)-PRP</t>
  </si>
  <si>
    <t>DUX-IC-UNID-Pro11(2024)-BLK</t>
  </si>
  <si>
    <t>DUX-IC-UNID-Pro11(2024)-BLU</t>
  </si>
  <si>
    <t>DUX-IC-UNID-Pro11(2024)-GRN</t>
  </si>
  <si>
    <t>DUX-IC-UNID-Pro11(2024)-PNK</t>
  </si>
  <si>
    <t>DUX-IC-UNID-Pro11(2024)-PRP</t>
  </si>
  <si>
    <t>DUX-IC-UNID-Pro13(2024)-BLK</t>
  </si>
  <si>
    <t>DUX-IC-UNID-Pro13(2024)-BLU</t>
  </si>
  <si>
    <t>DUX-IC-UNID-Pro13(2024)-GRN</t>
  </si>
  <si>
    <t>DUX-IC-UNID-Pro13(2024)-PNK</t>
  </si>
  <si>
    <t>DUX-IC-UNID-Pro13(2024)-PRP</t>
  </si>
  <si>
    <t>DUX-IC-UNID-S/A9-BLK</t>
  </si>
  <si>
    <t>DUX-IC-UNID-S/A9-BLU</t>
  </si>
  <si>
    <t>DUX-IC-UNID-S/A9-GRN</t>
  </si>
  <si>
    <t>DUX-IC-UNID-S/A9-PNK</t>
  </si>
  <si>
    <t>DUX-IC-UNID-S/A9-PRP</t>
  </si>
  <si>
    <t>DUX-IC-UNID-S/A9Plus-BLK</t>
  </si>
  <si>
    <t>DUX-IC-UNID-S/A9Plus-BLU</t>
  </si>
  <si>
    <t>DUX-IC-UNID-S/A9Plus-GRN</t>
  </si>
  <si>
    <t>DUX-IC-UNID-S/A9Plus-PNK</t>
  </si>
  <si>
    <t>DUX-IC-UNID-S/A9Plus-PRP</t>
  </si>
  <si>
    <t>DUX-IC-UNID-TabS10Plus-BLK</t>
  </si>
  <si>
    <t>DUX-IC-UNID-TabS10Plus-BLU</t>
  </si>
  <si>
    <t>DUX-IC-UNID-TabS10Plus-GRN</t>
  </si>
  <si>
    <t>DUX-IC-UNID-TabS10Plus-PNK</t>
  </si>
  <si>
    <t>DUX-IC-UNID-TabS10Plus-PRP</t>
  </si>
  <si>
    <t>DUX-IC-UNID-TabS10Ultra-BLK</t>
  </si>
  <si>
    <t>DUX-IC-UNID-TabS10Ultra-BLU</t>
  </si>
  <si>
    <t>DUX-IC-UNID-TabS10Ultra-GRN</t>
  </si>
  <si>
    <t>DUX-IC-UNID-TabS10Ultra-PNK</t>
  </si>
  <si>
    <t>DUX-IC-UNID-TabS10Ultra-PRP</t>
  </si>
  <si>
    <t>DUX-IC-UNID-TabS6Lite-BLK</t>
  </si>
  <si>
    <t>DUX-IC-UNID-TabS6Lite-BLU</t>
  </si>
  <si>
    <t>DUX-IC-UNID-TabS6Lite-GRN</t>
  </si>
  <si>
    <t>DUX-IC-UNID-TabS6Lite-PNK</t>
  </si>
  <si>
    <t>DUX-IC-UNID-TabS6Lite-PRP</t>
  </si>
  <si>
    <t>DUX-IC-UNID-TabS9-BLK</t>
  </si>
  <si>
    <t>DUX-IC-UNID-TabS9-BLU</t>
  </si>
  <si>
    <t>DUX-IC-UNID-TabS9-GRN</t>
  </si>
  <si>
    <t>DUX-IC-UNID-TabS9-PNK</t>
  </si>
  <si>
    <t>DUX-IC-UNID-TabS9-PRP</t>
  </si>
  <si>
    <t>DUX-IC-UNID-TabS9Plus-BLK</t>
  </si>
  <si>
    <t>DUX-IC-UNID-TabS9Plus-BLU</t>
  </si>
  <si>
    <t>DUX-IC-UNID-TabS9Plus-GRN</t>
  </si>
  <si>
    <t>DUX-IC-UNID-TabS9Plus-PNK</t>
  </si>
  <si>
    <t>DUX-IC-UNID-iPad10.2-BLK</t>
  </si>
  <si>
    <t>DUX-IC-UNID-iPad10.2-BLU</t>
  </si>
  <si>
    <t>DUX-IC-UNID-iPad10.2-GRN</t>
  </si>
  <si>
    <t>DUX-IC-UNID-iPad10.2-PNK</t>
  </si>
  <si>
    <t>DUX-IC-UNID-iPad10.2-PRP</t>
  </si>
  <si>
    <t>DUX-IC-UNID-iPad10/10.9-BLK</t>
  </si>
  <si>
    <t>DUX-IC-UNID-iPad10/10.9-BLU</t>
  </si>
  <si>
    <t>DUX-IC-UNID-iPad10/10.9-GRN</t>
  </si>
  <si>
    <t>DUX-IC-UNID-iPad10/10.9-PNK</t>
  </si>
  <si>
    <t>DUX-IC-UNID-iPad10/10.9-PRP</t>
  </si>
  <si>
    <t>DUX-IC-UNID-iPad9.7-BLK</t>
  </si>
  <si>
    <t>DUX-IC-UNID-iPad9.7-BLU</t>
  </si>
  <si>
    <t>DUX-IC-UNID-iPad9.7-GRN</t>
  </si>
  <si>
    <t>DUX-IC-UNID-iPad9.7-PNK</t>
  </si>
  <si>
    <t>DUX-IC-UNID-iPad9.7-PRP</t>
  </si>
  <si>
    <t>DUX-IC-VERS-Air11-BLK</t>
  </si>
  <si>
    <t>DUX-IC-VERS-Air11-PNK</t>
  </si>
  <si>
    <t>DUX-IC-VERS-Air13-BLK</t>
  </si>
  <si>
    <t>DUX-IC-VERS-Air13-PNK</t>
  </si>
  <si>
    <t>DUX-IC-VERS-Pro11-BLK</t>
  </si>
  <si>
    <t>DUX-IC-VERS-Pro11-PNK</t>
  </si>
  <si>
    <t>DUX-IC-VERS-Pro13-BLK</t>
  </si>
  <si>
    <t>DUX-IC-VERS-Pro13-PNK</t>
  </si>
  <si>
    <t>DUX-IC-VERS-S/A9Plus-BLK</t>
  </si>
  <si>
    <t>DUX-IC-VERS-S/A9Plus-PNK</t>
  </si>
  <si>
    <t>DUX-IC-VERS-TabS10FE-PNK</t>
  </si>
  <si>
    <t>DUX-IC-VERS-TabS10FEPlus-BLK</t>
  </si>
  <si>
    <t>DUX-IC-VERS-TabS10FEPlus-PNK</t>
  </si>
  <si>
    <t>DUX-IC-VERS-TabS10Plus-BLK</t>
  </si>
  <si>
    <t>DUX-IC-VERS-TabS10Plus-PNK</t>
  </si>
  <si>
    <t>DUX-IC-VERS-TabS11-BLK</t>
  </si>
  <si>
    <t>DUX-IC-VERS-TabS11-PNK</t>
  </si>
  <si>
    <t>DUX-IC-VERS-TabS11Ultra-BLK</t>
  </si>
  <si>
    <t>DUX-IC-VERS-TabS11Ultra-PNK</t>
  </si>
  <si>
    <t>DUX-IC-VERS-iPad10/11-BLK</t>
  </si>
  <si>
    <t>DUX-IC-VERS-iPad10/11-PNK</t>
  </si>
  <si>
    <t>DUX-IC-VERS-iPad789-BLK</t>
  </si>
  <si>
    <t>DUX-IC-VERS-iPad789-PNK</t>
  </si>
  <si>
    <t>DUX-IC-VK-Air11-BLK</t>
  </si>
  <si>
    <t>DUX-IC-VK-Pro11(20/21/22)-BLK</t>
  </si>
  <si>
    <t>DUX-IC-VK-Pro11(2024)-BLK</t>
  </si>
  <si>
    <t>DUX-IC-VK-iPad10/11-BLK</t>
  </si>
  <si>
    <t>DUX-KEY-LK-BLK</t>
  </si>
  <si>
    <t>DUX-KEY-LK-WHT</t>
  </si>
  <si>
    <t>DUX-LANY-GA-BEG(P)-GRN/YLW</t>
  </si>
  <si>
    <t>DUX-LANY-GA-BEG(P)-GRY</t>
  </si>
  <si>
    <t>DUX-LANY-GA-BEG(P)-L/PNK</t>
  </si>
  <si>
    <t>DUX-LANY-GA-BEG(P)-PNK</t>
  </si>
  <si>
    <t>DUX-LANY-GA-BEG(P)-SKY/BLU</t>
  </si>
  <si>
    <t>DUX-LANY-GA-BEG(W)-AM/GRN</t>
  </si>
  <si>
    <t>DUX-LANY-GA-BEG(W)-GRN/YLW</t>
  </si>
  <si>
    <t>DUX-LANY-GA-BEG(W)-GRY</t>
  </si>
  <si>
    <t>DUX-LANY-GA-BEG(W)-L/PNK</t>
  </si>
  <si>
    <t>DUX-LANY-GA-BEG(W)-PNK</t>
  </si>
  <si>
    <t>DUX-LANY-GA-BEG(W)-SKY/BLU</t>
  </si>
  <si>
    <t>DUX-LANY-GA-ICE(P)-GLZ/YLW</t>
  </si>
  <si>
    <t>DUX-LANY-GA-ICE(P)-GRN/YLW</t>
  </si>
  <si>
    <t>DUX-LANY-GA-ICE(P)-GRY</t>
  </si>
  <si>
    <t>DUX-LANY-GA-ICE(W)-GLZ/YLW</t>
  </si>
  <si>
    <t>DUX-LANY-GA-ICE(W)-GRN/YLW</t>
  </si>
  <si>
    <t>DUX-LANY-GA-ICE(W)-GRY</t>
  </si>
  <si>
    <t>DUX-LANY-PLAZ-CROS-AMB</t>
  </si>
  <si>
    <t>DUX-LANY-PLAZ-CROS-ARMY</t>
  </si>
  <si>
    <t>DUX-LANY-PLAZ-CROS-BLU</t>
  </si>
  <si>
    <t>DUX-LANY-PLAZ-CROS-GLAZE</t>
  </si>
  <si>
    <t>DUX-LANY-PLAZ-CROS-GRN/YLW</t>
  </si>
  <si>
    <t>DUX-LANY-PLAZ-CROS-GRY</t>
  </si>
  <si>
    <t>DUX-LANY-PLAZ-CROS-LIG/GRN</t>
  </si>
  <si>
    <t>DUX-LANY-PLAZ-CROS-PNK</t>
  </si>
  <si>
    <t>DUX-LC-LCGH-Air/13-BLK</t>
  </si>
  <si>
    <t>DUX-LC-LCGH-Air/13-PNK</t>
  </si>
  <si>
    <t>DUX-LC-LCGH-Air/13.6-BLK</t>
  </si>
  <si>
    <t>DUX-LC-LCGH-Air/13.6-PNK</t>
  </si>
  <si>
    <t>DUX-LC-LCGH-Air/15-BLK</t>
  </si>
  <si>
    <t>DUX-LC-LCGH-Air/15-PNK</t>
  </si>
  <si>
    <t>DUX-LC-LCGH-Pro/13-BLK</t>
  </si>
  <si>
    <t>DUX-LC-LCGH-Pro/13-PNK</t>
  </si>
  <si>
    <t>DUX-LC-LCGH-Pro/14-BLK</t>
  </si>
  <si>
    <t>DUX-LC-LCGH-Pro/14-PNK</t>
  </si>
  <si>
    <t>DUX-LC-LCGM-Air/13-BLK</t>
  </si>
  <si>
    <t>DUX-LC-LCGM-Air/13-PNK</t>
  </si>
  <si>
    <t>DUX-LC-LCGM-Air/13-TP</t>
  </si>
  <si>
    <t>DUX-LC-LCGM-Air/13.6-BLK</t>
  </si>
  <si>
    <t>DUX-LC-LCGM-Air/13.6-PNK</t>
  </si>
  <si>
    <t>DUX-LC-LCGM-Air/13.6-TP</t>
  </si>
  <si>
    <t>DUX-LC-LCGM-Air/15-BLK</t>
  </si>
  <si>
    <t>DUX-LC-LCGM-Air/15-PNK</t>
  </si>
  <si>
    <t>DUX-LC-LCGM-Air/15-TP</t>
  </si>
  <si>
    <t>DUX-LC-LCGM-Pro/13-BLK</t>
  </si>
  <si>
    <t>DUX-LC-LCGM-Pro/13-PNK</t>
  </si>
  <si>
    <t>DUX-LC-LCGM-Pro/13-TP</t>
  </si>
  <si>
    <t>DUX-LC-LCGM-Pro/14-BLK</t>
  </si>
  <si>
    <t>DUX-LC-LCGM-Pro/14-PNK</t>
  </si>
  <si>
    <t>DUX-LC-LCGM-Pro/14-TP</t>
  </si>
  <si>
    <t>DUX-MAC-C30-Adapter-BLK</t>
  </si>
  <si>
    <t>DUX-MAC-C30-Adapter-WHT</t>
  </si>
  <si>
    <t>DUX-MAC-LWS-Wallet-BLK</t>
  </si>
  <si>
    <t>DUX-MAC-LWS-Wallet-BLU</t>
  </si>
  <si>
    <t>DUX-MOUSE-CM-BLK</t>
  </si>
  <si>
    <t>DUX-MOUSE-CM-WHT</t>
  </si>
  <si>
    <t>DUX-MOUSE-DM-BLK</t>
  </si>
  <si>
    <t>DUX-PC-AIMO(MS)-FINDX7-BLK</t>
  </si>
  <si>
    <t>DUX-PC-AIMO(MS)-FINDX7ULTRA-BLK</t>
  </si>
  <si>
    <t>DUX-PC-AIMO(MS)-FindN3-BLK</t>
  </si>
  <si>
    <t>DUX-PC-AIMO(MS)-Magic6Pro-BLK</t>
  </si>
  <si>
    <t>DUX-PC-AIMO(MS)-Pixel7a-BLK</t>
  </si>
  <si>
    <t>DUX-PC-AIMO(MS)-Pixel8-BLK</t>
  </si>
  <si>
    <t>DUX-PC-AIMO(MS)-Pixel8Pro-BLK</t>
  </si>
  <si>
    <t>DUX-PC-AIMO(MS)-Pura70-BLK</t>
  </si>
  <si>
    <t>DUX-PC-AIMO(MS)-Pura70Pro-BLK</t>
  </si>
  <si>
    <t>DUX-PC-AIMO(MS)-Pura70Ultra-BLK</t>
  </si>
  <si>
    <t>DUX-PC-AIMO(MS)-S23-BLK</t>
  </si>
  <si>
    <t>DUX-PC-AIMO(MS)-S23FE-BLK</t>
  </si>
  <si>
    <t>DUX-PC-AIMO(MS)-S23Plus-BLK</t>
  </si>
  <si>
    <t>DUX-PC-AIMO(MS)-S23Ultra-BLK</t>
  </si>
  <si>
    <t>DUX-PC-AIMO(MS)-S24-BLK</t>
  </si>
  <si>
    <t>DUX-PC-AIMO(MS)-S24FE-BLK</t>
  </si>
  <si>
    <t>DUX-PC-AIMO(MS)-S24Plus-BLK</t>
  </si>
  <si>
    <t>DUX-PC-AIMO(MS)-S24Ultra-BLK</t>
  </si>
  <si>
    <t>DUX-PC-AIMO(MS)-XM14Ultra-BLK</t>
  </si>
  <si>
    <t>DUX-PC-AIMO(MS)-ZFlip5-BLK</t>
  </si>
  <si>
    <t>DUX-PC-AIMO(MS)-ZFlip6-BLK</t>
  </si>
  <si>
    <t>DUX-PC-AIMO(MS)-ZFlip7-BLK</t>
  </si>
  <si>
    <t>DUX-PC-AIMO(MS)-ZFold5-BLK</t>
  </si>
  <si>
    <t>DUX-PC-AIMO(MS)-ZFold6-BLK</t>
  </si>
  <si>
    <t>DUX-PC-AIMO(MS)-ZFold7-BLK</t>
  </si>
  <si>
    <t>DUX-PC-AIMO(MS)-ZFoldSE-BLK</t>
  </si>
  <si>
    <t>DUX-PC-AIMO(MS)-i12-BLK</t>
  </si>
  <si>
    <t>DUX-PC-AIMO(MS)-i12Pro-BLK</t>
  </si>
  <si>
    <t>DUX-PC-AIMO(MS)-i12ProMax-BLK</t>
  </si>
  <si>
    <t>DUX-PC-AIMO(MS)-i13-BLK</t>
  </si>
  <si>
    <t>DUX-PC-AIMO(MS)-i13Pro-BLK</t>
  </si>
  <si>
    <t>DUX-PC-AIMO(MS)-i13ProMax-BLK</t>
  </si>
  <si>
    <t>DUX-PC-AIMO(MS)-i14-BLK</t>
  </si>
  <si>
    <t>DUX-PC-AIMO(MS)-i14Plus-BLK</t>
  </si>
  <si>
    <t>DUX-PC-AIMO(MS)-i14Pro-BLK</t>
  </si>
  <si>
    <t>DUX-PC-AIMO(MS)-i14ProMax-BLK</t>
  </si>
  <si>
    <t>DUX-PC-AIMO(MS)-i15-BLK</t>
  </si>
  <si>
    <t>DUX-PC-AIMO(MS)-i15Plus-BLK</t>
  </si>
  <si>
    <t>DUX-PC-AIMO(MS)-i15Pro-BLK</t>
  </si>
  <si>
    <t>DUX-PC-AIMO(MS)-i15ProMax-BLK</t>
  </si>
  <si>
    <t>DUX-PC-AIMO(MS)-i16-BLK</t>
  </si>
  <si>
    <t>DUX-PC-AIMO(MS)-i16Plus-BLK</t>
  </si>
  <si>
    <t>DUX-PC-AIMO(MS)-i16Pro-BLK</t>
  </si>
  <si>
    <t>DUX-PC-AIMO(MS)-i16ProMax-BLK</t>
  </si>
  <si>
    <t>DUX-PC-AIMO(MS)-iP16E-BLK</t>
  </si>
  <si>
    <t>DUX-PC-AIMO(MS)-iP17-BLK</t>
  </si>
  <si>
    <t>DUX-PC-AIMO(MS)-iP17Air-BLK</t>
  </si>
  <si>
    <t>DUX-PC-AIMO(MS)-iP17Pro-BLK</t>
  </si>
  <si>
    <t>DUX-PC-AIMO(MS)-iP17ProMax-BLK</t>
  </si>
  <si>
    <t>DUX-PC-AIMO(RING)-S24-BLK</t>
  </si>
  <si>
    <t>DUX-PC-AIMO(RING)-S24Plus-BLK</t>
  </si>
  <si>
    <t>DUX-PC-AIMO(RING)-S24Ultra-BLK</t>
  </si>
  <si>
    <t>DUX-PC-AIMO(RING)-S25-BLK</t>
  </si>
  <si>
    <t>DUX-PC-AIMO(RING)-S25Edge-BLK</t>
  </si>
  <si>
    <t>DUX-PC-AIMO(RING)-S25Plus-BLK</t>
  </si>
  <si>
    <t>DUX-PC-AIMO(RING)-S25Ultra-BLK</t>
  </si>
  <si>
    <t>DUX-PC-AIMO(RING)-i16-BLK</t>
  </si>
  <si>
    <t>DUX-PC-AIMO(RING)-i16Plus-BLK</t>
  </si>
  <si>
    <t>DUX-PC-AIMO(RING)-i16Pro-BLK</t>
  </si>
  <si>
    <t>DUX-PC-AIMO(RING)-i16ProMax-BLK</t>
  </si>
  <si>
    <t>DUX-PC-AIMO-1+11-BLK</t>
  </si>
  <si>
    <t>DUX-PC-AIMO-1+Nord3/Ace2V-BLK</t>
  </si>
  <si>
    <t>DUX-PC-AIMO-1+NordCE/3Lite-BLK</t>
  </si>
  <si>
    <t>DUX-PC-AIMO-A14(4G/5G)-BLK</t>
  </si>
  <si>
    <t>DUX-PC-AIMO-A24/4G-BLK</t>
  </si>
  <si>
    <t>DUX-PC-AIMO-A34/5G-BLK</t>
  </si>
  <si>
    <t>DUX-PC-AIMO-A54/5G-BLK</t>
  </si>
  <si>
    <t>DUX-PC-AIMO-CMF1-BLK</t>
  </si>
  <si>
    <t>DUX-PC-AIMO-CMF2Pro-BLK</t>
  </si>
  <si>
    <t>DUX-PC-AIMO-FINDX7-BLK</t>
  </si>
  <si>
    <t>DUX-PC-AIMO-FINDX7ULTRA-BLK</t>
  </si>
  <si>
    <t>DUX-PC-AIMO-FindN3-BLK</t>
  </si>
  <si>
    <t>DUX-PC-AIMO-GTNEO6-BLK</t>
  </si>
  <si>
    <t>DUX-PC-AIMO-HN/400Lite-BLK</t>
  </si>
  <si>
    <t>DUX-PC-AIMO-HN/X9C-BLK</t>
  </si>
  <si>
    <t>DUX-PC-AIMO-Honor100-BLK</t>
  </si>
  <si>
    <t>DUX-PC-AIMO-Honor100Pro-BLK</t>
  </si>
  <si>
    <t>DUX-PC-AIMO-Honor200-BLK</t>
  </si>
  <si>
    <t>DUX-PC-AIMO-Honor200Pro-BLK</t>
  </si>
  <si>
    <t>DUX-PC-AIMO-Honor400-BLK</t>
  </si>
  <si>
    <t>DUX-PC-AIMO-Honor90-BLK</t>
  </si>
  <si>
    <t>DUX-PC-AIMO-Honor90Lite-BLK</t>
  </si>
  <si>
    <t>DUX-PC-AIMO-HonorX9b-BLK</t>
  </si>
  <si>
    <t>DUX-PC-AIMO-K60/Pro-BLK</t>
  </si>
  <si>
    <t>DUX-PC-AIMO-Magic5-BLK</t>
  </si>
  <si>
    <t>DUX-PC-AIMO-Magic5Pro-BLK</t>
  </si>
  <si>
    <t>DUX-PC-AIMO-Magic6Pro-BLK</t>
  </si>
  <si>
    <t>DUX-PC-AIMO-MagicV2-BLK</t>
  </si>
  <si>
    <t>DUX-PC-AIMO-MateX3-BLK</t>
  </si>
  <si>
    <t>DUX-PC-AIMO-Mi14TPro-BLK</t>
  </si>
  <si>
    <t>DUX-PC-AIMO-Mi15T-BLK</t>
  </si>
  <si>
    <t>DUX-PC-AIMO-Mi15TPro-BLK</t>
  </si>
  <si>
    <t>DUX-PC-AIMO-NTH/3A-BLK</t>
  </si>
  <si>
    <t>DUX-PC-AIMO-NTH/3APRO-BLK</t>
  </si>
  <si>
    <t>DUX-PC-AIMO-NoPhone2-BLK</t>
  </si>
  <si>
    <t>DUX-PC-AIMO-NoPhone2A-BLK</t>
  </si>
  <si>
    <t>DUX-PC-AIMO-NoPhone3-BLK</t>
  </si>
  <si>
    <t>DUX-PC-AIMO-OnePlus12-BLK</t>
  </si>
  <si>
    <t>DUX-PC-AIMO-OnePlus13-BLK</t>
  </si>
  <si>
    <t>DUX-PC-AIMO-P60-BLK</t>
  </si>
  <si>
    <t>DUX-PC-AIMO-Pixel10/10Pro-BLK</t>
  </si>
  <si>
    <t>DUX-PC-AIMO-Pixel10ProXL-BLK</t>
  </si>
  <si>
    <t>DUX-PC-AIMO-Pixel7a-BLK</t>
  </si>
  <si>
    <t>DUX-PC-AIMO-Pixel8-BLK</t>
  </si>
  <si>
    <t>DUX-PC-AIMO-Pixel8Pro-BLK</t>
  </si>
  <si>
    <t>DUX-PC-AIMO-Pixel9/9Pro-BLK</t>
  </si>
  <si>
    <t>DUX-PC-AIMO-Pixel9A-BLK</t>
  </si>
  <si>
    <t>DUX-PC-AIMO-Pixel9PROXL-BLK</t>
  </si>
  <si>
    <t>DUX-PC-AIMO-PocoF6-BLK</t>
  </si>
  <si>
    <t>DUX-PC-AIMO-Pura70-BLK</t>
  </si>
  <si>
    <t>DUX-PC-AIMO-Pura70Pro-BLK</t>
  </si>
  <si>
    <t>DUX-PC-AIMO-Pura70Ultra-BLK</t>
  </si>
  <si>
    <t>DUX-PC-AIMO-RENO13F(4G/5G)-BLK</t>
  </si>
  <si>
    <t>DUX-PC-AIMO-RMK70/PRO-BLK</t>
  </si>
  <si>
    <t>DUX-PC-AIMO-RMK70E-BLK</t>
  </si>
  <si>
    <t>DUX-PC-AIMO-RMN13(4G)-BLK</t>
  </si>
  <si>
    <t>DUX-PC-AIMO-RMN13(5G)-BLK</t>
  </si>
  <si>
    <t>DUX-PC-AIMO-RMN13PRO(4G)-BLK</t>
  </si>
  <si>
    <t>DUX-PC-AIMO-RMN13PRO(5G)-BLK</t>
  </si>
  <si>
    <t>DUX-PC-AIMO-RMN13PRO+(5G)-BLK</t>
  </si>
  <si>
    <t>DUX-PC-AIMO-RMN14(5G)-BLK</t>
  </si>
  <si>
    <t>DUX-PC-AIMO-RMN14PRO(5G)-BLK</t>
  </si>
  <si>
    <t>DUX-PC-AIMO-RMN14PROPLUS(5G)-BLK</t>
  </si>
  <si>
    <t>DUX-PC-AIMO-RMNote12/4G-BLK</t>
  </si>
  <si>
    <t>DUX-PC-AIMO-RMNote12/5G-BLK</t>
  </si>
  <si>
    <t>DUX-PC-AIMO-RMNote12Pro+/5G-BLK</t>
  </si>
  <si>
    <t>DUX-PC-AIMO-RMNote12Pro/5G-BLK</t>
  </si>
  <si>
    <t>DUX-PC-AIMO-RMNote12Turbo-BLK</t>
  </si>
  <si>
    <t>DUX-PC-AIMO-RMNote12s-BLK</t>
  </si>
  <si>
    <t>DUX-PC-AIMO-RMagic10/Air-BLK</t>
  </si>
  <si>
    <t>DUX-PC-AIMO-RMagic10Pro/Plus-BLK</t>
  </si>
  <si>
    <t>DUX-PC-AIMO-RMagic9Pro/Plus-BLK</t>
  </si>
  <si>
    <t>DUX-PC-AIMO-ROG7-BLK</t>
  </si>
  <si>
    <t>DUX-PC-AIMO-ROG8/Pro-BLK</t>
  </si>
  <si>
    <t>DUX-PC-AIMO-ROG9/Pro-BLK</t>
  </si>
  <si>
    <t>DUX-PC-AIMO-Reno10/Pro-BLK</t>
  </si>
  <si>
    <t>DUX-PC-AIMO-Reno11-BLK</t>
  </si>
  <si>
    <t>DUX-PC-AIMO-Reno11F-BLK</t>
  </si>
  <si>
    <t>DUX-PC-AIMO-Reno12-BLK</t>
  </si>
  <si>
    <t>DUX-PC-AIMO-Reno12F-BLK</t>
  </si>
  <si>
    <t>DUX-PC-AIMO-Reno12Pro-BLK</t>
  </si>
  <si>
    <t>DUX-PC-AIMO-Reno14-BLK</t>
  </si>
  <si>
    <t>DUX-PC-AIMO-Reno14F-BLK</t>
  </si>
  <si>
    <t>DUX-PC-AIMO-Reno14Pro-BLK</t>
  </si>
  <si>
    <t>DUX-PC-AIMO-Rme12/Plus-BLK</t>
  </si>
  <si>
    <t>DUX-PC-AIMO-Rme12/ProPlus-BLK</t>
  </si>
  <si>
    <t>DUX-PC-AIMO-S/A15(4G/5G)-BLK</t>
  </si>
  <si>
    <t>DUX-PC-AIMO-S/A16-BLK</t>
  </si>
  <si>
    <t>DUX-PC-AIMO-S/A17-BLK</t>
  </si>
  <si>
    <t>DUX-PC-AIMO-S/A25(4G/5G)-BLK</t>
  </si>
  <si>
    <t>DUX-PC-AIMO-S/A35(5G)-BLK</t>
  </si>
  <si>
    <t>DUX-PC-AIMO-S/A36(5G)-BLK</t>
  </si>
  <si>
    <t>DUX-PC-AIMO-S/A55(5G)-BLK</t>
  </si>
  <si>
    <t>DUX-PC-AIMO-S22Ultra-BLK</t>
  </si>
  <si>
    <t>DUX-PC-AIMO-S23-BLK</t>
  </si>
  <si>
    <t>DUX-PC-AIMO-S23FE-BLK</t>
  </si>
  <si>
    <t>DUX-PC-AIMO-S23Plus-BLK</t>
  </si>
  <si>
    <t>DUX-PC-AIMO-S23Ultra-BLK</t>
  </si>
  <si>
    <t>DUX-PC-AIMO-S24-BLK</t>
  </si>
  <si>
    <t>DUX-PC-AIMO-S24FE-BLK</t>
  </si>
  <si>
    <t>DUX-PC-AIMO-S24Plus-BLK</t>
  </si>
  <si>
    <t>DUX-PC-AIMO-S24Ultra-BLK</t>
  </si>
  <si>
    <t>DUX-PC-AIMO-S25-BLK</t>
  </si>
  <si>
    <t>DUX-PC-AIMO-S25Edge-BLK</t>
  </si>
  <si>
    <t>DUX-PC-AIMO-S25Plus-BLK</t>
  </si>
  <si>
    <t>DUX-PC-AIMO-S25Ultra-BLK</t>
  </si>
  <si>
    <t>DUX-PC-AIMO-V27-BLK</t>
  </si>
  <si>
    <t>DUX-PC-AIMO-V29-BLK</t>
  </si>
  <si>
    <t>DUX-PC-AIMO-V30/PRO-BLK</t>
  </si>
  <si>
    <t>DUX-PC-AIMO-V30e-BLK</t>
  </si>
  <si>
    <t>DUX-PC-AIMO-V40/Pro-BLK</t>
  </si>
  <si>
    <t>DUX-PC-AIMO-V60-BLK</t>
  </si>
  <si>
    <t>DUX-PC-AIMO-X90-BLK</t>
  </si>
  <si>
    <t>DUX-PC-AIMO-X90Pro-BLK</t>
  </si>
  <si>
    <t>DUX-PC-AIMO-XM13-BLK</t>
  </si>
  <si>
    <t>DUX-PC-AIMO-XM13Pro-BLK</t>
  </si>
  <si>
    <t>DUX-PC-AIMO-XM13T/PRO-BLK</t>
  </si>
  <si>
    <t>DUX-PC-AIMO-XM13Ultra-BLK</t>
  </si>
  <si>
    <t>DUX-PC-AIMO-XM14-BLK</t>
  </si>
  <si>
    <t>DUX-PC-AIMO-XM14Pro-BLK</t>
  </si>
  <si>
    <t>DUX-PC-AIMO-XM14Ultra-BLK</t>
  </si>
  <si>
    <t>DUX-PC-AIMO-XM15-BLK</t>
  </si>
  <si>
    <t>DUX-PC-AIMO-XM15Pro-BLK</t>
  </si>
  <si>
    <t>DUX-PC-AIMO-ZFlip4-BLK</t>
  </si>
  <si>
    <t>DUX-PC-AIMO-ZFlip5-BLK</t>
  </si>
  <si>
    <t>DUX-PC-AIMO-ZFlip6-BLK</t>
  </si>
  <si>
    <t>DUX-PC-AIMO-ZFlip7-BLK</t>
  </si>
  <si>
    <t>DUX-PC-AIMO-ZFold4-BLK</t>
  </si>
  <si>
    <t>DUX-PC-AIMO-ZFold5-BLK</t>
  </si>
  <si>
    <t>DUX-PC-AIMO-ZFold6-BLK</t>
  </si>
  <si>
    <t>DUX-PC-AIMO-ZFold7-BLK</t>
  </si>
  <si>
    <t>DUX-PC-AIMO-ZFoldSE-BLK</t>
  </si>
  <si>
    <t>DUX-PC-AIMO-i12-BLK</t>
  </si>
  <si>
    <t>DUX-PC-AIMO-i12Pro-BLK</t>
  </si>
  <si>
    <t>DUX-PC-AIMO-i12ProMax-BLK</t>
  </si>
  <si>
    <t>DUX-PC-AIMO-i13-BLK</t>
  </si>
  <si>
    <t>DUX-PC-AIMO-i13Pro-BLK</t>
  </si>
  <si>
    <t>DUX-PC-AIMO-i13ProMax-BLK</t>
  </si>
  <si>
    <t>DUX-PC-AIMO-i14-BLK</t>
  </si>
  <si>
    <t>DUX-PC-AIMO-i14Plus-BLK</t>
  </si>
  <si>
    <t>DUX-PC-AIMO-i14Pro-BLK</t>
  </si>
  <si>
    <t>DUX-PC-AIMO-i14ProMax-BLK</t>
  </si>
  <si>
    <t>DUX-PC-AIMO-i15-BLK</t>
  </si>
  <si>
    <t>DUX-PC-AIMO-i15Plus-BLK</t>
  </si>
  <si>
    <t>DUX-PC-AIMO-i15Pro-BLK</t>
  </si>
  <si>
    <t>DUX-PC-AIMO-i15ProMax-BLK</t>
  </si>
  <si>
    <t>DUX-PC-AIMO-i16-BLK</t>
  </si>
  <si>
    <t>DUX-PC-AIMO-i16Plus-BLK</t>
  </si>
  <si>
    <t>DUX-PC-AIMO-i16Pro-BLK</t>
  </si>
  <si>
    <t>DUX-PC-AIMO-i16ProMax-BLK</t>
  </si>
  <si>
    <t>DUX-PC-AIMO-iP16E-BLK</t>
  </si>
  <si>
    <t>DUX-PC-AIMO-iP17-BLK</t>
  </si>
  <si>
    <t>DUX-PC-AIMO-iP17Air-BLK</t>
  </si>
  <si>
    <t>DUX-PC-AIMO-iP17Pro-BLK</t>
  </si>
  <si>
    <t>DUX-PC-AIMO-iP17ProMax-BLK</t>
  </si>
  <si>
    <t>DUX-PC-AIMO-iQOO12-BLK</t>
  </si>
  <si>
    <t>DUX-PC-BRIL-FindN2Flip-BLK</t>
  </si>
  <si>
    <t>DUX-PC-BRIL-FindN2Flip-PNK</t>
  </si>
  <si>
    <t>DUX-PC-BRIL-FindN2Flip-PRP</t>
  </si>
  <si>
    <t>DUX-PC-BRIL-FindN3-BLK</t>
  </si>
  <si>
    <t>DUX-PC-BRIL-FindN3-PNK</t>
  </si>
  <si>
    <t>DUX-PC-BRIL-FindN3-PRP</t>
  </si>
  <si>
    <t>DUX-PC-BRIL-FindN5-BLK</t>
  </si>
  <si>
    <t>DUX-PC-BRIL-FindN5-BLU</t>
  </si>
  <si>
    <t>DUX-PC-BRIL-MagicV3-BLK</t>
  </si>
  <si>
    <t>DUX-PC-BRIL-MagicV3-BLU</t>
  </si>
  <si>
    <t>DUX-PC-BRIL-MagicV5-BLK</t>
  </si>
  <si>
    <t>DUX-PC-BRIL-MagicV5-BLU</t>
  </si>
  <si>
    <t>DUX-PC-BRIL-MagicVS-BLK</t>
  </si>
  <si>
    <t>DUX-PC-BRIL-MateX3-BLK</t>
  </si>
  <si>
    <t>DUX-PC-BRIL-ZFlip3-BLK</t>
  </si>
  <si>
    <t>DUX-PC-BRIL-ZFlip3-PNK</t>
  </si>
  <si>
    <t>DUX-PC-BRIL-ZFlip3-PRP</t>
  </si>
  <si>
    <t>DUX-PC-BRIL-ZFlip4-BLK</t>
  </si>
  <si>
    <t>DUX-PC-BRIL-ZFlip4-PNK</t>
  </si>
  <si>
    <t>DUX-PC-BRIL-ZFlip4-PRP</t>
  </si>
  <si>
    <t>DUX-PC-BRIL-ZFlip5-BLK</t>
  </si>
  <si>
    <t>DUX-PC-BRIL-ZFlip5-PNK</t>
  </si>
  <si>
    <t>DUX-PC-BRIL-ZFlip5-PRP</t>
  </si>
  <si>
    <t>DUX-PC-BRIL-ZFlip6-BLK</t>
  </si>
  <si>
    <t>DUX-PC-BRIL-ZFlip6-PNK</t>
  </si>
  <si>
    <t>DUX-PC-BRIL-ZFlip6-PRP</t>
  </si>
  <si>
    <t>DUX-PC-BRIL-ZFlip7-BLK</t>
  </si>
  <si>
    <t>DUX-PC-BRIL-ZFlip7-BLU</t>
  </si>
  <si>
    <t>DUX-PC-BRIL-ZFlip7-PNK</t>
  </si>
  <si>
    <t>DUX-PC-BRIL-ZFold3-BLK</t>
  </si>
  <si>
    <t>DUX-PC-BRIL-ZFold3-BLU</t>
  </si>
  <si>
    <t>DUX-PC-BRIL-ZFold3-BRW</t>
  </si>
  <si>
    <t>DUX-PC-BRIL-ZFold4-BLK</t>
  </si>
  <si>
    <t>DUX-PC-BRIL-ZFold4-BLU</t>
  </si>
  <si>
    <t>DUX-PC-BRIL-ZFold4-BRW</t>
  </si>
  <si>
    <t>DUX-PC-BRIL-ZFold5-BLK</t>
  </si>
  <si>
    <t>DUX-PC-BRIL-ZFold5-BLU</t>
  </si>
  <si>
    <t>DUX-PC-BRIL-ZFold5-PNK</t>
  </si>
  <si>
    <t>DUX-PC-BRIL-ZFold6-BLK</t>
  </si>
  <si>
    <t>DUX-PC-BRIL-ZFold6-BLU</t>
  </si>
  <si>
    <t>DUX-PC-BRIL-ZFold6-PNK</t>
  </si>
  <si>
    <t>DUX-PC-BRIL-ZFold7-BLK</t>
  </si>
  <si>
    <t>DUX-PC-BRIL-ZFold7-BLU</t>
  </si>
  <si>
    <t>DUX-PC-BRIL-ZFold7-PNK</t>
  </si>
  <si>
    <t>DUX-PC-BRIL-ZFoldSE-BLK</t>
  </si>
  <si>
    <t>DUX-PC-BRIL-ZFoldSE-BLU</t>
  </si>
  <si>
    <t>DUX-PC-CLIN(MS)-i12-CLR</t>
  </si>
  <si>
    <t>DUX-PC-CLIN(MS)-i12ProMax-CLR</t>
  </si>
  <si>
    <t>DUX-PC-CLIN(MS)-i13-CLR</t>
  </si>
  <si>
    <t>DUX-PC-CLIN(MS)-i13Mini-CLR</t>
  </si>
  <si>
    <t>DUX-PC-CLIN(MS)-i13Pro-CLR</t>
  </si>
  <si>
    <t>DUX-PC-CLIN(MS)-i13ProMax-CLR</t>
  </si>
  <si>
    <t>DUX-PC-CLIN(MS)-i14-BLU</t>
  </si>
  <si>
    <t>DUX-PC-CLIN(MS)-i14-CLR</t>
  </si>
  <si>
    <t>DUX-PC-CLIN(MS)-i14-GRY</t>
  </si>
  <si>
    <t>DUX-PC-CLIN(MS)-i14-PNK</t>
  </si>
  <si>
    <t>DUX-PC-CLIN(MS)-i14Plus-BLU</t>
  </si>
  <si>
    <t>DUX-PC-CLIN(MS)-i14Plus-CLR</t>
  </si>
  <si>
    <t>DUX-PC-CLIN(MS)-i14Plus-GRY</t>
  </si>
  <si>
    <t>DUX-PC-CLIN(MS)-i14Plus-PNK</t>
  </si>
  <si>
    <t>DUX-PC-CLIN(MS)-i14Pro-BLU</t>
  </si>
  <si>
    <t>DUX-PC-CLIN(MS)-i14Pro-CLR</t>
  </si>
  <si>
    <t>DUX-PC-CLIN(MS)-i14Pro-GRY</t>
  </si>
  <si>
    <t>DUX-PC-CLIN(MS)-i14Pro-PNK</t>
  </si>
  <si>
    <t>DUX-PC-CLIN(MS)-i14ProMax-BLU</t>
  </si>
  <si>
    <t>DUX-PC-CLIN(MS)-i14ProMax-CLR</t>
  </si>
  <si>
    <t>DUX-PC-CLIN(MS)-i14ProMax-GRY</t>
  </si>
  <si>
    <t>DUX-PC-CLIN(MS)-i14ProMax-PNK</t>
  </si>
  <si>
    <t>DUX-PC-CLIN(MS)-i15-CLR</t>
  </si>
  <si>
    <t>DUX-PC-CLIN(MS)-i15Plus-CLR</t>
  </si>
  <si>
    <t>DUX-PC-CLIN(MS)-i15Pro-CLR</t>
  </si>
  <si>
    <t>DUX-PC-CLIN(MS)-i15ProMax-CLR</t>
  </si>
  <si>
    <t>DUX-PC-CLIN(MS)-iP17Air-CLR</t>
  </si>
  <si>
    <t>DUX-PC-CLIN(MS)-iP17Pro-CLR</t>
  </si>
  <si>
    <t>DUX-PC-CLIN(MS)-iP17ProMax-CLR</t>
  </si>
  <si>
    <t>DUX-PC-CLIN-A14-CLR</t>
  </si>
  <si>
    <t>DUX-PC-CLIN-A24/4G-CLR</t>
  </si>
  <si>
    <t>DUX-PC-CLIN-A34/5G-CLR</t>
  </si>
  <si>
    <t>DUX-PC-CLIN-A54/5G-CLR</t>
  </si>
  <si>
    <t>DUX-PC-CLIN-FindN2Flip-CLR</t>
  </si>
  <si>
    <t>DUX-PC-CLIN-NoPhone1-CLR</t>
  </si>
  <si>
    <t>DUX-PC-CLIN-NoPhone2-CLR</t>
  </si>
  <si>
    <t>DUX-PC-CLIN-RMNote12/5G-CLR</t>
  </si>
  <si>
    <t>DUX-PC-CLIN-RMNote12Pro+-CLR</t>
  </si>
  <si>
    <t>DUX-PC-CLIN-RMNote12Pro/5G-CLR</t>
  </si>
  <si>
    <t>DUX-PC-CLIN-S23-CLR</t>
  </si>
  <si>
    <t>DUX-PC-CLIN-S23Plus-CLR</t>
  </si>
  <si>
    <t>DUX-PC-CLIN-S23Ultra-CLR</t>
  </si>
  <si>
    <t>DUX-PC-CLIN-S25-TP</t>
  </si>
  <si>
    <t>DUX-PC-CLIN-S25Plus-TP</t>
  </si>
  <si>
    <t>DUX-PC-CLIN-S25Ultra-TP</t>
  </si>
  <si>
    <t>DUX-PC-CLIN-S26Ultra-TP</t>
  </si>
  <si>
    <t>DUX-PC-CLIN-XM13-CLR</t>
  </si>
  <si>
    <t>DUX-PC-CLIN-XM13Pro-CLR</t>
  </si>
  <si>
    <t>DUX-PC-CLIN-i16-TP</t>
  </si>
  <si>
    <t>DUX-PC-CLIN-i16Plus-TP</t>
  </si>
  <si>
    <t>DUX-PC-CLIN-i16Pro-TP</t>
  </si>
  <si>
    <t>DUX-PC-CLIN-i16ProMax-TP</t>
  </si>
  <si>
    <t>DUX-PC-CLIN-iP17-CLR</t>
  </si>
  <si>
    <t>DUX-PC-CLIN-iP17Air-CLR</t>
  </si>
  <si>
    <t>DUX-PC-CLIN-iP17Pro-CLR</t>
  </si>
  <si>
    <t>DUX-PC-CLIN-iP17ProMax-CLR</t>
  </si>
  <si>
    <t>DUX-PC-FINO-1+10Pro-BLK</t>
  </si>
  <si>
    <t>DUX-PC-FINO-1+10Pro-BLU</t>
  </si>
  <si>
    <t>DUX-PC-FINO-1+10Pro-RED</t>
  </si>
  <si>
    <t>DUX-PC-FINO-1+NordCE2-BLK</t>
  </si>
  <si>
    <t>DUX-PC-FINO-1+NordCE2-BLU</t>
  </si>
  <si>
    <t>DUX-PC-FINO-A02s-BLU</t>
  </si>
  <si>
    <t>DUX-PC-FINO-A02s-GRN</t>
  </si>
  <si>
    <t>DUX-PC-FINO-A21s-BLU</t>
  </si>
  <si>
    <t>DUX-PC-FINO-A21s-GRN</t>
  </si>
  <si>
    <t>DUX-PC-FINO-A32/4G-BLK</t>
  </si>
  <si>
    <t>DUX-PC-FINO-A32/4G-BLU</t>
  </si>
  <si>
    <t>DUX-PC-FINO-A32/5G-BLK</t>
  </si>
  <si>
    <t>DUX-PC-FINO-A32/5G-BLU</t>
  </si>
  <si>
    <t>DUX-PC-FINO-A32/5G-GRN</t>
  </si>
  <si>
    <t>DUX-PC-FINO-A52-BLK</t>
  </si>
  <si>
    <t>DUX-PC-FINO-A72-BLU</t>
  </si>
  <si>
    <t>DUX-PC-FINO-A72-GRN</t>
  </si>
  <si>
    <t>DUX-PC-FINO-FindX5Pro-BLK</t>
  </si>
  <si>
    <t>DUX-PC-FINO-FindX5Pro-BLU</t>
  </si>
  <si>
    <t>DUX-PC-FINO-FindX5Pro-RED</t>
  </si>
  <si>
    <t>DUX-PC-FINO-PocoF4GT-BLK</t>
  </si>
  <si>
    <t>DUX-PC-FINO-PocoF4GT-BLU</t>
  </si>
  <si>
    <t>DUX-PC-FINO-PocoF4GT-RED</t>
  </si>
  <si>
    <t>DUX-PC-FINO-PocoM4Pro-BLK</t>
  </si>
  <si>
    <t>DUX-PC-FINO-PocoM4Pro-BLU</t>
  </si>
  <si>
    <t>DUX-PC-FINO-PocoM4Pro-GRN</t>
  </si>
  <si>
    <t>DUX-PC-FINO-RMNote10/5G-BLK</t>
  </si>
  <si>
    <t>DUX-PC-FINO-RMNote10/5G-BLU</t>
  </si>
  <si>
    <t>DUX-PC-FINO-RMNote10/5G-GRN</t>
  </si>
  <si>
    <t>DUX-PC-FINO-RMNote11/4G-BLK</t>
  </si>
  <si>
    <t>DUX-PC-FINO-RMNote11/4G-RED</t>
  </si>
  <si>
    <t>DUX-PC-FINO-Reno7/5G-BLK</t>
  </si>
  <si>
    <t>DUX-PC-FINO-Reno7/5G-RED</t>
  </si>
  <si>
    <t>DUX-PC-FINO-Reno7Pro/5G-RED</t>
  </si>
  <si>
    <t>DUX-PC-FINO-S21-BLU</t>
  </si>
  <si>
    <t>DUX-PC-FINO-S21FE-BLK</t>
  </si>
  <si>
    <t>DUX-PC-FINO-S21FE-BLU</t>
  </si>
  <si>
    <t>DUX-PC-FINO-S21FE-GRN</t>
  </si>
  <si>
    <t>DUX-PC-FINO-S21Plus-BLK</t>
  </si>
  <si>
    <t>DUX-PC-FINO-S21Plus-BLU</t>
  </si>
  <si>
    <t>DUX-PC-FINO-S21Plus-GRN</t>
  </si>
  <si>
    <t>DUX-PC-FINO-S21Ultra-BLK</t>
  </si>
  <si>
    <t>DUX-PC-FINO-S22-BLU</t>
  </si>
  <si>
    <t>DUX-PC-FINO-S22Plus-BLK</t>
  </si>
  <si>
    <t>DUX-PC-FINO-S22Plus-BLU</t>
  </si>
  <si>
    <t>DUX-PC-FINO-S22Plus-GRN</t>
  </si>
  <si>
    <t>DUX-PC-FINO-S22Ultra-BLK</t>
  </si>
  <si>
    <t>DUX-PC-FINO-S22Ultra-BLU</t>
  </si>
  <si>
    <t>DUX-PC-FINO-T1/5G-BLK</t>
  </si>
  <si>
    <t>DUX-PC-FINO-V23/5G-BLK</t>
  </si>
  <si>
    <t>DUX-PC-FINO-V23/5G-BLU</t>
  </si>
  <si>
    <t>DUX-PC-FINO-V23/5G-RED</t>
  </si>
  <si>
    <t>DUX-PC-FINO-X80-BLK</t>
  </si>
  <si>
    <t>DUX-PC-FINO-X80Pro-BLK</t>
  </si>
  <si>
    <t>DUX-PC-FINO-XM12-RED</t>
  </si>
  <si>
    <t>DUX-PC-FINO-XM12Pro-BLK</t>
  </si>
  <si>
    <t>DUX-PC-FINO-XM12Pro-BLU</t>
  </si>
  <si>
    <t>DUX-PC-FINO-XM12Pro-RED</t>
  </si>
  <si>
    <t>DUX-PC-FINO-ZFlip4-RED</t>
  </si>
  <si>
    <t>DUX-PC-FINO-i11-BLU</t>
  </si>
  <si>
    <t>DUX-PC-FINO-i11Pro-BLU</t>
  </si>
  <si>
    <t>DUX-PC-FINO-i11ProMax-BLU</t>
  </si>
  <si>
    <t>DUX-PC-FINO-i12ProMax-GRN</t>
  </si>
  <si>
    <t>DUX-PC-FINO-i13-BLK</t>
  </si>
  <si>
    <t>DUX-PC-FINO-i13-BLU</t>
  </si>
  <si>
    <t>DUX-PC-FINO-i13-GRN</t>
  </si>
  <si>
    <t>DUX-PC-FINO-i13Pro-BLU</t>
  </si>
  <si>
    <t>DUX-PC-FINO-i13Pro-GRN</t>
  </si>
  <si>
    <t>DUX-PC-FINO-i14-BLU</t>
  </si>
  <si>
    <t>DUX-PC-FINO-i14-RED</t>
  </si>
  <si>
    <t>DUX-PC-FINO-i14Plus-BLK</t>
  </si>
  <si>
    <t>DUX-PC-FINO-i14Plus-BLU</t>
  </si>
  <si>
    <t>DUX-PC-FINO-i14Plus-RED</t>
  </si>
  <si>
    <t>DUX-PC-FINO-i14Pro-BLK</t>
  </si>
  <si>
    <t>DUX-PC-FINO-i14Pro-BLU</t>
  </si>
  <si>
    <t>DUX-PC-FINO-i14Pro-RED</t>
  </si>
  <si>
    <t>DUX-PC-FINO-i14ProMax-BLU</t>
  </si>
  <si>
    <t>DUX-PC-FINO-i14ProMax-RED</t>
  </si>
  <si>
    <t>DUX-PC-FITT-MagicV3-BLK</t>
  </si>
  <si>
    <t>DUX-PC-FITT-MagicV3-GRY</t>
  </si>
  <si>
    <t>DUX-PC-FITT-ZFlip6-BLK</t>
  </si>
  <si>
    <t>DUX-PC-FITT-ZFlip6-BLU</t>
  </si>
  <si>
    <t>DUX-PC-FITT-ZFlip6-PNK</t>
  </si>
  <si>
    <t>DUX-PC-FITT-ZFold6-BLK</t>
  </si>
  <si>
    <t>DUX-PC-FLIP-1+11/5G-BLK</t>
  </si>
  <si>
    <t>DUX-PC-FLIP-1+11/5G-BLU</t>
  </si>
  <si>
    <t>DUX-PC-FLIP-1+9Pro-BLK</t>
  </si>
  <si>
    <t>DUX-PC-FLIP-1+9Pro-BLU</t>
  </si>
  <si>
    <t>DUX-PC-FLIP-1+Nord3/Ace2V-BLK</t>
  </si>
  <si>
    <t>DUX-PC-FLIP-1+Nord3/Ace2V-BLU</t>
  </si>
  <si>
    <t>DUX-PC-FLIP-1+NordCE-BLU</t>
  </si>
  <si>
    <t>DUX-PC-FLIP-1+NordCE/3Lite-BLK</t>
  </si>
  <si>
    <t>DUX-PC-FLIP-1+NordCE/3Lite-BLU</t>
  </si>
  <si>
    <t>DUX-PC-FLIP-A1/A98-BLK</t>
  </si>
  <si>
    <t>DUX-PC-FLIP-A1/A98-BLU</t>
  </si>
  <si>
    <t>DUX-PC-FLIP-A14/5G-BLK</t>
  </si>
  <si>
    <t>DUX-PC-FLIP-A14/5G-BLU</t>
  </si>
  <si>
    <t>DUX-PC-FLIP-A16-BLU</t>
  </si>
  <si>
    <t>DUX-PC-FLIP-A17/4G-BLK</t>
  </si>
  <si>
    <t>DUX-PC-FLIP-A17/4G-BLU</t>
  </si>
  <si>
    <t>DUX-PC-FLIP-A34/5G-BLK</t>
  </si>
  <si>
    <t>DUX-PC-FLIP-A34/5G-BLU</t>
  </si>
  <si>
    <t>DUX-PC-FLIP-A42-BLU</t>
  </si>
  <si>
    <t>DUX-PC-FLIP-A51-BLK</t>
  </si>
  <si>
    <t>DUX-PC-FLIP-A51-BLU</t>
  </si>
  <si>
    <t>DUX-PC-FLIP-A52-BLK</t>
  </si>
  <si>
    <t>DUX-PC-FLIP-A52-BLU</t>
  </si>
  <si>
    <t>DUX-PC-FLIP-A71-BLK</t>
  </si>
  <si>
    <t>DUX-PC-FLIP-A73/4G-BLK</t>
  </si>
  <si>
    <t>DUX-PC-FLIP-A73/5G-BLK</t>
  </si>
  <si>
    <t>DUX-PC-FLIP-A74/4G-BLK</t>
  </si>
  <si>
    <t>DUX-PC-FLIP-A74/4G-BLU</t>
  </si>
  <si>
    <t>DUX-PC-FLIP-HN/400Lite-BLK</t>
  </si>
  <si>
    <t>DUX-PC-FLIP-HN/400Lite-BLU</t>
  </si>
  <si>
    <t>DUX-PC-FLIP-Honor200-BLK</t>
  </si>
  <si>
    <t>DUX-PC-FLIP-Honor200-BLU</t>
  </si>
  <si>
    <t>DUX-PC-FLIP-Honor200Pro-BLK</t>
  </si>
  <si>
    <t>DUX-PC-FLIP-Honor200Pro-BLU</t>
  </si>
  <si>
    <t>DUX-PC-FLIP-Honor400-BLK</t>
  </si>
  <si>
    <t>DUX-PC-FLIP-Honor400-BLU</t>
  </si>
  <si>
    <t>DUX-PC-FLIP-Honor400Pro-BLK</t>
  </si>
  <si>
    <t>DUX-PC-FLIP-Honor400Pro-BLU</t>
  </si>
  <si>
    <t>DUX-PC-FLIP-Honor50-BLK</t>
  </si>
  <si>
    <t>DUX-PC-FLIP-Honor50-BLU</t>
  </si>
  <si>
    <t>DUX-PC-FLIP-Honor50Lite-BLK</t>
  </si>
  <si>
    <t>DUX-PC-FLIP-Honor50Lite-BLU</t>
  </si>
  <si>
    <t>DUX-PC-FLIP-Honor70-BLK</t>
  </si>
  <si>
    <t>DUX-PC-FLIP-Honor70-BLU</t>
  </si>
  <si>
    <t>DUX-PC-FLIP-Honor90-BLK</t>
  </si>
  <si>
    <t>DUX-PC-FLIP-Honor90-BLU</t>
  </si>
  <si>
    <t>DUX-PC-FLIP-Honor90Lite-BLK</t>
  </si>
  <si>
    <t>DUX-PC-FLIP-Honor90Lite-BLU</t>
  </si>
  <si>
    <t>DUX-PC-FLIP-HonorX6A-BLK</t>
  </si>
  <si>
    <t>DUX-PC-FLIP-HonorX6A-BLU</t>
  </si>
  <si>
    <t>DUX-PC-FLIP-HonorX7/4G-BLK</t>
  </si>
  <si>
    <t>DUX-PC-FLIP-HonorX8a-BLK</t>
  </si>
  <si>
    <t>DUX-PC-FLIP-HonorX8a-BLU</t>
  </si>
  <si>
    <t>DUX-PC-FLIP-HonorX9-BLK</t>
  </si>
  <si>
    <t>DUX-PC-FLIP-HonorX9a-BLK</t>
  </si>
  <si>
    <t>DUX-PC-FLIP-HonorX9a-BLU</t>
  </si>
  <si>
    <t>DUX-PC-FLIP-HonorX9b-BLK</t>
  </si>
  <si>
    <t>DUX-PC-FLIP-HonorX9b-BLU</t>
  </si>
  <si>
    <t>DUX-PC-FLIP-HonorX9c-BLK</t>
  </si>
  <si>
    <t>DUX-PC-FLIP-HonorX9c-BLU</t>
  </si>
  <si>
    <t>DUX-PC-FLIP-M20-BLU</t>
  </si>
  <si>
    <t>DUX-PC-FLIP-M20-GLD</t>
  </si>
  <si>
    <t>DUX-PC-FLIP-M20-RG</t>
  </si>
  <si>
    <t>DUX-PC-FLIP-Magic4Pro-BLK</t>
  </si>
  <si>
    <t>DUX-PC-FLIP-Magic4Pro-BLU</t>
  </si>
  <si>
    <t>DUX-PC-FLIP-Magic5-BLK</t>
  </si>
  <si>
    <t>DUX-PC-FLIP-Magic5-BLU</t>
  </si>
  <si>
    <t>DUX-PC-FLIP-Magic5Pro-BLK</t>
  </si>
  <si>
    <t>DUX-PC-FLIP-Magic6Pro-BLK</t>
  </si>
  <si>
    <t>DUX-PC-FLIP-Magic6Pro-BLU</t>
  </si>
  <si>
    <t>DUX-PC-FLIP-Magic7Pro-BLK</t>
  </si>
  <si>
    <t>DUX-PC-FLIP-Magic7Pro-BLU</t>
  </si>
  <si>
    <t>DUX-PC-FLIP-Magic8Pro-BLK</t>
  </si>
  <si>
    <t>DUX-PC-FLIP-Magic8Pro-BLU</t>
  </si>
  <si>
    <t>DUX-PC-FLIP-Mi14T-BLK</t>
  </si>
  <si>
    <t>DUX-PC-FLIP-Mi14T-BLU</t>
  </si>
  <si>
    <t>DUX-PC-FLIP-Mi14TPro-BLK</t>
  </si>
  <si>
    <t>DUX-PC-FLIP-Mi14TPro-BLU</t>
  </si>
  <si>
    <t>DUX-PC-FLIP-MiA3-BLK</t>
  </si>
  <si>
    <t>DUX-PC-FLIP-MiA3-RG</t>
  </si>
  <si>
    <t>DUX-PC-FLIP-MiNote10-RG</t>
  </si>
  <si>
    <t>DUX-PC-FLIP-NOTE20U-BLK</t>
  </si>
  <si>
    <t>DUX-PC-FLIP-NOTE20U-BLU</t>
  </si>
  <si>
    <t>DUX-PC-FLIP-Nova4-GLD</t>
  </si>
  <si>
    <t>DUX-PC-FLIP-P40-BLK</t>
  </si>
  <si>
    <t>DUX-PC-FLIP-P40-BLU</t>
  </si>
  <si>
    <t>DUX-PC-FLIP-P40-RG</t>
  </si>
  <si>
    <t>DUX-PC-FLIP-Pixel10/10Pro-BLK</t>
  </si>
  <si>
    <t>DUX-PC-FLIP-Pixel10/10Pro-BLU</t>
  </si>
  <si>
    <t>DUX-PC-FLIP-Pixel10ProXL-BLK</t>
  </si>
  <si>
    <t>DUX-PC-FLIP-Pixel10ProXL-BLU</t>
  </si>
  <si>
    <t>DUX-PC-FLIP-PocoC40-BLK</t>
  </si>
  <si>
    <t>DUX-PC-FLIP-PocoC40-BLU</t>
  </si>
  <si>
    <t>DUX-PC-FLIP-PocoF3-BLK</t>
  </si>
  <si>
    <t>DUX-PC-FLIP-PocoF3-BLU</t>
  </si>
  <si>
    <t>DUX-PC-FLIP-PocoF4-BLK</t>
  </si>
  <si>
    <t>DUX-PC-FLIP-PocoF4-PNK</t>
  </si>
  <si>
    <t>DUX-PC-FLIP-PocoF4GT-BLK</t>
  </si>
  <si>
    <t>DUX-PC-FLIP-PocoF4GT-BLU</t>
  </si>
  <si>
    <t>DUX-PC-FLIP-PocoF6-BLK</t>
  </si>
  <si>
    <t>DUX-PC-FLIP-PocoF6-BLU</t>
  </si>
  <si>
    <t>DUX-PC-FLIP-PocoF6Pro-BLK</t>
  </si>
  <si>
    <t>DUX-PC-FLIP-PocoF6Pro-BLU</t>
  </si>
  <si>
    <t>DUX-PC-FLIP-PocoM3-BLK</t>
  </si>
  <si>
    <t>DUX-PC-FLIP-PocoM3-BLU</t>
  </si>
  <si>
    <t>DUX-PC-FLIP-PocoM3-PNK</t>
  </si>
  <si>
    <t>DUX-PC-FLIP-PocoM4-BLK</t>
  </si>
  <si>
    <t>DUX-PC-FLIP-PocoM4-BLU</t>
  </si>
  <si>
    <t>DUX-PC-FLIP-PocoM4Pro-BLK</t>
  </si>
  <si>
    <t>DUX-PC-FLIP-PocoM4Pro-BLU</t>
  </si>
  <si>
    <t>DUX-PC-FLIP-PocoM4Pro/4G-BLK</t>
  </si>
  <si>
    <t>DUX-PC-FLIP-PocoM4Pro/4G-BLU</t>
  </si>
  <si>
    <t>DUX-PC-FLIP-PocoM4Pro/4G-PNK</t>
  </si>
  <si>
    <t>DUX-PC-FLIP-PocoX4Pro-BLK</t>
  </si>
  <si>
    <t>DUX-PC-FLIP-PocoX4Pro-BLU</t>
  </si>
  <si>
    <t>DUX-PC-FLIP-PocoX4Pro-RG</t>
  </si>
  <si>
    <t>DUX-PC-FLIP-PocoX5/5G-BLK</t>
  </si>
  <si>
    <t>DUX-PC-FLIP-PocoX5/5G-BLU</t>
  </si>
  <si>
    <t>DUX-PC-FLIP-PocoX5Pro-BLK</t>
  </si>
  <si>
    <t>DUX-PC-FLIP-PocoX5Pro-BLU</t>
  </si>
  <si>
    <t>DUX-PC-FLIP-RENO13-BLK</t>
  </si>
  <si>
    <t>DUX-PC-FLIP-RENO13-BLU</t>
  </si>
  <si>
    <t>DUX-PC-FLIP-RENO13F(4G/5G)-BLK</t>
  </si>
  <si>
    <t>DUX-PC-FLIP-RENO13F(4G/5G)-BLU</t>
  </si>
  <si>
    <t>DUX-PC-FLIP-RENO13PRO-BLK</t>
  </si>
  <si>
    <t>DUX-PC-FLIP-RENO13PRO-BLU</t>
  </si>
  <si>
    <t>DUX-PC-FLIP-RM13C-BLK</t>
  </si>
  <si>
    <t>DUX-PC-FLIP-RM13C-BLU</t>
  </si>
  <si>
    <t>DUX-PC-FLIP-RMN13(4G)-BLK</t>
  </si>
  <si>
    <t>DUX-PC-FLIP-RMN13(4G)-BLU</t>
  </si>
  <si>
    <t>DUX-PC-FLIP-RMN13(5G)-BLK</t>
  </si>
  <si>
    <t>DUX-PC-FLIP-RMN13(5G)-BLU</t>
  </si>
  <si>
    <t>DUX-PC-FLIP-RMN13PRO(4G)-BLK</t>
  </si>
  <si>
    <t>DUX-PC-FLIP-RMN13PRO(4G)-BLU</t>
  </si>
  <si>
    <t>DUX-PC-FLIP-RMN13PRO(5G)-BLK</t>
  </si>
  <si>
    <t>DUX-PC-FLIP-RMN13PRO(5G)-BLU</t>
  </si>
  <si>
    <t>DUX-PC-FLIP-RMN13PRO+(5G)-BLK</t>
  </si>
  <si>
    <t>DUX-PC-FLIP-RMN13PRO+(5G)-BLU</t>
  </si>
  <si>
    <t>DUX-PC-FLIP-RMN14(5G)-BLK</t>
  </si>
  <si>
    <t>DUX-PC-FLIP-RMN14(5G)-BLU</t>
  </si>
  <si>
    <t>DUX-PC-FLIP-RMN14PRO(5G)-BLK</t>
  </si>
  <si>
    <t>DUX-PC-FLIP-RMN14PRO(5G)-BLU</t>
  </si>
  <si>
    <t>DUX-PC-FLIP-RMN14PROPLUS(5G)-BLK</t>
  </si>
  <si>
    <t>DUX-PC-FLIP-RMN14PROPLUS(5G)-BLU</t>
  </si>
  <si>
    <t>DUX-PC-FLIP-RMNote10-BLK</t>
  </si>
  <si>
    <t>DUX-PC-FLIP-RMNote10-BLU</t>
  </si>
  <si>
    <t>DUX-PC-FLIP-RMNote10Pro-BLU</t>
  </si>
  <si>
    <t>DUX-PC-FLIP-RMNote10Pro-PNK</t>
  </si>
  <si>
    <t>DUX-PC-FLIP-RMNote11/4G-BLK</t>
  </si>
  <si>
    <t>DUX-PC-FLIP-RMNote11/4G-PNK</t>
  </si>
  <si>
    <t>DUX-PC-FLIP-RMNote11PP-BLK</t>
  </si>
  <si>
    <t>DUX-PC-FLIP-RMNote11PP-BLU</t>
  </si>
  <si>
    <t>DUX-PC-FLIP-RMNote11Pro-BLK</t>
  </si>
  <si>
    <t>DUX-PC-FLIP-RMNote11Pro-BLU</t>
  </si>
  <si>
    <t>DUX-PC-FLIP-Realme10/5G-BLK</t>
  </si>
  <si>
    <t>DUX-PC-FLIP-Realme10/5G-BLU</t>
  </si>
  <si>
    <t>DUX-PC-FLIP-Realme10Pro-BLK</t>
  </si>
  <si>
    <t>DUX-PC-FLIP-Realme10Pro-BLU</t>
  </si>
  <si>
    <t>DUX-PC-FLIP-Realme10ProPlus-BLK</t>
  </si>
  <si>
    <t>DUX-PC-FLIP-Realme10ProPlus-BLU</t>
  </si>
  <si>
    <t>DUX-PC-FLIP-Realme11Pro-BLK</t>
  </si>
  <si>
    <t>DUX-PC-FLIP-Realme11Pro-BLU</t>
  </si>
  <si>
    <t>DUX-PC-FLIP-Realme7-BLK</t>
  </si>
  <si>
    <t>DUX-PC-FLIP-Realme7-BLU</t>
  </si>
  <si>
    <t>DUX-PC-FLIP-Realme8/4G-BLK</t>
  </si>
  <si>
    <t>DUX-PC-FLIP-Realme8/4G-BLU</t>
  </si>
  <si>
    <t>DUX-PC-FLIP-Realme8/5G-BLK</t>
  </si>
  <si>
    <t>DUX-PC-FLIP-Realme8/5G-BLU</t>
  </si>
  <si>
    <t>DUX-PC-FLIP-Realme9Pro-BLK</t>
  </si>
  <si>
    <t>DUX-PC-FLIP-Realme9ProPlus-BLK</t>
  </si>
  <si>
    <t>DUX-PC-FLIP-Realme9ProPlus-BLU</t>
  </si>
  <si>
    <t>DUX-PC-FLIP-Realme9i-BLK</t>
  </si>
  <si>
    <t>DUX-PC-FLIP-Realme9i-BLU</t>
  </si>
  <si>
    <t>DUX-PC-FLIP-RealmeC11-BLK</t>
  </si>
  <si>
    <t>DUX-PC-FLIP-RealmeC11-BLU</t>
  </si>
  <si>
    <t>DUX-PC-FLIP-RealmeC21Y-BLK</t>
  </si>
  <si>
    <t>DUX-PC-FLIP-RealmeC21Y-BLU</t>
  </si>
  <si>
    <t>DUX-PC-FLIP-RealmeC33-BLK</t>
  </si>
  <si>
    <t>DUX-PC-FLIP-RealmeC33-BLU</t>
  </si>
  <si>
    <t>DUX-PC-FLIP-RealmeC35-BLK</t>
  </si>
  <si>
    <t>DUX-PC-FLIP-RealmeC35-BLU</t>
  </si>
  <si>
    <t>DUX-PC-FLIP-RealmeC55-BLK</t>
  </si>
  <si>
    <t>DUX-PC-FLIP-RealmeC55-BLU</t>
  </si>
  <si>
    <t>DUX-PC-FLIP-RealmeGT2Pro-BLK</t>
  </si>
  <si>
    <t>DUX-PC-FLIP-RealmeGT2Pro-BLU</t>
  </si>
  <si>
    <t>DUX-PC-FLIP-Redmi10C-BLK</t>
  </si>
  <si>
    <t>DUX-PC-FLIP-Redmi10C-PNK</t>
  </si>
  <si>
    <t>DUX-PC-FLIP-Redmi9A-BLK</t>
  </si>
  <si>
    <t>DUX-PC-FLIP-RedmiA1/A2-BLK</t>
  </si>
  <si>
    <t>DUX-PC-FLIP-Reno10/Pro-BLK</t>
  </si>
  <si>
    <t>DUX-PC-FLIP-Reno10/Pro-BLU</t>
  </si>
  <si>
    <t>DUX-PC-FLIP-Reno10Pro+-BLK</t>
  </si>
  <si>
    <t>DUX-PC-FLIP-Reno10Pro+-BLU</t>
  </si>
  <si>
    <t>DUX-PC-FLIP-Reno11-BLK</t>
  </si>
  <si>
    <t>DUX-PC-FLIP-Reno11-BLU</t>
  </si>
  <si>
    <t>DUX-PC-FLIP-Reno11Pro-BLK</t>
  </si>
  <si>
    <t>DUX-PC-FLIP-Reno11Pro-BLU</t>
  </si>
  <si>
    <t>DUX-PC-FLIP-Reno12-BLK</t>
  </si>
  <si>
    <t>DUX-PC-FLIP-Reno12-BLU</t>
  </si>
  <si>
    <t>DUX-PC-FLIP-Reno12F-BLK</t>
  </si>
  <si>
    <t>DUX-PC-FLIP-Reno12F-BLU</t>
  </si>
  <si>
    <t>DUX-PC-FLIP-Reno12Pro-BLK</t>
  </si>
  <si>
    <t>DUX-PC-FLIP-Reno12Pro-BLU</t>
  </si>
  <si>
    <t>DUX-PC-FLIP-Reno14-BLK</t>
  </si>
  <si>
    <t>DUX-PC-FLIP-Reno14-BLU</t>
  </si>
  <si>
    <t>DUX-PC-FLIP-Reno14F-BLK</t>
  </si>
  <si>
    <t>DUX-PC-FLIP-Reno14F-BLU</t>
  </si>
  <si>
    <t>DUX-PC-FLIP-Reno14Pro-BLK</t>
  </si>
  <si>
    <t>DUX-PC-FLIP-Reno14Pro-BLU</t>
  </si>
  <si>
    <t>DUX-PC-FLIP-Reno7Pro-BLK</t>
  </si>
  <si>
    <t>DUX-PC-FLIP-Reno7Pro-BLU</t>
  </si>
  <si>
    <t>DUX-PC-FLIP-Reno8-BLK</t>
  </si>
  <si>
    <t>DUX-PC-FLIP-Reno8Pro-BLK</t>
  </si>
  <si>
    <t>DUX-PC-FLIP-Reno8Pro-BLU</t>
  </si>
  <si>
    <t>DUX-PC-FLIP-Reno8T/5G-BLK</t>
  </si>
  <si>
    <t>DUX-PC-FLIP-Reno8T/5G-BLU</t>
  </si>
  <si>
    <t>DUX-PC-FLIP-RmNote8P-RG</t>
  </si>
  <si>
    <t>DUX-PC-FLIP-RmNote9-RG</t>
  </si>
  <si>
    <t>DUX-PC-FLIP-S/A05-BLK</t>
  </si>
  <si>
    <t>DUX-PC-FLIP-S/A05-BLU</t>
  </si>
  <si>
    <t>DUX-PC-FLIP-S/A05s-BLK</t>
  </si>
  <si>
    <t>DUX-PC-FLIP-S/A05s-BLU</t>
  </si>
  <si>
    <t>DUX-PC-FLIP-S/A15(4G/5G)-BLK</t>
  </si>
  <si>
    <t>DUX-PC-FLIP-S/A15(4G/5G)-BLU</t>
  </si>
  <si>
    <t>DUX-PC-FLIP-S/A16-BLK</t>
  </si>
  <si>
    <t>DUX-PC-FLIP-S/A16-BLU</t>
  </si>
  <si>
    <t>DUX-PC-FLIP-S/A17-BLK</t>
  </si>
  <si>
    <t>DUX-PC-FLIP-S/A17-BLU</t>
  </si>
  <si>
    <t>DUX-PC-FLIP-S/A17-PNK</t>
  </si>
  <si>
    <t>DUX-PC-FLIP-S/A25(5G)-BLK</t>
  </si>
  <si>
    <t>DUX-PC-FLIP-S/A25(5G)-BLU</t>
  </si>
  <si>
    <t>DUX-PC-FLIP-S/A26(5G)-BLK</t>
  </si>
  <si>
    <t>DUX-PC-FLIP-S/A26(5G)-BLU</t>
  </si>
  <si>
    <t>DUX-PC-FLIP-S/A35(5G)-BLK</t>
  </si>
  <si>
    <t>DUX-PC-FLIP-S/A35(5G)-BLU</t>
  </si>
  <si>
    <t>DUX-PC-FLIP-S/A36(5G)-BLK</t>
  </si>
  <si>
    <t>DUX-PC-FLIP-S/A36(5G)-BLU</t>
  </si>
  <si>
    <t>DUX-PC-FLIP-S/A55(5G)-BLK</t>
  </si>
  <si>
    <t>DUX-PC-FLIP-S/A55(5G)-BLU</t>
  </si>
  <si>
    <t>DUX-PC-FLIP-S20-BLK</t>
  </si>
  <si>
    <t>DUX-PC-FLIP-S20-BLU</t>
  </si>
  <si>
    <t>DUX-PC-FLIP-S20-GLD</t>
  </si>
  <si>
    <t>DUX-PC-FLIP-S20-RG</t>
  </si>
  <si>
    <t>DUX-PC-FLIP-S20FE-BLK</t>
  </si>
  <si>
    <t>DUX-PC-FLIP-S20FE-BLU</t>
  </si>
  <si>
    <t>DUX-PC-FLIP-S21FE-BLK</t>
  </si>
  <si>
    <t>DUX-PC-FLIP-S21FE-BLU</t>
  </si>
  <si>
    <t>DUX-PC-FLIP-S21FE-PNK</t>
  </si>
  <si>
    <t>DUX-PC-FLIP-S22-BLK</t>
  </si>
  <si>
    <t>DUX-PC-FLIP-S22-BLU</t>
  </si>
  <si>
    <t>DUX-PC-FLIP-S22-PNK</t>
  </si>
  <si>
    <t>DUX-PC-FLIP-S22Plus-BLK</t>
  </si>
  <si>
    <t>DUX-PC-FLIP-S22Plus-BLU</t>
  </si>
  <si>
    <t>DUX-PC-FLIP-S22Ultra-BLK</t>
  </si>
  <si>
    <t>DUX-PC-FLIP-S22Ultra-BLU</t>
  </si>
  <si>
    <t>DUX-PC-FLIP-S22Ultra-PNK</t>
  </si>
  <si>
    <t>DUX-PC-FLIP-S23-BLK</t>
  </si>
  <si>
    <t>DUX-PC-FLIP-S23-BLU</t>
  </si>
  <si>
    <t>DUX-PC-FLIP-S23-RG</t>
  </si>
  <si>
    <t>DUX-PC-FLIP-S23FE-BLK</t>
  </si>
  <si>
    <t>DUX-PC-FLIP-S23FE-BLU</t>
  </si>
  <si>
    <t>DUX-PC-FLIP-S23FE-RG</t>
  </si>
  <si>
    <t>DUX-PC-FLIP-S23Plus-BLK</t>
  </si>
  <si>
    <t>DUX-PC-FLIP-S23Plus-BLU</t>
  </si>
  <si>
    <t>DUX-PC-FLIP-S23Plus-RG</t>
  </si>
  <si>
    <t>DUX-PC-FLIP-S23Ultra-BLK</t>
  </si>
  <si>
    <t>DUX-PC-FLIP-S23Ultra-BLU</t>
  </si>
  <si>
    <t>DUX-PC-FLIP-S23Ultra-RG</t>
  </si>
  <si>
    <t>DUX-PC-FLIP-S24-BLK</t>
  </si>
  <si>
    <t>DUX-PC-FLIP-S24-BLU</t>
  </si>
  <si>
    <t>DUX-PC-FLIP-S24-PNK</t>
  </si>
  <si>
    <t>DUX-PC-FLIP-S24FE-BLK</t>
  </si>
  <si>
    <t>DUX-PC-FLIP-S24Plus-BLK</t>
  </si>
  <si>
    <t>DUX-PC-FLIP-S24Plus-BLU</t>
  </si>
  <si>
    <t>DUX-PC-FLIP-S24Plus-PNK</t>
  </si>
  <si>
    <t>DUX-PC-FLIP-S24Ultra-BLK</t>
  </si>
  <si>
    <t>DUX-PC-FLIP-S24Ultra-BLU</t>
  </si>
  <si>
    <t>DUX-PC-FLIP-S24Ultra-PNK</t>
  </si>
  <si>
    <t>DUX-PC-FLIP-S25-BLK</t>
  </si>
  <si>
    <t>DUX-PC-FLIP-S25-BLU</t>
  </si>
  <si>
    <t>DUX-PC-FLIP-S25-PNK</t>
  </si>
  <si>
    <t>DUX-PC-FLIP-S25Edge-BLK</t>
  </si>
  <si>
    <t>DUX-PC-FLIP-S25Edge-BLU</t>
  </si>
  <si>
    <t>DUX-PC-FLIP-S25Plus-BLK</t>
  </si>
  <si>
    <t>DUX-PC-FLIP-S25Plus-BLU</t>
  </si>
  <si>
    <t>DUX-PC-FLIP-S25Plus-PNK</t>
  </si>
  <si>
    <t>DUX-PC-FLIP-S25Ultra-BLK</t>
  </si>
  <si>
    <t>DUX-PC-FLIP-S25Ultra-BLU</t>
  </si>
  <si>
    <t>DUX-PC-FLIP-S25Ultra-PNK</t>
  </si>
  <si>
    <t>DUX-PC-FLIP-S26Plus-BLK</t>
  </si>
  <si>
    <t>DUX-PC-FLIP-S26Plus-BLU</t>
  </si>
  <si>
    <t>DUX-PC-FLIP-S26Ultra-BLK</t>
  </si>
  <si>
    <t>DUX-PC-FLIP-S26Ultra-BLU</t>
  </si>
  <si>
    <t>DUX-PC-FLIP-SA53/5G-BLK</t>
  </si>
  <si>
    <t>DUX-PC-FLIP-SA53/5G-BLU</t>
  </si>
  <si>
    <t>DUX-PC-FLIP-SA53/5G-PNK</t>
  </si>
  <si>
    <t>DUX-PC-FLIP-SA54/5G-BLK</t>
  </si>
  <si>
    <t>DUX-PC-FLIP-SA54/5G-BLU</t>
  </si>
  <si>
    <t>DUX-PC-FLIP-V23e-BLK</t>
  </si>
  <si>
    <t>DUX-PC-FLIP-X70Pro-BLK</t>
  </si>
  <si>
    <t>DUX-PC-FLIP-X70Pro-BLU</t>
  </si>
  <si>
    <t>DUX-PC-FLIP-X80Pro/5G-BLK</t>
  </si>
  <si>
    <t>DUX-PC-FLIP-X80Pro/5G-BLU</t>
  </si>
  <si>
    <t>DUX-PC-FLIP-XM11T-BLK</t>
  </si>
  <si>
    <t>DUX-PC-FLIP-XM11T-BLU</t>
  </si>
  <si>
    <t>DUX-PC-FLIP-XM11T-PNK</t>
  </si>
  <si>
    <t>DUX-PC-FLIP-XM12-BLK</t>
  </si>
  <si>
    <t>DUX-PC-FLIP-XM12-BLU</t>
  </si>
  <si>
    <t>DUX-PC-FLIP-XM12-PNK</t>
  </si>
  <si>
    <t>DUX-PC-FLIP-XM12Lite-BLK</t>
  </si>
  <si>
    <t>DUX-PC-FLIP-XM12Lite-BLU</t>
  </si>
  <si>
    <t>DUX-PC-FLIP-XM12Lite-PNK</t>
  </si>
  <si>
    <t>DUX-PC-FLIP-XM12Pro-BLK</t>
  </si>
  <si>
    <t>DUX-PC-FLIP-XM12Pro-PNK</t>
  </si>
  <si>
    <t>DUX-PC-FLIP-XM12T-BLK</t>
  </si>
  <si>
    <t>DUX-PC-FLIP-XM12T-BLU</t>
  </si>
  <si>
    <t>DUX-PC-FLIP-XM13-BLK</t>
  </si>
  <si>
    <t>DUX-PC-FLIP-XM13-BLU</t>
  </si>
  <si>
    <t>DUX-PC-FLIP-XM13Lite-BLK</t>
  </si>
  <si>
    <t>DUX-PC-FLIP-XM13Pro-BLK</t>
  </si>
  <si>
    <t>DUX-PC-FLIP-XM13T/PRO-BLK</t>
  </si>
  <si>
    <t>DUX-PC-FLIP-XM13T/PRO-BLU</t>
  </si>
  <si>
    <t>DUX-PC-FLIP-XM14-BLK</t>
  </si>
  <si>
    <t>DUX-PC-FLIP-XM14-BLU</t>
  </si>
  <si>
    <t>DUX-PC-FLIP-XM14Pro-BLK</t>
  </si>
  <si>
    <t>DUX-PC-FLIP-XM14Pro-BLU</t>
  </si>
  <si>
    <t>DUX-PC-FLIP-XM14Ultra-BLK</t>
  </si>
  <si>
    <t>DUX-PC-FLIP-XM14Ultra-BLU</t>
  </si>
  <si>
    <t>DUX-PC-FLIP-Xperia10IV-BLK</t>
  </si>
  <si>
    <t>DUX-PC-FLIP-Xperia10IV-BLU</t>
  </si>
  <si>
    <t>DUX-PC-FLIP-Xperia10V-BLK</t>
  </si>
  <si>
    <t>DUX-PC-FLIP-Xperia10V-BLU</t>
  </si>
  <si>
    <t>DUX-PC-FLIP-Xperia1IV-BLK</t>
  </si>
  <si>
    <t>DUX-PC-FLIP-Xperia1IV-BLU</t>
  </si>
  <si>
    <t>DUX-PC-FLIP-Xperia1V-BLK</t>
  </si>
  <si>
    <t>DUX-PC-FLIP-Xperia1V-BLU</t>
  </si>
  <si>
    <t>DUX-PC-FLIP-i11-BLK</t>
  </si>
  <si>
    <t>DUX-PC-FLIP-i11-BLU</t>
  </si>
  <si>
    <t>DUX-PC-FLIP-i11MAX-BLK</t>
  </si>
  <si>
    <t>DUX-PC-FLIP-i11PRO-GLD</t>
  </si>
  <si>
    <t>DUX-PC-FLIP-i11PRO-RG</t>
  </si>
  <si>
    <t>DUX-PC-FLIP-i12-BLK</t>
  </si>
  <si>
    <t>DUX-PC-FLIP-i12-BLU</t>
  </si>
  <si>
    <t>DUX-PC-FLIP-i12ProMax-BLK</t>
  </si>
  <si>
    <t>DUX-PC-FLIP-i13-BLK</t>
  </si>
  <si>
    <t>DUX-PC-FLIP-i13-BLU</t>
  </si>
  <si>
    <t>DUX-PC-FLIP-i13-RG</t>
  </si>
  <si>
    <t>DUX-PC-FLIP-i13Mini-GLD</t>
  </si>
  <si>
    <t>DUX-PC-FLIP-i13Pro-BLK</t>
  </si>
  <si>
    <t>DUX-PC-FLIP-i13Pro-BLU</t>
  </si>
  <si>
    <t>DUX-PC-FLIP-i13Pro-RG</t>
  </si>
  <si>
    <t>DUX-PC-FLIP-i13ProMax-BLK</t>
  </si>
  <si>
    <t>DUX-PC-FLIP-i13ProMax-BLU</t>
  </si>
  <si>
    <t>DUX-PC-FLIP-i14Plus-BLK</t>
  </si>
  <si>
    <t>DUX-PC-FLIP-i14Plus-BLU</t>
  </si>
  <si>
    <t>DUX-PC-FLIP-i14Plus-RG</t>
  </si>
  <si>
    <t>DUX-PC-FLIP-i14Pro-BLK</t>
  </si>
  <si>
    <t>DUX-PC-FLIP-i14Pro-BLU</t>
  </si>
  <si>
    <t>DUX-PC-FLIP-i14Pro-RG</t>
  </si>
  <si>
    <t>DUX-PC-FLIP-i14ProMax-BLK</t>
  </si>
  <si>
    <t>DUX-PC-FLIP-i14ProMax-BLU</t>
  </si>
  <si>
    <t>DUX-PC-FLIP-i14ProMax-RG</t>
  </si>
  <si>
    <t>DUX-PC-FLIP-i15-BLK</t>
  </si>
  <si>
    <t>DUX-PC-FLIP-i15-BLU</t>
  </si>
  <si>
    <t>DUX-PC-FLIP-i15-RG</t>
  </si>
  <si>
    <t>DUX-PC-FLIP-i15Plus-BLK</t>
  </si>
  <si>
    <t>DUX-PC-FLIP-i15Plus-BLU</t>
  </si>
  <si>
    <t>DUX-PC-FLIP-i15Plus-RG</t>
  </si>
  <si>
    <t>DUX-PC-FLIP-i15Pro-BLK</t>
  </si>
  <si>
    <t>DUX-PC-FLIP-i15Pro-BLU</t>
  </si>
  <si>
    <t>DUX-PC-FLIP-i15Pro-RG</t>
  </si>
  <si>
    <t>DUX-PC-FLIP-i15ProMax-BLK</t>
  </si>
  <si>
    <t>DUX-PC-FLIP-i15ProMax-BLU</t>
  </si>
  <si>
    <t>DUX-PC-FLIP-i15ProMax-RG</t>
  </si>
  <si>
    <t>DUX-PC-FLIP-i16-PNK</t>
  </si>
  <si>
    <t>DUX-PC-FLIP-i16Plus-BLK</t>
  </si>
  <si>
    <t>DUX-PC-FLIP-i16Plus-BLU</t>
  </si>
  <si>
    <t>DUX-PC-FLIP-i16Plus-PNK</t>
  </si>
  <si>
    <t>DUX-PC-FLIP-i16Pro-BLK</t>
  </si>
  <si>
    <t>DUX-PC-FLIP-i16Pro-BLU</t>
  </si>
  <si>
    <t>DUX-PC-FLIP-i16Pro-PNK</t>
  </si>
  <si>
    <t>DUX-PC-FLIP-i16ProMax-BLU</t>
  </si>
  <si>
    <t>DUX-PC-FLIP-i16ProMax-PNK</t>
  </si>
  <si>
    <t>DUX-PC-FLIP-iP16E-BLK</t>
  </si>
  <si>
    <t>DUX-PC-FLIP-iP16E-BLU</t>
  </si>
  <si>
    <t>DUX-PC-FLIP-iP16E-PNK</t>
  </si>
  <si>
    <t>DUX-PC-FLIP-iP17-PNK</t>
  </si>
  <si>
    <t>DUX-PC-FLIP-iP17Air-BLU</t>
  </si>
  <si>
    <t>DUX-PC-FLIP-iP17Air-PNK</t>
  </si>
  <si>
    <t>DUX-PC-FLIP-iP17Pro-BLU</t>
  </si>
  <si>
    <t>DUX-PC-FLIP-iP17Pro-PNK</t>
  </si>
  <si>
    <t>DUX-PC-FLIP-iP17ProMax-PNK</t>
  </si>
  <si>
    <t>DUX-PC-FLIP-iSE-BLK</t>
  </si>
  <si>
    <t>DUX-PC-FLIP-iSE-BLU</t>
  </si>
  <si>
    <t>DUX-PC-FLIP-iXR-BLK</t>
  </si>
  <si>
    <t>DUX-PC-FLIP-iXS-BLK</t>
  </si>
  <si>
    <t>DUX-PC-FLIP-iXSMax-BLK</t>
  </si>
  <si>
    <t>DUX-PC-G2RAFI-S/A15(4G/5G)-BLK</t>
  </si>
  <si>
    <t>DUX-PC-G2RAFI-S/A15(4G/5G)-BLU</t>
  </si>
  <si>
    <t>DUX-PC-G2RAFI-S/A15(4G/5G)-PRP</t>
  </si>
  <si>
    <t>DUX-PC-G2RAFI-S/A35(5G)-BLK</t>
  </si>
  <si>
    <t>DUX-PC-G2RAFI-S/A35(5G)-BLU</t>
  </si>
  <si>
    <t>DUX-PC-G2RAFI-S/A35(5G)-PRP</t>
  </si>
  <si>
    <t>DUX-PC-G2RAFI-S/A55(5G)-BLK</t>
  </si>
  <si>
    <t>DUX-PC-G2RAFI-S/A55(5G)-BLU</t>
  </si>
  <si>
    <t>DUX-PC-G2RAFI-S/A55(5G)-PRP</t>
  </si>
  <si>
    <t>DUX-PC-G2RAFI-S24-BLK</t>
  </si>
  <si>
    <t>DUX-PC-G2RAFI-S24-BLU</t>
  </si>
  <si>
    <t>DUX-PC-G2RAFI-S24-PRP</t>
  </si>
  <si>
    <t>DUX-PC-G2RAFI-S24Plus-BLK</t>
  </si>
  <si>
    <t>DUX-PC-G2RAFI-S24Plus-BLU</t>
  </si>
  <si>
    <t>DUX-PC-G2RAFI-S24Plus-PRP</t>
  </si>
  <si>
    <t>DUX-PC-G2RAFI-S24Ultra-BLK</t>
  </si>
  <si>
    <t>DUX-PC-G2RAFI-S24Ultra-BLU</t>
  </si>
  <si>
    <t>DUX-PC-G2RAFI-S24Ultra-PRP</t>
  </si>
  <si>
    <t>DUX-PC-G2RAFI-S25-BLK</t>
  </si>
  <si>
    <t>DUX-PC-G2RAFI-S25-BLU</t>
  </si>
  <si>
    <t>DUX-PC-G2RAFI-S25-PRP</t>
  </si>
  <si>
    <t>DUX-PC-G2RAFI-S25Edge-BLK</t>
  </si>
  <si>
    <t>DUX-PC-G2RAFI-S25Edge-BLU</t>
  </si>
  <si>
    <t>DUX-PC-G2RAFI-S25Edge-PRP</t>
  </si>
  <si>
    <t>DUX-PC-G2RAFI-S25Plus-BLK</t>
  </si>
  <si>
    <t>DUX-PC-G2RAFI-S25Plus-BLU</t>
  </si>
  <si>
    <t>DUX-PC-G2RAFI-S25Plus-PRP</t>
  </si>
  <si>
    <t>DUX-PC-G2RAFI-S25Ultra-BLK</t>
  </si>
  <si>
    <t>DUX-PC-G2RAFI-S25Ultra-BLU</t>
  </si>
  <si>
    <t>DUX-PC-G2RAFI-S25Ultra-PRP</t>
  </si>
  <si>
    <t>DUX-PC-G2RAFI-i13-BLK</t>
  </si>
  <si>
    <t>DUX-PC-G2RAFI-i13-BLU</t>
  </si>
  <si>
    <t>DUX-PC-G2RAFI-i13-PRP</t>
  </si>
  <si>
    <t>DUX-PC-G2RAFI-i13Pro-BLK</t>
  </si>
  <si>
    <t>DUX-PC-G2RAFI-i13Pro-BLU</t>
  </si>
  <si>
    <t>DUX-PC-G2RAFI-i13Pro-PRP</t>
  </si>
  <si>
    <t>DUX-PC-G2RAFI-i13ProMax-BLK</t>
  </si>
  <si>
    <t>DUX-PC-G2RAFI-i13ProMax-BLU</t>
  </si>
  <si>
    <t>DUX-PC-G2RAFI-i13ProMax-PRP</t>
  </si>
  <si>
    <t>DUX-PC-G2RAFI-i14Pro-BLK</t>
  </si>
  <si>
    <t>DUX-PC-G2RAFI-i14Pro-BLU</t>
  </si>
  <si>
    <t>DUX-PC-G2RAFI-i14Pro-PRP</t>
  </si>
  <si>
    <t>DUX-PC-G2RAFI-i14ProMax-BLK</t>
  </si>
  <si>
    <t>DUX-PC-G2RAFI-i14ProMax-BLU</t>
  </si>
  <si>
    <t>DUX-PC-G2RAFI-i14ProMax-PRP</t>
  </si>
  <si>
    <t>DUX-PC-G2RAFI-i15-BLK</t>
  </si>
  <si>
    <t>DUX-PC-G2RAFI-i15-BLU</t>
  </si>
  <si>
    <t>DUX-PC-G2RAFI-i15-PRP</t>
  </si>
  <si>
    <t>DUX-PC-G2RAFI-i15Plus-BLK</t>
  </si>
  <si>
    <t>DUX-PC-G2RAFI-i15Plus-BLU</t>
  </si>
  <si>
    <t>DUX-PC-G2RAFI-i15Plus-PRP</t>
  </si>
  <si>
    <t>DUX-PC-G2RAFI-i15Pro-BLK</t>
  </si>
  <si>
    <t>DUX-PC-G2RAFI-i15Pro-BLU</t>
  </si>
  <si>
    <t>DUX-PC-G2RAFI-i15Pro-PRP</t>
  </si>
  <si>
    <t>DUX-PC-G2RAFI-i15ProMax-BLK</t>
  </si>
  <si>
    <t>DUX-PC-G2RAFI-i15ProMax-BLU</t>
  </si>
  <si>
    <t>DUX-PC-G2RAFI-i15ProMax-PRP</t>
  </si>
  <si>
    <t>DUX-PC-G2RAFI-i16-BLK</t>
  </si>
  <si>
    <t>DUX-PC-G2RAFI-i16-BLU</t>
  </si>
  <si>
    <t>DUX-PC-G2RAFI-i16-PRP</t>
  </si>
  <si>
    <t>DUX-PC-G2RAFI-i16Plus-BLK</t>
  </si>
  <si>
    <t>DUX-PC-G2RAFI-i16Plus-BLU</t>
  </si>
  <si>
    <t>DUX-PC-G2RAFI-i16Plus-PRP</t>
  </si>
  <si>
    <t>DUX-PC-G2RAFI-i16Pro-BLK</t>
  </si>
  <si>
    <t>DUX-PC-G2RAFI-i16Pro-BLU</t>
  </si>
  <si>
    <t>DUX-PC-G2RAFI-i16Pro-PRP</t>
  </si>
  <si>
    <t>DUX-PC-G2RAFI-i16ProMax-BLK</t>
  </si>
  <si>
    <t>DUX-PC-G2RAFI-i16ProMax-BLU</t>
  </si>
  <si>
    <t>DUX-PC-G2RAFI-i16ProMax-PRP</t>
  </si>
  <si>
    <t>DUX-PC-G2RAFI-iP16E-BLK</t>
  </si>
  <si>
    <t>DUX-PC-G2RAFI-iP16E-BLU</t>
  </si>
  <si>
    <t>DUX-PC-G2RAFI-iP16E-PRP</t>
  </si>
  <si>
    <t>DUX-PC-GRIT-S23-BLK</t>
  </si>
  <si>
    <t>DUX-PC-GRIT-S23-BRW</t>
  </si>
  <si>
    <t>DUX-PC-GRIT-S23-PNK</t>
  </si>
  <si>
    <t>DUX-PC-GRIT-S23Plus-BLK</t>
  </si>
  <si>
    <t>DUX-PC-GRIT-S23Plus-BRW</t>
  </si>
  <si>
    <t>DUX-PC-GRIT-S23Plus-PNK</t>
  </si>
  <si>
    <t>DUX-PC-GRIT-S23Ultra-BLK</t>
  </si>
  <si>
    <t>DUX-PC-GRIT-S23Ultra-BRW</t>
  </si>
  <si>
    <t>DUX-PC-GRIT-S23Ultra-PNK</t>
  </si>
  <si>
    <t>DUX-PC-GRIT-i14-BLK</t>
  </si>
  <si>
    <t>DUX-PC-GRIT-i14-BRW</t>
  </si>
  <si>
    <t>DUX-PC-GRIT-i14-PNK</t>
  </si>
  <si>
    <t>DUX-PC-GRIT-i14Plus-BLK</t>
  </si>
  <si>
    <t>DUX-PC-GRIT-i14Plus-BRW</t>
  </si>
  <si>
    <t>DUX-PC-GRIT-i14Plus-PNK</t>
  </si>
  <si>
    <t>DUX-PC-GRIT-i14Pro-BLK</t>
  </si>
  <si>
    <t>DUX-PC-GRIT-i14Pro-BRW</t>
  </si>
  <si>
    <t>DUX-PC-GRIT-i14Pro-PNK</t>
  </si>
  <si>
    <t>DUX-PC-GRIT-i14ProMax-BLK</t>
  </si>
  <si>
    <t>DUX-PC-GRIT-i14ProMax-BRW</t>
  </si>
  <si>
    <t>DUX-PC-GRIT-i14ProMax-PNK</t>
  </si>
  <si>
    <t>DUX-PC-HIVO-S21-RED</t>
  </si>
  <si>
    <t>DUX-PC-HIVO-S21FE-BLK</t>
  </si>
  <si>
    <t>DUX-PC-HIVO-S21FE-BLU</t>
  </si>
  <si>
    <t>DUX-PC-HIVO-S21FE-RED</t>
  </si>
  <si>
    <t>DUX-PC-HIVO-S21Plus-RED</t>
  </si>
  <si>
    <t>DUX-PC-HIVO-S22Plus-BLK</t>
  </si>
  <si>
    <t>DUX-PC-HIVO-S22Plus-BLU</t>
  </si>
  <si>
    <t>DUX-PC-HIVO-S22Plus-RED</t>
  </si>
  <si>
    <t>DUX-PC-HIVO-S23-BLK</t>
  </si>
  <si>
    <t>DUX-PC-HIVO-S23-BRW</t>
  </si>
  <si>
    <t>DUX-PC-HIVO-S23-RED</t>
  </si>
  <si>
    <t>DUX-PC-HIVO-S23Plus-BLK</t>
  </si>
  <si>
    <t>DUX-PC-HIVO-S23Plus-BRW</t>
  </si>
  <si>
    <t>DUX-PC-HIVO-S23Plus-RED</t>
  </si>
  <si>
    <t>DUX-PC-HIVO-S23Ultra-BLK</t>
  </si>
  <si>
    <t>DUX-PC-HIVO-S23Ultra-BRW</t>
  </si>
  <si>
    <t>DUX-PC-HIVO-S23Ultra-RED</t>
  </si>
  <si>
    <t>DUX-PC-HIVO-S24-BLK</t>
  </si>
  <si>
    <t>DUX-PC-HIVO-S24-BRW</t>
  </si>
  <si>
    <t>DUX-PC-HIVO-S24-RED</t>
  </si>
  <si>
    <t>DUX-PC-HIVO-S24Plus-BLK</t>
  </si>
  <si>
    <t>DUX-PC-HIVO-S24Plus-BRW</t>
  </si>
  <si>
    <t>DUX-PC-HIVO-S24Plus-RED</t>
  </si>
  <si>
    <t>DUX-PC-HIVO-S24Ultra-BLK</t>
  </si>
  <si>
    <t>DUX-PC-HIVO-S24Ultra-BRW</t>
  </si>
  <si>
    <t>DUX-PC-HIVO-S24Ultra-RED</t>
  </si>
  <si>
    <t>DUX-PC-HIVO-S25-BLK</t>
  </si>
  <si>
    <t>DUX-PC-HIVO-S25-BRW</t>
  </si>
  <si>
    <t>DUX-PC-HIVO-S25-RED</t>
  </si>
  <si>
    <t>DUX-PC-HIVO-S25Edge-BLK</t>
  </si>
  <si>
    <t>DUX-PC-HIVO-S25Edge-BRW</t>
  </si>
  <si>
    <t>DUX-PC-HIVO-S25Edge-RED</t>
  </si>
  <si>
    <t>DUX-PC-HIVO-S25Plus-BLK</t>
  </si>
  <si>
    <t>DUX-PC-HIVO-S25Plus-BRW</t>
  </si>
  <si>
    <t>DUX-PC-HIVO-S25Plus-RED</t>
  </si>
  <si>
    <t>DUX-PC-HIVO-S25Ultra-BLK</t>
  </si>
  <si>
    <t>DUX-PC-HIVO-S25Ultra-BRW</t>
  </si>
  <si>
    <t>DUX-PC-HIVO-S25Ultra-RED</t>
  </si>
  <si>
    <t>DUX-PC-HIVO-i11Pro-BLK</t>
  </si>
  <si>
    <t>DUX-PC-HIVO-i11Pro-BLU</t>
  </si>
  <si>
    <t>DUX-PC-HIVO-i11Pro-RED</t>
  </si>
  <si>
    <t>DUX-PC-HIVO-i12Mini-BLK</t>
  </si>
  <si>
    <t>DUX-PC-HIVO-i12Mini-BLU</t>
  </si>
  <si>
    <t>DUX-PC-HIVO-i13Mini-BLK</t>
  </si>
  <si>
    <t>DUX-PC-HIVO-i13Mini-BLU</t>
  </si>
  <si>
    <t>DUX-PC-HIVO-i13Mini-RED</t>
  </si>
  <si>
    <t>DUX-PC-HIVO-i13Pro-BLK</t>
  </si>
  <si>
    <t>DUX-PC-HIVO-i13Pro-BLU</t>
  </si>
  <si>
    <t>DUX-PC-HIVO-i13Pro-RED</t>
  </si>
  <si>
    <t>DUX-PC-HIVO-i13ProMax-BLK</t>
  </si>
  <si>
    <t>DUX-PC-HIVO-i13ProMax-BLU</t>
  </si>
  <si>
    <t>DUX-PC-HIVO-i13ProMax-RED</t>
  </si>
  <si>
    <t>DUX-PC-HIVO-i14-BLK</t>
  </si>
  <si>
    <t>DUX-PC-HIVO-i14-RED</t>
  </si>
  <si>
    <t>DUX-PC-HIVO-i14Plus-BLK</t>
  </si>
  <si>
    <t>DUX-PC-HIVO-i14Plus-BRW</t>
  </si>
  <si>
    <t>DUX-PC-HIVO-i14Plus-RED</t>
  </si>
  <si>
    <t>DUX-PC-HIVO-i14Pro-BLK</t>
  </si>
  <si>
    <t>DUX-PC-HIVO-i14Pro-BRW</t>
  </si>
  <si>
    <t>DUX-PC-HIVO-i14Pro-RED</t>
  </si>
  <si>
    <t>DUX-PC-HIVO-i14ProMax-BLK</t>
  </si>
  <si>
    <t>DUX-PC-HIVO-i14ProMax-BRW</t>
  </si>
  <si>
    <t>DUX-PC-HIVO-i14ProMax-RED</t>
  </si>
  <si>
    <t>DUX-PC-HIVO-i15-BLK</t>
  </si>
  <si>
    <t>DUX-PC-HIVO-i15-BRW</t>
  </si>
  <si>
    <t>DUX-PC-HIVO-i15-RED</t>
  </si>
  <si>
    <t>DUX-PC-HIVO-i15Plus-BLK</t>
  </si>
  <si>
    <t>DUX-PC-HIVO-i15Plus-BRW</t>
  </si>
  <si>
    <t>DUX-PC-HIVO-i15Plus-RED</t>
  </si>
  <si>
    <t>DUX-PC-HIVO-i15Pro-BLK</t>
  </si>
  <si>
    <t>DUX-PC-HIVO-i15Pro-BRW</t>
  </si>
  <si>
    <t>DUX-PC-HIVO-i15Pro-RED</t>
  </si>
  <si>
    <t>DUX-PC-HIVO-i15ProMax-BLK</t>
  </si>
  <si>
    <t>DUX-PC-HIVO-i15ProMax-BRW</t>
  </si>
  <si>
    <t>DUX-PC-HIVO-i15ProMax-RED</t>
  </si>
  <si>
    <t>DUX-PC-HIVO-i16-BLK</t>
  </si>
  <si>
    <t>DUX-PC-HIVO-i16-BRW</t>
  </si>
  <si>
    <t>DUX-PC-HIVO-i16-RED</t>
  </si>
  <si>
    <t>DUX-PC-HIVO-i16Plus-BLK</t>
  </si>
  <si>
    <t>DUX-PC-HIVO-i16Plus-BRW</t>
  </si>
  <si>
    <t>DUX-PC-HIVO-i16Plus-RED</t>
  </si>
  <si>
    <t>DUX-PC-HIVO-i16Pro-BLK</t>
  </si>
  <si>
    <t>DUX-PC-HIVO-i16Pro-BRW</t>
  </si>
  <si>
    <t>DUX-PC-HIVO-i16Pro-RED</t>
  </si>
  <si>
    <t>DUX-PC-HIVO-i16ProMax-BLK</t>
  </si>
  <si>
    <t>DUX-PC-HIVO-i16ProMax-BRW</t>
  </si>
  <si>
    <t>DUX-PC-HIVO-i16ProMax-RED</t>
  </si>
  <si>
    <t>DUX-PC-HIVO-iP16E-BLK</t>
  </si>
  <si>
    <t>DUX-PC-HIVO-iP16E-BRW</t>
  </si>
  <si>
    <t>DUX-PC-HIVO-iP16E-RED</t>
  </si>
  <si>
    <t>DUX-PC-HIVO-iP17-BLK</t>
  </si>
  <si>
    <t>DUX-PC-HIVO-iP17-BRW</t>
  </si>
  <si>
    <t>DUX-PC-HIVO-iP17-RED</t>
  </si>
  <si>
    <t>DUX-PC-HIVO-iP17Air-BLK</t>
  </si>
  <si>
    <t>DUX-PC-HIVO-iP17Air-BRW</t>
  </si>
  <si>
    <t>DUX-PC-HIVO-iP17Pro-BLK</t>
  </si>
  <si>
    <t>DUX-PC-HIVO-iP17Pro-BRW</t>
  </si>
  <si>
    <t>DUX-PC-HIVO-iP17Pro-RED</t>
  </si>
  <si>
    <t>DUX-PC-HIVO-iP17ProMax-BLK</t>
  </si>
  <si>
    <t>DUX-PC-HIVO-iP17ProMax-BRW</t>
  </si>
  <si>
    <t>DUX-PC-HIVO-iP17ProMax-RED</t>
  </si>
  <si>
    <t>DUX-PC-KADO-Mate30-RED</t>
  </si>
  <si>
    <t>DUX-PC-KADO-Mate30P-RED</t>
  </si>
  <si>
    <t>DUX-PC-KADO-Note10-BLK</t>
  </si>
  <si>
    <t>DUX-PC-KADO-Note10-RED</t>
  </si>
  <si>
    <t>DUX-PC-KADO-i11Pro-BLK</t>
  </si>
  <si>
    <t>DUX-PC-KADO-i11Pro-BLU</t>
  </si>
  <si>
    <t>DUX-PC-KADO-i11Pro-RED</t>
  </si>
  <si>
    <t>DUX-PC-LAWA-S25Edge-BLK</t>
  </si>
  <si>
    <t>DUX-PC-LAWA-S25Edge-BLU</t>
  </si>
  <si>
    <t>DUX-PC-LAWA-S25Edge-GRY</t>
  </si>
  <si>
    <t>DUX-PC-LAWA-S25Ultra-BLK</t>
  </si>
  <si>
    <t>DUX-PC-LAWA-S25Ultra-BLU</t>
  </si>
  <si>
    <t>DUX-PC-LAWA-S25Ultra-GRY</t>
  </si>
  <si>
    <t>DUX-PC-LAWA-i16-BLK</t>
  </si>
  <si>
    <t>DUX-PC-LAWA-i16-GRY</t>
  </si>
  <si>
    <t>DUX-PC-LAWA-i16-LIG/BLU</t>
  </si>
  <si>
    <t>DUX-PC-LAWA-i16Plus-BLK</t>
  </si>
  <si>
    <t>DUX-PC-LAWA-i16Plus-GRY</t>
  </si>
  <si>
    <t>DUX-PC-LAWA-i16Plus-LIG/BLU</t>
  </si>
  <si>
    <t>DUX-PC-LAWA-i16Pro-BLK</t>
  </si>
  <si>
    <t>DUX-PC-LAWA-i16Pro-GRY</t>
  </si>
  <si>
    <t>DUX-PC-LAWA-i16Pro-LIG/BLU</t>
  </si>
  <si>
    <t>DUX-PC-LAWA-i16ProMax-BLK</t>
  </si>
  <si>
    <t>DUX-PC-LAWA-i16ProMax-GRY</t>
  </si>
  <si>
    <t>DUX-PC-LAWA-i16ProMax-LIG/BLU</t>
  </si>
  <si>
    <t>DUX-PC-LAWA-iP15-BLK</t>
  </si>
  <si>
    <t>DUX-PC-LAWA-iP15-BLU</t>
  </si>
  <si>
    <t>DUX-PC-LAWA-iP15-GRY</t>
  </si>
  <si>
    <t>DUX-PC-LAWA-iP15Pro-BLK</t>
  </si>
  <si>
    <t>DUX-PC-LAWA-iP15Pro-BLU</t>
  </si>
  <si>
    <t>DUX-PC-LAWA-iP15Pro-GRY</t>
  </si>
  <si>
    <t>DUX-PC-LAWA-iP15ProMax-BLK</t>
  </si>
  <si>
    <t>DUX-PC-LAWA-iP15ProMax-BLU</t>
  </si>
  <si>
    <t>DUX-PC-LAWA-iP15ProMax-GRY</t>
  </si>
  <si>
    <t>DUX-PC-LAWA-iP16E-BLK</t>
  </si>
  <si>
    <t>DUX-PC-LAWA-iP16E-BLU</t>
  </si>
  <si>
    <t>DUX-PC-LAWA-iP16E-GRY</t>
  </si>
  <si>
    <t>DUX-PC-LAWA-iP17-BLK</t>
  </si>
  <si>
    <t>DUX-PC-LAWA-iP17-BLU</t>
  </si>
  <si>
    <t>DUX-PC-LAWA-iP17-GRY</t>
  </si>
  <si>
    <t>DUX-PC-LAWA-iP17Air-BLK</t>
  </si>
  <si>
    <t>DUX-PC-LAWA-iP17Air-BLU</t>
  </si>
  <si>
    <t>DUX-PC-LAWA-iP17Air-GRY</t>
  </si>
  <si>
    <t>DUX-PC-LAWA-iP17Pro-BLK</t>
  </si>
  <si>
    <t>DUX-PC-LAWA-iP17Pro-BLU</t>
  </si>
  <si>
    <t>DUX-PC-LAWA-iP17Pro-GRY</t>
  </si>
  <si>
    <t>DUX-PC-LAWA-iP17ProMax-BLK</t>
  </si>
  <si>
    <t>DUX-PC-LAWA-iP17ProMax-BLU</t>
  </si>
  <si>
    <t>DUX-PC-LAWA-iP17ProMax-GRY</t>
  </si>
  <si>
    <t>DUX-PC-LUVY-ZFlip7-CYA</t>
  </si>
  <si>
    <t>DUX-PC-LUVY-ZFlip7-PNK</t>
  </si>
  <si>
    <t>DUX-PC-LUVY-ZFlip7-STA</t>
  </si>
  <si>
    <t>DUX-PC-MORO-iP17-BLK</t>
  </si>
  <si>
    <t>DUX-PC-MORO-iP17-ORG</t>
  </si>
  <si>
    <t>DUX-PC-MORO-iP17Air-BLK</t>
  </si>
  <si>
    <t>DUX-PC-MORO-iP17Air-ORG</t>
  </si>
  <si>
    <t>DUX-PC-MORO-iP17Pro-BLK</t>
  </si>
  <si>
    <t>DUX-PC-MORO-iP17Pro-ORG</t>
  </si>
  <si>
    <t>DUX-PC-MORO-iP17ProMax-BLK</t>
  </si>
  <si>
    <t>DUX-PC-MORO-iP17ProMax-ORG</t>
  </si>
  <si>
    <t>DUX-PC-NAP-i13-BLU</t>
  </si>
  <si>
    <t>DUX-PC-NAP-i13-BRW</t>
  </si>
  <si>
    <t>DUX-PC-NAP-i13-COF</t>
  </si>
  <si>
    <t>DUX-PC-NAP-i13-RED</t>
  </si>
  <si>
    <t>DUX-PC-NAP-i13Pro-BLU</t>
  </si>
  <si>
    <t>DUX-PC-NAP-i13Pro-BRW</t>
  </si>
  <si>
    <t>DUX-PC-NAP-i13Pro-COF</t>
  </si>
  <si>
    <t>DUX-PC-NAP-i13Pro-RED</t>
  </si>
  <si>
    <t>DUX-PC-NAP-i13ProMax-BLU</t>
  </si>
  <si>
    <t>DUX-PC-NAP-i13ProMax-BRW</t>
  </si>
  <si>
    <t>DUX-PC-NAP-i13ProMax-COF</t>
  </si>
  <si>
    <t>DUX-PC-NAP-i13ProMax-RED</t>
  </si>
  <si>
    <t>DUX-PC-NAP-i14Plus-BLU</t>
  </si>
  <si>
    <t>DUX-PC-NAP-i14Plus-BRW</t>
  </si>
  <si>
    <t>DUX-PC-NAP-i14Plus-COF</t>
  </si>
  <si>
    <t>DUX-PC-NAP-i14Pro-BLU</t>
  </si>
  <si>
    <t>DUX-PC-NAP-i14Pro-BRW</t>
  </si>
  <si>
    <t>DUX-PC-NAP-i14Pro-COF</t>
  </si>
  <si>
    <t>DUX-PC-NAP-i14ProMax-BLU</t>
  </si>
  <si>
    <t>DUX-PC-NAP-i14ProMax-BRW</t>
  </si>
  <si>
    <t>DUX-PC-NAP-i14ProMax-COF</t>
  </si>
  <si>
    <t>DUX-PC-PEN(BRL)-ZFold7-BLK</t>
  </si>
  <si>
    <t>DUX-PC-PEN(BRL)-ZFold7-BLU</t>
  </si>
  <si>
    <t>DUX-PC-POC-iP17-BLK</t>
  </si>
  <si>
    <t>DUX-PC-POC-iP17Pro-BLK</t>
  </si>
  <si>
    <t>DUX-PC-POC-iP17ProMax-BLK</t>
  </si>
  <si>
    <t>DUX-PC-POCA-Note20-RED</t>
  </si>
  <si>
    <t>DUX-PC-POCA-i13-BLK</t>
  </si>
  <si>
    <t>DUX-PC-POCA-i13-RED</t>
  </si>
  <si>
    <t>DUX-PC-POCA-i13Pro-BLK</t>
  </si>
  <si>
    <t>DUX-PC-POCA-i13Pro-RED</t>
  </si>
  <si>
    <t>DUX-PC-POCA-i13ProMax-BLK</t>
  </si>
  <si>
    <t>DUX-PC-POCA-i13ProMax-RED</t>
  </si>
  <si>
    <t>DUX-PC-RAFI-i13-BLK</t>
  </si>
  <si>
    <t>DUX-PC-RAFI-i13Pro-BLK</t>
  </si>
  <si>
    <t>DUX-PC-RAFI-i13ProMax-BLK</t>
  </si>
  <si>
    <t>DUX-PC-RAFI-i14Plus-BLK</t>
  </si>
  <si>
    <t>DUX-PC-RAFI-i14Pro-BLK</t>
  </si>
  <si>
    <t>DUX-PC-RAFI-i14ProMax-BLK</t>
  </si>
  <si>
    <t>DUX-PC-RAFI-i15-BLK</t>
  </si>
  <si>
    <t>DUX-PC-RAFI-i15Plus-BLK</t>
  </si>
  <si>
    <t>DUX-PC-RAFI-i15Pro-BLK</t>
  </si>
  <si>
    <t>DUX-PC-RAFI-i15ProMax-BLK</t>
  </si>
  <si>
    <t>DUX-PC-ROMA-iP13-BLK</t>
  </si>
  <si>
    <t>DUX-PC-ROMA-iP13-WHT</t>
  </si>
  <si>
    <t>DUX-PC-ROMA-iP13Pro-BLK</t>
  </si>
  <si>
    <t>DUX-PC-ROMA-iP13Pro-WHT</t>
  </si>
  <si>
    <t>DUX-PC-ROMA-iP13ProMax-WHT</t>
  </si>
  <si>
    <t>DUX-PC-SKINX(N)-S-A53/5G-PNK</t>
  </si>
  <si>
    <t>DUX-PC-SKINX(N)-S.A23/5G-BLU</t>
  </si>
  <si>
    <t>DUX-PC-SKINX(N)-S.A23/5G-PNK</t>
  </si>
  <si>
    <t>DUX-PC-SKINX(N)-S22-PNK</t>
  </si>
  <si>
    <t>DUX-PC-SKINX(N)-S22Plus-BLU</t>
  </si>
  <si>
    <t>DUX-PC-SKINX(N)-S22Ultra-BLK</t>
  </si>
  <si>
    <t>DUX-PC-SKINX(N)-S22Ultra-BLU</t>
  </si>
  <si>
    <t>DUX-PC-SKINX(N)-S22Ultra-PNK</t>
  </si>
  <si>
    <t>DUX-PC-SKINX(N)-i13Mini-BLK</t>
  </si>
  <si>
    <t>DUX-PC-SKINX(N)-i13Mini-BLU</t>
  </si>
  <si>
    <t>DUX-PC-SKINX(N)-i13Mini-PNK</t>
  </si>
  <si>
    <t>DUX-PC-SKINX(N)-i13Pro-BLK</t>
  </si>
  <si>
    <t>DUX-PC-SKINX(N)-i13Pro-BLU</t>
  </si>
  <si>
    <t>DUX-PC-SKINX(N)-i13Pro-PNK</t>
  </si>
  <si>
    <t>DUX-PC-SKINX(N)-i13ProMax-BLK</t>
  </si>
  <si>
    <t>DUX-PC-SKINX(N)-i13ProMax-BLU</t>
  </si>
  <si>
    <t>DUX-PC-SKINX(N)-i13ProMax-PNK</t>
  </si>
  <si>
    <t>DUX-PC-SKINX-A12-BLK</t>
  </si>
  <si>
    <t>DUX-PC-SKINX-A12-PNK</t>
  </si>
  <si>
    <t>DUX-PC-SKINX-A21s-BLK</t>
  </si>
  <si>
    <t>DUX-PC-SKINX-A21s-BLU</t>
  </si>
  <si>
    <t>DUX-PC-SKINX-A32/5G-PNK</t>
  </si>
  <si>
    <t>DUX-PC-SKINX-A42-BLK</t>
  </si>
  <si>
    <t>DUX-PC-SKINX-A42-BLU</t>
  </si>
  <si>
    <t>DUX-PC-SKINX-A42-PNK</t>
  </si>
  <si>
    <t>DUX-PC-SKINX-A52-BLK</t>
  </si>
  <si>
    <t>DUX-PC-SKINX-A52-PNK</t>
  </si>
  <si>
    <t>DUX-PC-SKINX-A72-BLU</t>
  </si>
  <si>
    <t>DUX-PC-SKINX-A72-PNK</t>
  </si>
  <si>
    <t>DUX-PC-SKINX-S20-MNG</t>
  </si>
  <si>
    <t>DUX-PC-SKINX-S20-PNK</t>
  </si>
  <si>
    <t>DUX-PC-SKINX-S20FE-BLK</t>
  </si>
  <si>
    <t>DUX-PC-SKINX-S21-PNK</t>
  </si>
  <si>
    <t>DUX-PC-SKINX-S21FE-BLK</t>
  </si>
  <si>
    <t>DUX-PC-SKINX-S21FE-BLU</t>
  </si>
  <si>
    <t>DUX-PC-SKINX-S21FE-PNK</t>
  </si>
  <si>
    <t>DUX-PC-SKINX-S21Plus-PNK</t>
  </si>
  <si>
    <t>DUX-PC-SKINX-S21Ultra-PNK</t>
  </si>
  <si>
    <t>DUX-PC-SKINX-i11-BLK</t>
  </si>
  <si>
    <t>DUX-PC-SKINX-i11-BLU</t>
  </si>
  <si>
    <t>DUX-PC-SKINX-i11PRO-GLD</t>
  </si>
  <si>
    <t>DUX-PC-SKINX-i11PRO-PNK</t>
  </si>
  <si>
    <t>DUX-PC-SKINX-i11PRO-RED</t>
  </si>
  <si>
    <t>DUX-PC-SKINX-i12-BLK</t>
  </si>
  <si>
    <t>DUX-PC-SKINX-i12Mini-PNK</t>
  </si>
  <si>
    <t>DUX-PC-SKINX-i12ProMax-BLK</t>
  </si>
  <si>
    <t>DUX-PC-SKINX-i7P/8P-BLK</t>
  </si>
  <si>
    <t>DUX-PC-SKINX-iSE-BLK</t>
  </si>
  <si>
    <t>DUX-PC-SKINX-iSE-BLU</t>
  </si>
  <si>
    <t>DUX-PC-SKINX-iXR-BLK</t>
  </si>
  <si>
    <t>DUX-PC-SKINX-iXS-BLK</t>
  </si>
  <si>
    <t>DUX-PC-STEX-ZFlip7-BLK</t>
  </si>
  <si>
    <t>DUX-PC-STEX-ZFold7-BLK</t>
  </si>
  <si>
    <t>DUX-PC-SX2-A14/5G-BLK</t>
  </si>
  <si>
    <t>DUX-PC-SX2-A14/5G-BRW</t>
  </si>
  <si>
    <t>DUX-PC-SX2-A34/5G-BLK</t>
  </si>
  <si>
    <t>DUX-PC-SX2-A34/5G-BLU</t>
  </si>
  <si>
    <t>DUX-PC-SX2-A34/5G-BRW</t>
  </si>
  <si>
    <t>DUX-PC-SX2-A54/5G-BLK</t>
  </si>
  <si>
    <t>DUX-PC-SX2-A54/5G-BLU</t>
  </si>
  <si>
    <t>DUX-PC-SX2-A54/5G-BRW</t>
  </si>
  <si>
    <t>DUX-PC-SX2-RMNote12/4G-BLK</t>
  </si>
  <si>
    <t>DUX-PC-SX2-RMNote12/4G-BLU</t>
  </si>
  <si>
    <t>DUX-PC-SX2-RMNote12/4G-BRW</t>
  </si>
  <si>
    <t>DUX-PC-SX2-RMNote12/5G-BLK</t>
  </si>
  <si>
    <t>DUX-PC-SX2-RMNote12/5G-BLU</t>
  </si>
  <si>
    <t>DUX-PC-SX2-RMNote12/5G-BRW</t>
  </si>
  <si>
    <t>DUX-PC-SX2-RMNote12Pro+-BLK</t>
  </si>
  <si>
    <t>DUX-PC-SX2-RMNote12Pro+-BLU</t>
  </si>
  <si>
    <t>DUX-PC-SX2-RMNote12Pro+-BRW</t>
  </si>
  <si>
    <t>DUX-PC-SX2-RMNote12Pro/5G-BLK</t>
  </si>
  <si>
    <t>DUX-PC-SX2-RMNote12Pro/5G-BLU</t>
  </si>
  <si>
    <t>DUX-PC-SX2-RMNote12Pro/5G-BRW</t>
  </si>
  <si>
    <t>DUX-PC-SX2-S23-BLK</t>
  </si>
  <si>
    <t>DUX-PC-SX2-S23-BLU</t>
  </si>
  <si>
    <t>DUX-PC-SX2-S23-BRW</t>
  </si>
  <si>
    <t>DUX-PC-SX2-S23Plus-BLK</t>
  </si>
  <si>
    <t>DUX-PC-SX2-S23Plus-BLU</t>
  </si>
  <si>
    <t>DUX-PC-SX2-S23Plus-BRW</t>
  </si>
  <si>
    <t>DUX-PC-SX2-S23Ultra-BLK</t>
  </si>
  <si>
    <t>DUX-PC-SX2-S23Ultra-BLU</t>
  </si>
  <si>
    <t>DUX-PC-SX2-S23Ultra-BRW</t>
  </si>
  <si>
    <t>DUX-PC-SX2-i14-BLK</t>
  </si>
  <si>
    <t>DUX-PC-SX2-i14-BLU</t>
  </si>
  <si>
    <t>DUX-PC-SX2-i14-BRW</t>
  </si>
  <si>
    <t>DUX-PC-SX2-i14Plus-BLK</t>
  </si>
  <si>
    <t>DUX-PC-SX2-i14Plus-BLU</t>
  </si>
  <si>
    <t>DUX-PC-SX2-i14Plus-BRW</t>
  </si>
  <si>
    <t>DUX-PC-SX2-i14Pro-BLK</t>
  </si>
  <si>
    <t>DUX-PC-SX2-i14Pro-BLU</t>
  </si>
  <si>
    <t>DUX-PC-SX2-i14Pro-BRW</t>
  </si>
  <si>
    <t>DUX-PC-SX2-i14ProMax-BLK</t>
  </si>
  <si>
    <t>DUX-PC-SX2-i14ProMax-BLU</t>
  </si>
  <si>
    <t>DUX-PC-SX2-i14ProMax-BRW</t>
  </si>
  <si>
    <t>DUX-PC-UNI-4.7inch-BLK</t>
  </si>
  <si>
    <t>DUX-PC-UNI-5.2inch-BLK</t>
  </si>
  <si>
    <t>DUX-PC-UNI-5.5inch-BLK</t>
  </si>
  <si>
    <t>DUX-PC-VEN-ZFlip3-BLK</t>
  </si>
  <si>
    <t>DUX-PC-VEN-ZFlip3-BLU</t>
  </si>
  <si>
    <t>DUX-PC-VEN-ZFlip3-BRW</t>
  </si>
  <si>
    <t>DUX-PC-VEN-ZFlip3-PNK</t>
  </si>
  <si>
    <t>DUX-PC-VEN-ZFlip4-BLK</t>
  </si>
  <si>
    <t>DUX-PC-VEN-ZFlip4-BLU</t>
  </si>
  <si>
    <t>DUX-PC-VEN-ZFlip4-BRW</t>
  </si>
  <si>
    <t>DUX-PC-VEN-ZFlip4-PNK</t>
  </si>
  <si>
    <t>DUX-PC-VEN-ZFold3-BLK</t>
  </si>
  <si>
    <t>DUX-PC-VEN-ZFold3-BLU</t>
  </si>
  <si>
    <t>DUX-PC-VEN-ZFold3-BRW</t>
  </si>
  <si>
    <t>DUX-PC-VEN-ZFold3-PNK</t>
  </si>
  <si>
    <t>DUX-PC-VEN-ZFold4-BLK</t>
  </si>
  <si>
    <t>DUX-PC-VEN-ZFold4-BLU</t>
  </si>
  <si>
    <t>DUX-PC-VEN-ZFold4-BRW</t>
  </si>
  <si>
    <t>DUX-PC-VEN-ZFold4-PNK</t>
  </si>
  <si>
    <t>DUX-PC-XPS(RING)-S24-BLK</t>
  </si>
  <si>
    <t>DUX-PC-XPS(RING)-S24-BLU</t>
  </si>
  <si>
    <t>DUX-PC-XPS(RING)-S24-PRP</t>
  </si>
  <si>
    <t>DUX-PC-XPS(RING)-S24Plus-BLK</t>
  </si>
  <si>
    <t>DUX-PC-XPS(RING)-S24Plus-BLU</t>
  </si>
  <si>
    <t>DUX-PC-XPS(RING)-S24Plus-PRP</t>
  </si>
  <si>
    <t>DUX-PC-XPS(RING)-S24Ultra-BLK</t>
  </si>
  <si>
    <t>DUX-PC-XPS(RING)-S24Ultra-BLU</t>
  </si>
  <si>
    <t>DUX-PC-XPS(RING)-S24Ultra-PRP</t>
  </si>
  <si>
    <t>DUX-PC-XPS(RING)-S25-BLK</t>
  </si>
  <si>
    <t>DUX-PC-XPS(RING)-S25-BLU</t>
  </si>
  <si>
    <t>DUX-PC-XPS(RING)-S25-PRP</t>
  </si>
  <si>
    <t>DUX-PC-XPS(RING)-S25Plus-BLK</t>
  </si>
  <si>
    <t>DUX-PC-XPS(RING)-S25Plus-BLU</t>
  </si>
  <si>
    <t>DUX-PC-XPS(RING)-S25Ultra-BLK</t>
  </si>
  <si>
    <t>DUX-PC-XPS(RING)-S25Ultra-BLU</t>
  </si>
  <si>
    <t>DUX-PC-XPS(RING)-S25Ultra-PRP</t>
  </si>
  <si>
    <t>DUX-PC-XPS(RING)-i16-BLK</t>
  </si>
  <si>
    <t>DUX-PC-XPS(RING)-i16-BLU</t>
  </si>
  <si>
    <t>DUX-PC-XPS(RING)-i16-PRP</t>
  </si>
  <si>
    <t>DUX-PC-XPS(RING)-i16Plus-BLK</t>
  </si>
  <si>
    <t>DUX-PC-XPS(RING)-i16Plus-BLU</t>
  </si>
  <si>
    <t>DUX-PC-XPS(RING)-i16Plus-PRP</t>
  </si>
  <si>
    <t>DUX-PC-XPS(RING)-i16Pro-BLK</t>
  </si>
  <si>
    <t>DUX-PC-XPS(RING)-i16Pro-BLU</t>
  </si>
  <si>
    <t>DUX-PC-XPS(RING)-i16Pro-PRP</t>
  </si>
  <si>
    <t>DUX-PC-XPS(RING)-i16ProMax-BLK</t>
  </si>
  <si>
    <t>DUX-PC-XPS(RING)-i16ProMax-BLU</t>
  </si>
  <si>
    <t>DUX-PC-XPS(RING)-i16ProMax-PRP</t>
  </si>
  <si>
    <t>DUX-PC-XPS-S/A15(4G/5G)-BLK</t>
  </si>
  <si>
    <t>DUX-PC-XPS-S/A15(4G/5G)-BLU</t>
  </si>
  <si>
    <t>DUX-PC-XPS-S/A15(4G/5G)-PRP</t>
  </si>
  <si>
    <t>DUX-PC-XPS-S/A16-BLK</t>
  </si>
  <si>
    <t>DUX-PC-XPS-S/A16-BLU</t>
  </si>
  <si>
    <t>DUX-PC-XPS-S/A16-PRP</t>
  </si>
  <si>
    <t>DUX-PC-XPS-S/A35(5G)-BLK</t>
  </si>
  <si>
    <t>DUX-PC-XPS-S/A35(5G)-BLU</t>
  </si>
  <si>
    <t>DUX-PC-XPS-S/A35(5G)-PRP</t>
  </si>
  <si>
    <t>DUX-PC-XPS-S/A36(5G)-BLK</t>
  </si>
  <si>
    <t>DUX-PC-XPS-S/A36(5G)-BLU</t>
  </si>
  <si>
    <t>DUX-PC-XPS-S/A36(5G)-PRP</t>
  </si>
  <si>
    <t>DUX-PC-XPS-S/A55(5G)-BLK</t>
  </si>
  <si>
    <t>DUX-PC-XPS-S/A55(5G)-BLU</t>
  </si>
  <si>
    <t>DUX-PC-XPS-S/A55(5G)-PRP</t>
  </si>
  <si>
    <t>DUX-PC-XPS-S23Ultra-BLK</t>
  </si>
  <si>
    <t>DUX-PC-XPS-S23Ultra-BLU</t>
  </si>
  <si>
    <t>DUX-PC-XPS-S23Ultra-PRP</t>
  </si>
  <si>
    <t>DUX-PC-XPS-S24-BLK</t>
  </si>
  <si>
    <t>DUX-PC-XPS-S24-BLU</t>
  </si>
  <si>
    <t>DUX-PC-XPS-S24-PRP</t>
  </si>
  <si>
    <t>DUX-PC-XPS-S24Plus-BLK</t>
  </si>
  <si>
    <t>DUX-PC-XPS-S24Plus-BLU</t>
  </si>
  <si>
    <t>DUX-PC-XPS-S24Plus-PRP</t>
  </si>
  <si>
    <t>DUX-PC-XPS-S24Ultra-BLU</t>
  </si>
  <si>
    <t>DUX-PC-XPS-S24Ultra-PRP</t>
  </si>
  <si>
    <t>DUX-PC-XPS-S25-BLK</t>
  </si>
  <si>
    <t>DUX-PC-XPS-S25-BLU</t>
  </si>
  <si>
    <t>DUX-PC-XPS-S25-PRP</t>
  </si>
  <si>
    <t>DUX-PC-XPS-S25Edge-BLK</t>
  </si>
  <si>
    <t>DUX-PC-XPS-S25Edge-BLU</t>
  </si>
  <si>
    <t>DUX-PC-XPS-S25Edge-PRP</t>
  </si>
  <si>
    <t>DUX-PC-XPS-S25Plus-BLK</t>
  </si>
  <si>
    <t>DUX-PC-XPS-S25Plus-BLU</t>
  </si>
  <si>
    <t>DUX-PC-XPS-S25Plus-PRP</t>
  </si>
  <si>
    <t>DUX-PC-XPS-S25Ultra-BLK</t>
  </si>
  <si>
    <t>DUX-PC-XPS-S25Ultra-BLU</t>
  </si>
  <si>
    <t>DUX-PC-XPS-S25Ultra-PRP</t>
  </si>
  <si>
    <t>DUX-PC-XPS-S26Plus-BLK</t>
  </si>
  <si>
    <t>DUX-PC-XPS-S26Plus-BLU</t>
  </si>
  <si>
    <t>DUX-PC-XPS-S26Ultra-BLK</t>
  </si>
  <si>
    <t>DUX-PC-XPS-S26Ultra-BLU</t>
  </si>
  <si>
    <t>DUX-PC-XPS-i13-BEI</t>
  </si>
  <si>
    <t>DUX-PC-XPS-i13-BLU</t>
  </si>
  <si>
    <t>DUX-PC-XPS-i13-PRP</t>
  </si>
  <si>
    <t>DUX-PC-XPS-i13Pro-BLK</t>
  </si>
  <si>
    <t>DUX-PC-XPS-i13Pro-BLU</t>
  </si>
  <si>
    <t>DUX-PC-XPS-i13Pro-PRP</t>
  </si>
  <si>
    <t>DUX-PC-XPS-i13ProMax-BLK</t>
  </si>
  <si>
    <t>DUX-PC-XPS-i13ProMax-BLU</t>
  </si>
  <si>
    <t>DUX-PC-XPS-i13ProMax-PRP</t>
  </si>
  <si>
    <t>DUX-PC-XPS-i14-BLK</t>
  </si>
  <si>
    <t>DUX-PC-XPS-i14Plus-BEI</t>
  </si>
  <si>
    <t>DUX-PC-XPS-i14Plus-BLK</t>
  </si>
  <si>
    <t>DUX-PC-XPS-i14Plus-PRP</t>
  </si>
  <si>
    <t>DUX-PC-XPS-i14Pro-BEI</t>
  </si>
  <si>
    <t>DUX-PC-XPS-i14Pro-BLU</t>
  </si>
  <si>
    <t>DUX-PC-XPS-i14Pro-PRP</t>
  </si>
  <si>
    <t>DUX-PC-XPS-i14ProMax-BEI</t>
  </si>
  <si>
    <t>DUX-PC-XPS-i14ProMax-BLU</t>
  </si>
  <si>
    <t>DUX-PC-XPS-i14ProMax-PRP</t>
  </si>
  <si>
    <t>DUX-PC-XPS-i15-BLK</t>
  </si>
  <si>
    <t>DUX-PC-XPS-i15-BLU</t>
  </si>
  <si>
    <t>DUX-PC-XPS-i15-PRP</t>
  </si>
  <si>
    <t>DUX-PC-XPS-i15Plus-BLK</t>
  </si>
  <si>
    <t>DUX-PC-XPS-i15Plus-BLU</t>
  </si>
  <si>
    <t>DUX-PC-XPS-i15Plus-PRP</t>
  </si>
  <si>
    <t>DUX-PC-XPS-i15Pro-BLU</t>
  </si>
  <si>
    <t>DUX-PC-XPS-i15Pro-PRP</t>
  </si>
  <si>
    <t>DUX-PC-XPS-i15ProMax-BLU</t>
  </si>
  <si>
    <t>DUX-PC-XPS-i15ProMax-PRP</t>
  </si>
  <si>
    <t>DUX-PC-XPS-i16-BLK</t>
  </si>
  <si>
    <t>DUX-PC-XPS-i16-BLU</t>
  </si>
  <si>
    <t>DUX-PC-XPS-i16-PRP</t>
  </si>
  <si>
    <t>DUX-PC-XPS-i16Plus-BLK</t>
  </si>
  <si>
    <t>DUX-PC-XPS-i16Plus-BLU</t>
  </si>
  <si>
    <t>DUX-PC-XPS-i16Plus-PRP</t>
  </si>
  <si>
    <t>DUX-PC-XPS-i16Pro-BLK</t>
  </si>
  <si>
    <t>DUX-PC-XPS-i16Pro-BLU</t>
  </si>
  <si>
    <t>DUX-PC-XPS-i16ProMax-BLU</t>
  </si>
  <si>
    <t>DUX-PC-XPS-i16ProMax-PRP</t>
  </si>
  <si>
    <t>DUX-PC-XPS-iP16E-BLK</t>
  </si>
  <si>
    <t>DUX-PC-XPS-iP16E-BLU</t>
  </si>
  <si>
    <t>DUX-PC-XPS-iP16E-PRP</t>
  </si>
  <si>
    <t>DUX-PC-XPS-iP17-BLK</t>
  </si>
  <si>
    <t>DUX-PC-XPS-iP17-BLU</t>
  </si>
  <si>
    <t>DUX-PC-XPS-iP17-PRP</t>
  </si>
  <si>
    <t>DUX-PC-XPS-iP17Air-BLK</t>
  </si>
  <si>
    <t>DUX-PC-XPS-iP17Air-BLU</t>
  </si>
  <si>
    <t>DUX-PC-XPS-iP17Air-PRP</t>
  </si>
  <si>
    <t>DUX-PC-XPS-iP17Pro-BLU</t>
  </si>
  <si>
    <t>DUX-PC-XPS-iP17Pro-PRP</t>
  </si>
  <si>
    <t>DUX-PC-XPS-iP17ProMax-BLU</t>
  </si>
  <si>
    <t>DUX-PC-YIND(RING)-S25-BLK</t>
  </si>
  <si>
    <t>DUX-PC-YIND(RING)-S25-GRY</t>
  </si>
  <si>
    <t>DUX-PC-YIND(RING)-S25Plus-BLK</t>
  </si>
  <si>
    <t>DUX-PC-YIND(RING)-S25Plus-GRY</t>
  </si>
  <si>
    <t>DUX-PC-YIND(RING)-S25Ultra-BLK</t>
  </si>
  <si>
    <t>DUX-PC-YIND(RING)-S25Ultra-GRY</t>
  </si>
  <si>
    <t>DUX-PC-YIND(RING)-S26Ultra-BLK</t>
  </si>
  <si>
    <t>DUX-PC-YIND(RING)-S26Ultra-BLU</t>
  </si>
  <si>
    <t>DUX-PC-YIND(RING)-S26Ultra-GRY</t>
  </si>
  <si>
    <t>DUX-PC-YIND(RING)-S26Ultra-ORG</t>
  </si>
  <si>
    <t>DUX-PC-YIND(RING)-iP16-BLK</t>
  </si>
  <si>
    <t>DUX-PC-YIND(RING)-iP16-GRY</t>
  </si>
  <si>
    <t>DUX-PC-YIND(RING)-iP16Pro-BLK</t>
  </si>
  <si>
    <t>DUX-PC-YIND(RING)-iP16Pro-GRY</t>
  </si>
  <si>
    <t>DUX-PC-YIND(RING)-iP16ProMax-BLK</t>
  </si>
  <si>
    <t>DUX-PC-YIND(RING)-iP16ProMax-GRY</t>
  </si>
  <si>
    <t>DUX-PC-YIND-S/A16-BLK</t>
  </si>
  <si>
    <t>DUX-PC-YIND-S/A16-GRN</t>
  </si>
  <si>
    <t>DUX-PC-YIND-S/A16-GRY</t>
  </si>
  <si>
    <t>DUX-PC-YIND-S/A16-PNK</t>
  </si>
  <si>
    <t>DUX-PC-YIND-S/A17-BLK</t>
  </si>
  <si>
    <t>DUX-PC-YIND-S/A17-BLU</t>
  </si>
  <si>
    <t>DUX-PC-YIND-S/A17-GRY</t>
  </si>
  <si>
    <t>DUX-PC-YIND-S/A17-PNK</t>
  </si>
  <si>
    <t>DUX-PC-YIND-S/A17-PRP</t>
  </si>
  <si>
    <t>DUX-PC-YIND-S/A36(5G)-BLK</t>
  </si>
  <si>
    <t>DUX-PC-YIND-S/A36(5G)-GRN</t>
  </si>
  <si>
    <t>DUX-PC-YIND-S/A36(5G)-GRY</t>
  </si>
  <si>
    <t>DUX-PC-YIND-S/A36(5G)-PNK</t>
  </si>
  <si>
    <t>DUX-PC-YIND-S25-BLK</t>
  </si>
  <si>
    <t>DUX-PC-YIND-S25-CYA</t>
  </si>
  <si>
    <t>DUX-PC-YIND-S25-GRY</t>
  </si>
  <si>
    <t>DUX-PC-YIND-S25-PNK</t>
  </si>
  <si>
    <t>DUX-PC-YIND-S25Plus-BLK</t>
  </si>
  <si>
    <t>DUX-PC-YIND-S25Plus-CYA</t>
  </si>
  <si>
    <t>DUX-PC-YIND-S25Plus-GRY</t>
  </si>
  <si>
    <t>DUX-PC-YIND-S25Plus-PNK</t>
  </si>
  <si>
    <t>DUX-PC-YIND-S25Ultra-BLK</t>
  </si>
  <si>
    <t>DUX-PC-YIND-S25Ultra-CYA</t>
  </si>
  <si>
    <t>DUX-PC-YIND-S25Ultra-GRY</t>
  </si>
  <si>
    <t>DUX-PC-YIND-S25Ultra-PNK</t>
  </si>
  <si>
    <t>DUX-PC-YIND-S26Ultra-BLK</t>
  </si>
  <si>
    <t>DUX-PC-YIND-S26Ultra-BLU</t>
  </si>
  <si>
    <t>DUX-PC-YIND-S26Ultra-GRY</t>
  </si>
  <si>
    <t>DUX-PC-YIND-S26Ultra-ORG</t>
  </si>
  <si>
    <t>DUX-PC-YIND-S26Ultra-PNK</t>
  </si>
  <si>
    <t>DUX-PC-YIND-S26Ultra-PRP</t>
  </si>
  <si>
    <t>DUX-PC-YIND-iP15-BLK</t>
  </si>
  <si>
    <t>DUX-PC-YIND-iP15-BLU</t>
  </si>
  <si>
    <t>DUX-PC-YIND-iP15-GRY</t>
  </si>
  <si>
    <t>DUX-PC-YIND-iP15-PINK</t>
  </si>
  <si>
    <t>DUX-PC-YIND-iP15-PRP</t>
  </si>
  <si>
    <t>DUX-PC-YIND-iP15Pro-BLK</t>
  </si>
  <si>
    <t>DUX-PC-YIND-iP15Pro-BLU</t>
  </si>
  <si>
    <t>DUX-PC-YIND-iP15Pro-GRY</t>
  </si>
  <si>
    <t>DUX-PC-YIND-iP15Pro-PINK</t>
  </si>
  <si>
    <t>DUX-PC-YIND-iP15Pro-PRP</t>
  </si>
  <si>
    <t>DUX-PC-YIND-iP15ProMax-BLK</t>
  </si>
  <si>
    <t>DUX-PC-YIND-iP15ProMax-BLU</t>
  </si>
  <si>
    <t>DUX-PC-YIND-iP15ProMax-GRY</t>
  </si>
  <si>
    <t>DUX-PC-YIND-iP15ProMax-PINK</t>
  </si>
  <si>
    <t>DUX-PC-YIND-iP15ProMax-PRP</t>
  </si>
  <si>
    <t>DUX-PC-YIND-iP16-BLK</t>
  </si>
  <si>
    <t>DUX-PC-YIND-iP16-BLU</t>
  </si>
  <si>
    <t>DUX-PC-YIND-iP16-GRN</t>
  </si>
  <si>
    <t>DUX-PC-YIND-iP16-GRY</t>
  </si>
  <si>
    <t>DUX-PC-YIND-iP16-PNK</t>
  </si>
  <si>
    <t>DUX-PC-YIND-iP16-PRP</t>
  </si>
  <si>
    <t>DUX-PC-YIND-iP16-ROS/PNK</t>
  </si>
  <si>
    <t>DUX-PC-YIND-iP16E-BLK</t>
  </si>
  <si>
    <t>DUX-PC-YIND-iP16E-GRN</t>
  </si>
  <si>
    <t>DUX-PC-YIND-iP16E-GRY</t>
  </si>
  <si>
    <t>DUX-PC-YIND-iP16E-ROS/PNK</t>
  </si>
  <si>
    <t>DUX-PC-YIND-iP16Plus-BLK</t>
  </si>
  <si>
    <t>DUX-PC-YIND-iP16Plus-BLU</t>
  </si>
  <si>
    <t>DUX-PC-YIND-iP16Plus-GRY</t>
  </si>
  <si>
    <t>DUX-PC-YIND-iP16Plus-PNK</t>
  </si>
  <si>
    <t>DUX-PC-YIND-iP16Plus-PRP</t>
  </si>
  <si>
    <t>DUX-PC-YIND-iP16Pro-BLK</t>
  </si>
  <si>
    <t>DUX-PC-YIND-iP16Pro-BLU</t>
  </si>
  <si>
    <t>DUX-PC-YIND-iP16Pro-GRN</t>
  </si>
  <si>
    <t>DUX-PC-YIND-iP16Pro-GRY</t>
  </si>
  <si>
    <t>DUX-PC-YIND-iP16Pro-PNK</t>
  </si>
  <si>
    <t>DUX-PC-YIND-iP16Pro-PRP</t>
  </si>
  <si>
    <t>DUX-PC-YIND-iP16Pro-ROS/PNK</t>
  </si>
  <si>
    <t>DUX-PC-YIND-iP16ProMax-BLK</t>
  </si>
  <si>
    <t>DUX-PC-YIND-iP16ProMax-BLU</t>
  </si>
  <si>
    <t>DUX-PC-YIND-iP16ProMax-GRN</t>
  </si>
  <si>
    <t>DUX-PC-YIND-iP16ProMax-GRY</t>
  </si>
  <si>
    <t>DUX-PC-YIND-iP16ProMax-PNK</t>
  </si>
  <si>
    <t>DUX-PC-YIND-iP16ProMax-PRP</t>
  </si>
  <si>
    <t>DUX-PC-YIND-iP16ProMax-ROS/PNK</t>
  </si>
  <si>
    <t>DUX-PC-YIND-iP17-BLU</t>
  </si>
  <si>
    <t>DUX-PC-YIND-iP17-GRY</t>
  </si>
  <si>
    <t>DUX-PC-YIND-iP17-PNK</t>
  </si>
  <si>
    <t>DUX-PC-YIND-iP17-PRP</t>
  </si>
  <si>
    <t>DUX-PC-YIND-iP17Air-BLK</t>
  </si>
  <si>
    <t>DUX-PC-YIND-iP17Air-BLU</t>
  </si>
  <si>
    <t>DUX-PC-YIND-iP17Air-GRY</t>
  </si>
  <si>
    <t>DUX-PC-YIND-iP17Air-PNK</t>
  </si>
  <si>
    <t>DUX-PC-YIND-iP17Air-PRP</t>
  </si>
  <si>
    <t>DUX-PC-YIND-iP17Pro-BLK</t>
  </si>
  <si>
    <t>DUX-PC-YIND-iP17Pro-BLU</t>
  </si>
  <si>
    <t>DUX-PC-YIND-iP17Pro-GRY</t>
  </si>
  <si>
    <t>DUX-PC-YIND-iP17Pro-PNK</t>
  </si>
  <si>
    <t>DUX-PC-YIND-iP17Pro-PRP</t>
  </si>
  <si>
    <t>DUX-PC-YIND-iP17ProMax-BLK</t>
  </si>
  <si>
    <t>DUX-PC-YIND-iP17ProMax-BLU</t>
  </si>
  <si>
    <t>DUX-PC-YIND-iP17ProMax-GRY</t>
  </si>
  <si>
    <t>DUX-PC-YIND-iP17ProMax-PRP</t>
  </si>
  <si>
    <t>DUX-PC-YOLO-A51-ORG</t>
  </si>
  <si>
    <t>DUX-PC-YOLO-A51-PNK</t>
  </si>
  <si>
    <t>DUX-PC-YOLO-A51-RED</t>
  </si>
  <si>
    <t>DUX-PC-YOLO-A52(4G/5G)-PNK</t>
  </si>
  <si>
    <t>DUX-PC-YOLO-A52(4G/5G)-RED</t>
  </si>
  <si>
    <t>DUX-PC-YOLO-A71-ORG</t>
  </si>
  <si>
    <t>DUX-PC-YOLO-A71-RED</t>
  </si>
  <si>
    <t>DUX-PC-YOLO-A72(4G/5G)-BLK</t>
  </si>
  <si>
    <t>DUX-PC-YOLO-A72(4G/5G)-RED</t>
  </si>
  <si>
    <t>DUX-PC-YOLO-Note20-PNK</t>
  </si>
  <si>
    <t>DUX-PC-YOLO-Note20U-PNK</t>
  </si>
  <si>
    <t>DUX-PC-YOLO-S20-BLK</t>
  </si>
  <si>
    <t>DUX-PC-YOLO-S20-ORG</t>
  </si>
  <si>
    <t>DUX-PC-YOLO-S20-RED</t>
  </si>
  <si>
    <t>DUX-PC-YOLO-S20FE-ORG</t>
  </si>
  <si>
    <t>DUX-PC-YOLO-S20FE-RED</t>
  </si>
  <si>
    <t>DUX-PC-YOLO-S20U-ORG</t>
  </si>
  <si>
    <t>DUX-PC-YOLO-S21-ORG</t>
  </si>
  <si>
    <t>DUX-PC-YOLO-S21-PNK</t>
  </si>
  <si>
    <t>DUX-PC-YOLO-S21-RED</t>
  </si>
  <si>
    <t>DUX-PC-YOLO-S21Plus-RED</t>
  </si>
  <si>
    <t>DUX-PC-YOLO-S21Ultra-RED</t>
  </si>
  <si>
    <t>DUX-PC-YOLO-S22-BLK</t>
  </si>
  <si>
    <t>DUX-PC-YOLO-S22-PNK</t>
  </si>
  <si>
    <t>DUX-PC-YOLO-S22Plus-BLK</t>
  </si>
  <si>
    <t>DUX-PC-YOLO-S22Plus-PNK</t>
  </si>
  <si>
    <t>DUX-PC-YOLO-S22Ultra-PNK</t>
  </si>
  <si>
    <t>DUX-PC-YOLO-i11-RED</t>
  </si>
  <si>
    <t>DUX-PC-YOLO-i11Max-ORG</t>
  </si>
  <si>
    <t>DUX-PC-YOLO-i11Max-RED</t>
  </si>
  <si>
    <t>DUX-PC-YOLO-i11Pro-BLK</t>
  </si>
  <si>
    <t>DUX-PC-YOLO-i11Pro-ORG</t>
  </si>
  <si>
    <t>DUX-PC-YOLO-i11Pro-PNK</t>
  </si>
  <si>
    <t>DUX-PC-YOLO-i11Pro-RED</t>
  </si>
  <si>
    <t>DUX-PC-YOLO-i12-ORG</t>
  </si>
  <si>
    <t>DUX-PC-YOLO-i12-RED</t>
  </si>
  <si>
    <t>DUX-PC-YOLO-i12Mini-ORG</t>
  </si>
  <si>
    <t>DUX-PC-YOLO-i12Mini-RED</t>
  </si>
  <si>
    <t>DUX-PC-YOLO-i12Pro-ORG</t>
  </si>
  <si>
    <t>DUX-PC-YOLO-i12Pro-PNK</t>
  </si>
  <si>
    <t>DUX-PC-YOLO-i12Pro-RED</t>
  </si>
  <si>
    <t>DUX-PC-YOLO-i12ProMax-ORG</t>
  </si>
  <si>
    <t>DUX-PC-YOLO-i12ProMax-RED</t>
  </si>
  <si>
    <t>DUX-PC-YOLO-i13-BLK</t>
  </si>
  <si>
    <t>DUX-PC-YOLO-i13-ORG</t>
  </si>
  <si>
    <t>DUX-PC-YOLO-i13-PNK</t>
  </si>
  <si>
    <t>DUX-PC-YOLO-i13-RED</t>
  </si>
  <si>
    <t>DUX-PC-YOLO-i13Mini-BLK</t>
  </si>
  <si>
    <t>DUX-PC-YOLO-i13Mini-ORG</t>
  </si>
  <si>
    <t>DUX-PC-YOLO-i13Mini-PNK</t>
  </si>
  <si>
    <t>DUX-PC-YOLO-i13Mini-RED</t>
  </si>
  <si>
    <t>DUX-PC-YOLO-i13Pro-BLK</t>
  </si>
  <si>
    <t>DUX-PC-YOLO-i13Pro-ORG</t>
  </si>
  <si>
    <t>DUX-PC-YOLO-i13Pro-PNK</t>
  </si>
  <si>
    <t>DUX-PC-YOLO-i13Pro-RED</t>
  </si>
  <si>
    <t>DUX-PC-YOLO-i13ProMax-ORG</t>
  </si>
  <si>
    <t>DUX-PC-YOLO-i13ProMax-PNK</t>
  </si>
  <si>
    <t>DUX-PC-YOLO-i13ProMax-RED</t>
  </si>
  <si>
    <t>DUX-PC-YOLO-iSE-BLK</t>
  </si>
  <si>
    <t>DUX-PC-ZEST-S25Ultra-GRA/GLD</t>
  </si>
  <si>
    <t>DUX-PC-ZEST-S25Ultra-GRA/RNB</t>
  </si>
  <si>
    <t>DUX-PC-ZEST-i16Pro-GRA/GLD</t>
  </si>
  <si>
    <t>DUX-PC-ZEST-i16Pro-GRA/RNB</t>
  </si>
  <si>
    <t>DUX-PC-ZEST-i16ProMax-GRA/GLD</t>
  </si>
  <si>
    <t>DUX-PC-ZEST-i16ProMax-GRA/RNB</t>
  </si>
  <si>
    <t>DUX-PC-ZEST-iP16E-GRA/GLD</t>
  </si>
  <si>
    <t>DUX-PC-ZEST-iP16E-GRA/RNB</t>
  </si>
  <si>
    <t>DUX-SP-1+11-CLR</t>
  </si>
  <si>
    <t>DUX-SP-1+Nord2/5G-CLR</t>
  </si>
  <si>
    <t>DUX-SP-1+NordCE2/5G-CLR</t>
  </si>
  <si>
    <t>DUX-SP-10D-NTH/3A/PRO-CLR</t>
  </si>
  <si>
    <t>DUX-SP-10D-NoPhone2A-CLR</t>
  </si>
  <si>
    <t>DUX-SP-10D-NoPhone3-CLR</t>
  </si>
  <si>
    <t>DUX-SP-10D-Phone3-CLR</t>
  </si>
  <si>
    <t>DUX-SP-10D-ROG8/8Pro-CLR</t>
  </si>
  <si>
    <t>DUX-SP-10D-i16-CLR</t>
  </si>
  <si>
    <t>DUX-SP-10D-i16Plus-CLR</t>
  </si>
  <si>
    <t>DUX-SP-10D-i16Pro-CLR</t>
  </si>
  <si>
    <t>DUX-SP-10D-i16ProMax-CLR</t>
  </si>
  <si>
    <t>DUX-SP-10D-iP17-CLR</t>
  </si>
  <si>
    <t>DUX-SP-10D-iP17Air-CLR</t>
  </si>
  <si>
    <t>DUX-SP-10D-iP17Pro-CLR</t>
  </si>
  <si>
    <t>DUX-SP-10D-iP17ProMax-CLR</t>
  </si>
  <si>
    <t>DUX-SP-2.5D-Air11(2024)-CLR</t>
  </si>
  <si>
    <t>DUX-SP-2.5D-Air13(2024)-CLR</t>
  </si>
  <si>
    <t>DUX-SP-2.5D-Air2(9.7)-CLR</t>
  </si>
  <si>
    <t>DUX-SP-2.5D-Air3(10.5)-CLR</t>
  </si>
  <si>
    <t>DUX-SP-2.5D-HPad8</t>
  </si>
  <si>
    <t>DUX-SP-2.5D-HPad9</t>
  </si>
  <si>
    <t>DUX-SP-2.5D-HonorPadX8</t>
  </si>
  <si>
    <t>DUX-SP-2.5D-HonorPadX9</t>
  </si>
  <si>
    <t>DUX-SP-2.5D-MPad11(21)-CLR</t>
  </si>
  <si>
    <t>DUX-SP-2.5D-MPadPro12.6(21)-CLR</t>
  </si>
  <si>
    <t>DUX-SP-2.5D-MagicPad2-CLR</t>
  </si>
  <si>
    <t>DUX-SP-2.5D-Mini45-CLR</t>
  </si>
  <si>
    <t>DUX-SP-2.5D-Mini6-CLR</t>
  </si>
  <si>
    <t>DUX-SP-2.5D-Mini7-CLR</t>
  </si>
  <si>
    <t>DUX-SP-2.5D-PadSE11(2024)</t>
  </si>
  <si>
    <t>DUX-SP-2.5D-PadX8a-CLR</t>
  </si>
  <si>
    <t>DUX-SP-2.5D-Pro11(2024)-CLR</t>
  </si>
  <si>
    <t>DUX-SP-2.5D-Pro12.9(20)-CLR</t>
  </si>
  <si>
    <t>DUX-SP-2.5D-Pro13(2024)-CLR</t>
  </si>
  <si>
    <t>DUX-SP-2.5D-S/A11</t>
  </si>
  <si>
    <t>DUX-SP-2.5D-S/A9</t>
  </si>
  <si>
    <t>DUX-SP-2.5D-S/A9Plus-CLR</t>
  </si>
  <si>
    <t>DUX-SP-2.5D-TabA7(10.4)-CLR</t>
  </si>
  <si>
    <t>DUX-SP-2.5D-TabA7Lite</t>
  </si>
  <si>
    <t>DUX-SP-2.5D-TabA8(21)-CLR</t>
  </si>
  <si>
    <t>DUX-SP-2.5D-TabS10FEPlus-CLR</t>
  </si>
  <si>
    <t>DUX-SP-2.5D-TabS10Plus-CLR</t>
  </si>
  <si>
    <t>DUX-SP-2.5D-TabS10Ultra-CLR</t>
  </si>
  <si>
    <t>DUX-SP-2.5D-TabS6-CLR</t>
  </si>
  <si>
    <t>DUX-SP-2.5D-TabS6L-CLR</t>
  </si>
  <si>
    <t>DUX-SP-2.5D-TabS9-CLR</t>
  </si>
  <si>
    <t>DUX-SP-2.5D-TabS9Plus-CLR</t>
  </si>
  <si>
    <t>DUX-SP-2.5D-XMPad5-CLR</t>
  </si>
  <si>
    <t>DUX-SP-2.5D-XMPad6-CLR</t>
  </si>
  <si>
    <t>DUX-SP-2.5D-XMPad7/Pro-CLR</t>
  </si>
  <si>
    <t>DUX-SP-2.5D-iPad/10.2</t>
  </si>
  <si>
    <t>DUX-SP-2.5D-iPad/Air5</t>
  </si>
  <si>
    <t>DUX-SP-2.5D-iPad10(10.9)</t>
  </si>
  <si>
    <t>DUX-SP-9D-NovaY72-CLR</t>
  </si>
  <si>
    <t>DUX-SP-9D-Pura70-CLR</t>
  </si>
  <si>
    <t>DUX-SP-9D-RENO11F-CLR</t>
  </si>
  <si>
    <t>DUX-SP-9D-Rme12/Plus-CLR</t>
  </si>
  <si>
    <t>DUX-SP-9D-S/A15(4G/5G)-CLR</t>
  </si>
  <si>
    <t>DUX-SP-9D-S/A35(5G)-CLR</t>
  </si>
  <si>
    <t>DUX-SP-9D-S/A55(5G)-CLR</t>
  </si>
  <si>
    <t>DUX-SP-9D-X7b-CLR</t>
  </si>
  <si>
    <t>DUX-SP-A14/5G-CLR</t>
  </si>
  <si>
    <t>DUX-SP-A15s-CLR</t>
  </si>
  <si>
    <t>DUX-SP-A34/5G-CLR</t>
  </si>
  <si>
    <t>DUX-SP-A52-CLR</t>
  </si>
  <si>
    <t>DUX-SP-A54/5G-CLR</t>
  </si>
  <si>
    <t>DUX-SP-Air2(9.7)-CLR</t>
  </si>
  <si>
    <t>DUX-SP-Air3(10.5)-CLR</t>
  </si>
  <si>
    <t>DUX-SP-CURVE-Honor200-CLR</t>
  </si>
  <si>
    <t>DUX-SP-CURVE-Honor200Pro-CLR</t>
  </si>
  <si>
    <t>DUX-SP-CURVE-Magic6Pro-CLR</t>
  </si>
  <si>
    <t>DUX-SP-CURVE-Pura70Pro-CLR</t>
  </si>
  <si>
    <t>DUX-SP-CURVE-Pura70Ultra-CLR</t>
  </si>
  <si>
    <t>DUX-SP-CURVE-RMagic9Pro/Plus-CLR</t>
  </si>
  <si>
    <t>DUX-SP-CURVE-Reno11/11Pro-CLR</t>
  </si>
  <si>
    <t>DUX-SP-CURVE-Rme12/ProPlus-CLR</t>
  </si>
  <si>
    <t>DUX-SP-CURVE-S22Ultra-PVC</t>
  </si>
  <si>
    <t>DUX-SP-CURVE-S23Ultra-PVC</t>
  </si>
  <si>
    <t>DUX-SP-CURVE-S24-BLK</t>
  </si>
  <si>
    <t>DUX-SP-CURVE-S24-PVC</t>
  </si>
  <si>
    <t>DUX-SP-CURVE-S24Plus-BLK</t>
  </si>
  <si>
    <t>DUX-SP-CURVE-S24Plus-PVC</t>
  </si>
  <si>
    <t>DUX-SP-CURVE-S24Ultra-BLK</t>
  </si>
  <si>
    <t>DUX-SP-CURVE-S24Ultra-PVC</t>
  </si>
  <si>
    <t>DUX-SP-CURVE-X9b-CLR</t>
  </si>
  <si>
    <t>DUX-SP-CURVE-XM14Ultra-CLR</t>
  </si>
  <si>
    <t>DUX-SP-FU-S25-BLK</t>
  </si>
  <si>
    <t>DUX-SP-FU-S25-PVC</t>
  </si>
  <si>
    <t>DUX-SP-FU-S25Plus-BLK</t>
  </si>
  <si>
    <t>DUX-SP-FU-S25Plus-PVC</t>
  </si>
  <si>
    <t>DUX-SP-FU-S25Ultra-BLK</t>
  </si>
  <si>
    <t>DUX-SP-FU-S25Ultra-PVC</t>
  </si>
  <si>
    <t>DUX-SP-HD25DU-S26Ultra-CLR</t>
  </si>
  <si>
    <t>DUX-SP-HD3DU-Magic8Pro</t>
  </si>
  <si>
    <t>DUX-SP-Honor50-CLR</t>
  </si>
  <si>
    <t>DUX-SP-Honor70-CLR</t>
  </si>
  <si>
    <t>DUX-SP-Honor90-CLR</t>
  </si>
  <si>
    <t>DUX-SP-Honor90Lite-CLR</t>
  </si>
  <si>
    <t>DUX-SP-HonorX9a-CLR</t>
  </si>
  <si>
    <t>DUX-SP-LENO-MB(A)13.6</t>
  </si>
  <si>
    <t>DUX-SP-LENO-MB(A)15.3</t>
  </si>
  <si>
    <t>DUX-SP-LENO-MB(A/P)13.3</t>
  </si>
  <si>
    <t>DUX-SP-LENO-MB(P)14</t>
  </si>
  <si>
    <t>DUX-SP-LENO-MB(P)15.4</t>
  </si>
  <si>
    <t>DUX-SP-LENO-MB(P)16</t>
  </si>
  <si>
    <t>DUX-SP-MPad11(21)-CLR</t>
  </si>
  <si>
    <t>DUX-SP-MPadPro12.6(21)-CLR</t>
  </si>
  <si>
    <t>DUX-SP-Magic5-CLR</t>
  </si>
  <si>
    <t>DUX-SP-Magic5Pro-CLR</t>
  </si>
  <si>
    <t>DUX-SP-Mi11Lite-CLR</t>
  </si>
  <si>
    <t>DUX-SP-Mini45-CLR</t>
  </si>
  <si>
    <t>DUX-SP-Mini6-CLR</t>
  </si>
  <si>
    <t>DUX-SP-NAAD-Air11(2024)-BLK</t>
  </si>
  <si>
    <t>DUX-SP-NAAD-Air13(2024)-BLK</t>
  </si>
  <si>
    <t>DUX-SP-NAAD-Air4/5-BLK</t>
  </si>
  <si>
    <t>DUX-SP-NAAD-Mini6-BLK</t>
  </si>
  <si>
    <t>DUX-SP-NAAD-Pro11(2024)-BLK</t>
  </si>
  <si>
    <t>DUX-SP-NAAD-Pro12.9-BLK</t>
  </si>
  <si>
    <t>DUX-SP-NAAD-Pro13(2024)-BLK</t>
  </si>
  <si>
    <t>DUX-SP-NAAD-Tab10Plus-BLK</t>
  </si>
  <si>
    <t>DUX-SP-NAAD-TabS10FEPlus-BLK</t>
  </si>
  <si>
    <t>DUX-SP-NAAD-TabS6Lite-BLK</t>
  </si>
  <si>
    <t>DUX-SP-NAAD-TabS7/S8-BLK</t>
  </si>
  <si>
    <t>DUX-SP-NAAD-TabS7FE-BLK</t>
  </si>
  <si>
    <t>DUX-SP-NAAD-TabS9-BLK</t>
  </si>
  <si>
    <t>DUX-SP-NAAD-TabS9FE-BLK</t>
  </si>
  <si>
    <t>DUX-SP-NAAD-TabS9FEPlus-BLK</t>
  </si>
  <si>
    <t>DUX-SP-NAAD-XMPad7/Pro-BLK</t>
  </si>
  <si>
    <t>DUX-SP-NAAD-iPad10.2-BLK</t>
  </si>
  <si>
    <t>DUX-SP-NAAD-iPad10/10.9-BLK</t>
  </si>
  <si>
    <t>DUX-SP-NoPhone1-CLR</t>
  </si>
  <si>
    <t>DUX-SP-Nova7SE-CLR</t>
  </si>
  <si>
    <t>DUX-SP-Nova7i-CLR</t>
  </si>
  <si>
    <t>DUX-SP-PR25DU-S26Ultra-PVC</t>
  </si>
  <si>
    <t>DUX-SP-PocoM3-CLR</t>
  </si>
  <si>
    <t>DUX-SP-Pro12.9(20)-CLR</t>
  </si>
  <si>
    <t>DUX-SP-RMNote8Pro-CLR</t>
  </si>
  <si>
    <t>DUX-SP-RMNote9-CLR</t>
  </si>
  <si>
    <t>DUX-SP-RMNote9s-CLR</t>
  </si>
  <si>
    <t>DUX-SP-ROGA-S25Edge-BLK</t>
  </si>
  <si>
    <t>DUX-SP-ROGA-S25Ultra-BLK</t>
  </si>
  <si>
    <t>DUX-SP-ROGA-i16Pro-BLK</t>
  </si>
  <si>
    <t>DUX-SP-ROGA-i16ProMax-BLK</t>
  </si>
  <si>
    <t>DUX-SP-ROGA-iP16E-BLK</t>
  </si>
  <si>
    <t>DUX-SP-ROGA-iP17Air-CLR</t>
  </si>
  <si>
    <t>DUX-SP-ROGA-iP17Pro-CLR</t>
  </si>
  <si>
    <t>DUX-SP-ROGA-iP17ProMax-CLR</t>
  </si>
  <si>
    <t>DUX-SP-Realme7-CLR</t>
  </si>
  <si>
    <t>DUX-SP-Realme8-CLR</t>
  </si>
  <si>
    <t>DUX-SP-Reno4-CLR</t>
  </si>
  <si>
    <t>DUX-SP-Reno5F-CLR</t>
  </si>
  <si>
    <t>DUX-SP-Reno6-CLR</t>
  </si>
  <si>
    <t>DUX-SP-Reno8T(5G)-CLR</t>
  </si>
  <si>
    <t>DUX-SP-S20FE-CLR</t>
  </si>
  <si>
    <t>DUX-SP-S21FE-CLR</t>
  </si>
  <si>
    <t>DUX-SP-S22-CLR</t>
  </si>
  <si>
    <t>DUX-SP-S22Plus-CLR</t>
  </si>
  <si>
    <t>DUX-SP-S22Ultra-CLR</t>
  </si>
  <si>
    <t>DUX-SP-S23-CLR</t>
  </si>
  <si>
    <t>DUX-SP-S23Plus-CLR</t>
  </si>
  <si>
    <t>DUX-SP-S23Ultra-CLR</t>
  </si>
  <si>
    <t>DUX-SP-SWITCH2-CLR</t>
  </si>
  <si>
    <t>DUX-SP-TBL-S/A9Plus-CLR</t>
  </si>
  <si>
    <t>DUX-SP-TBL-XMPad6-CLR</t>
  </si>
  <si>
    <t>DUX-SP-TabA10.1(19)-CLR</t>
  </si>
  <si>
    <t>DUX-SP-TabA7(10.4)-CLR</t>
  </si>
  <si>
    <t>DUX-SP-TabA8(21)-CLR</t>
  </si>
  <si>
    <t>DUX-SP-TabS6-CLR</t>
  </si>
  <si>
    <t>DUX-SP-TabS6L-CLR</t>
  </si>
  <si>
    <t>DUX-SP-TabS8Ultra-CLR</t>
  </si>
  <si>
    <t>DUX-SP-V20-CLR</t>
  </si>
  <si>
    <t>DUX-SP-V20SE-CLR</t>
  </si>
  <si>
    <t>DUX-SP-XM11T-CLR</t>
  </si>
  <si>
    <t>DUX-SP-XM12T-CLR</t>
  </si>
  <si>
    <t>DUX-SP-XM13-CLR</t>
  </si>
  <si>
    <t>DUX-SP-XM13Pro-CLR</t>
  </si>
  <si>
    <t>DUX-SP-XM13T/PRO-CLR</t>
  </si>
  <si>
    <t>DUX-SP-XMPad5-CLR</t>
  </si>
  <si>
    <t>DUX-SP-i11Pro-PVC</t>
  </si>
  <si>
    <t>DUX-SP-i11ProMax-PVC</t>
  </si>
  <si>
    <t>DUX-SP-i12-CLR</t>
  </si>
  <si>
    <t>DUX-SP-i12-PVC</t>
  </si>
  <si>
    <t>DUX-SP-i12Mini-CLR</t>
  </si>
  <si>
    <t>DUX-SP-i12Mini-PVC</t>
  </si>
  <si>
    <t>DUX-SP-i12ProMax-CLR</t>
  </si>
  <si>
    <t>DUX-SP-i12ProMax-PVC</t>
  </si>
  <si>
    <t>DUX-SP-i13-CLR</t>
  </si>
  <si>
    <t>DUX-SP-i13-PVC</t>
  </si>
  <si>
    <t>DUX-SP-i13Mini-CLR</t>
  </si>
  <si>
    <t>DUX-SP-i13Mini-PVC</t>
  </si>
  <si>
    <t>DUX-SP-i13ProMax-CLR</t>
  </si>
  <si>
    <t>DUX-SP-i13ProMax-PVC</t>
  </si>
  <si>
    <t>DUX-SP-i14Pro-CLR</t>
  </si>
  <si>
    <t>DUX-SP-i14Pro-PVC</t>
  </si>
  <si>
    <t>DUX-SP-i14ProMax-CLR</t>
  </si>
  <si>
    <t>DUX-SP-i14ProMax-PVC</t>
  </si>
  <si>
    <t>DUX-SP-i15-CLR</t>
  </si>
  <si>
    <t>DUX-SP-i15-PVC</t>
  </si>
  <si>
    <t>DUX-SP-i15Plus-CLR</t>
  </si>
  <si>
    <t>DUX-SP-i15Plus-PVC</t>
  </si>
  <si>
    <t>DUX-SP-i15Pro-CLR</t>
  </si>
  <si>
    <t>DUX-SP-i15Pro-PVC</t>
  </si>
  <si>
    <t>DUX-SP-i15ProMax-CLR</t>
  </si>
  <si>
    <t>DUX-SP-i15ProMax-PVC</t>
  </si>
  <si>
    <t>DUX-SP-i16-PVC</t>
  </si>
  <si>
    <t>DUX-SP-i16Plus-PVC</t>
  </si>
  <si>
    <t>DUX-SP-i16Pro-PVC</t>
  </si>
  <si>
    <t>DUX-SP-i16ProMax-PVC</t>
  </si>
  <si>
    <t>DUX-SP-i8Plus-CLR/BLK</t>
  </si>
  <si>
    <t>DUX-SP-i8Plus-CLR/WHT</t>
  </si>
  <si>
    <t>DUX-SP-iSE-CLR/BLK</t>
  </si>
  <si>
    <t>DUX-SP-iSE-PVC</t>
  </si>
  <si>
    <t>DUX-SP-iXR-PVC</t>
  </si>
  <si>
    <t>DUX-SP-iXS-CLR</t>
  </si>
  <si>
    <t>DUX-SP-iXS-PVC</t>
  </si>
  <si>
    <t>DUX-SP-iXSMax-PVC</t>
  </si>
  <si>
    <t>DUX-STAND-ES-MBL-GRY</t>
  </si>
  <si>
    <t>DUX-STP-AIR/MIL-38/40/41-BLK</t>
  </si>
  <si>
    <t>DUX-STP-AIR/MIL-38/40/41-GUN/GRY</t>
  </si>
  <si>
    <t>DUX-STP-AIR/MIL-38/40/41-RG</t>
  </si>
  <si>
    <t>DUX-STP-AIR/MIL-38/40/41-SLV</t>
  </si>
  <si>
    <t>DUX-STP-AIR/MIL-42/44/45/49-BLK</t>
  </si>
  <si>
    <t>DUX-STP-AIR/MIL-42/44/45/49-GUN/GRY</t>
  </si>
  <si>
    <t>DUX-STP-AIR/MIL-42/44/45/49-RG</t>
  </si>
  <si>
    <t>DUX-STP-AIR/MIL-42/44/45/49-SLV</t>
  </si>
  <si>
    <t>DUX-STP-BL-38/40/41-BLU</t>
  </si>
  <si>
    <t>DUX-STP-BL-38/40/41-EVG</t>
  </si>
  <si>
    <t>DUX-STP-BL-38/40/41-TAU</t>
  </si>
  <si>
    <t>DUX-STP-BL-42/44/45/49-BLU</t>
  </si>
  <si>
    <t>DUX-STP-BL-42/44/45/49-EVG</t>
  </si>
  <si>
    <t>DUX-STP-BL-42/44/45/49-TAU</t>
  </si>
  <si>
    <t>DUX-STP-CS-42/44/45/49-BLK</t>
  </si>
  <si>
    <t>DUX-STP-CS-42/44/45/49-BLU/BLK</t>
  </si>
  <si>
    <t>DUX-STP-CS-42/44/45/49-COF/BRW</t>
  </si>
  <si>
    <t>DUX-STP-CS-42/44/45/49-GRN/BLK</t>
  </si>
  <si>
    <t>DUX-STP-CS-42/44/45/49-STR</t>
  </si>
  <si>
    <t>DUX-STP-KJ-42/44/45/49-BLK/BLU</t>
  </si>
  <si>
    <t>DUX-STP-KJ-42/44/45/49-BLK/GRN</t>
  </si>
  <si>
    <t>DUX-STP-KJ-42/44/45/49-BLK/ORG</t>
  </si>
  <si>
    <t>DUX-STP-KJ-42/44/45/49-BRW/GRY</t>
  </si>
  <si>
    <t>DUX-STP-KJ-42/44/45/49-STA/ORG</t>
  </si>
  <si>
    <t>DUX-STP-MIL-SW8-GUN</t>
  </si>
  <si>
    <t>DUX-STP-MIL-SW8-SLV</t>
  </si>
  <si>
    <t>DUX-STP-MXPRO-38/40/41-BEI</t>
  </si>
  <si>
    <t>DUX-STP-MXPRO-38/40/41-BLK</t>
  </si>
  <si>
    <t>DUX-STP-MXPRO-38/40/41-BLU</t>
  </si>
  <si>
    <t>DUX-STP-MXPRO-38/40/41-CLA</t>
  </si>
  <si>
    <t>DUX-STP-MXPRO-38/40/41-GUA</t>
  </si>
  <si>
    <t>DUX-STP-MXPRO-38/40/41-LB</t>
  </si>
  <si>
    <t>DUX-STP-MXPRO-38/40/41-MID</t>
  </si>
  <si>
    <t>DUX-STP-MXPRO-38/40/41-RAS</t>
  </si>
  <si>
    <t>DUX-STP-MXPRO-38/40/41-RNB</t>
  </si>
  <si>
    <t>DUX-STP-MXPRO-38/40/41-SUN</t>
  </si>
  <si>
    <t>DUX-STP-MXPRO-42/44/45/49-BEI</t>
  </si>
  <si>
    <t>DUX-STP-MXPRO-42/44/45/49-BLK</t>
  </si>
  <si>
    <t>DUX-STP-MXPRO-42/44/45/49-BLU</t>
  </si>
  <si>
    <t>DUX-STP-MXPRO-42/44/45/49-CLA</t>
  </si>
  <si>
    <t>DUX-STP-MXPRO-42/44/45/49-GUA</t>
  </si>
  <si>
    <t>DUX-STP-MXPRO-42/44/45/49-LB</t>
  </si>
  <si>
    <t>DUX-STP-MXPRO-42/44/45/49-MID</t>
  </si>
  <si>
    <t>DUX-STP-MXPRO-42/44/45/49-RAS</t>
  </si>
  <si>
    <t>DUX-STP-MXPRO-42/44/45/49-RNB</t>
  </si>
  <si>
    <t>DUX-STP-MXPRO-42/44/45/49-SUN</t>
  </si>
  <si>
    <t>DUX-STP-MXPRO-47mm-BEI</t>
  </si>
  <si>
    <t>DUX-STP-MXPRO-47mm-BLK</t>
  </si>
  <si>
    <t>DUX-STP-MXPRO-47mm-MID</t>
  </si>
  <si>
    <t>DUX-STP-MXPRO-47mm-PRP</t>
  </si>
  <si>
    <t>DUX-STP-MXPRO-47mm-RBW</t>
  </si>
  <si>
    <t>DUX-STP-MXPRO-S/20-BEI</t>
  </si>
  <si>
    <t>DUX-STP-MXPRO-S/20-BLK</t>
  </si>
  <si>
    <t>DUX-STP-MXPRO-S/20-BLU</t>
  </si>
  <si>
    <t>DUX-STP-MXPRO-S/20-CLA</t>
  </si>
  <si>
    <t>DUX-STP-MXPRO-S/20-GUA</t>
  </si>
  <si>
    <t>DUX-STP-MXPRO-S/20-MID</t>
  </si>
  <si>
    <t>DUX-STP-MXPRO-S/20-RNB</t>
  </si>
  <si>
    <t>DUX-STP-MXPRO-S/22-BEI</t>
  </si>
  <si>
    <t>DUX-STP-MXPRO-S/22-BLK</t>
  </si>
  <si>
    <t>DUX-STP-MXPRO-S/22-BLU</t>
  </si>
  <si>
    <t>DUX-STP-MXPRO-S/22-CLA</t>
  </si>
  <si>
    <t>DUX-STP-MXPRO-S/22-GUA</t>
  </si>
  <si>
    <t>DUX-STP-MXPRO-S/22-MID</t>
  </si>
  <si>
    <t>DUX-STP-MXPRO-S/22-RNB</t>
  </si>
  <si>
    <t>DUX-STP-MXU-AW41-CLA</t>
  </si>
  <si>
    <t>DUX-STP-MXU-AW41-GRN</t>
  </si>
  <si>
    <t>DUX-STP-MXU-AW41-LG/BLU</t>
  </si>
  <si>
    <t>DUX-STP-MXU-AW41-PNK</t>
  </si>
  <si>
    <t>DUX-STP-MXU-AW41-PRP</t>
  </si>
  <si>
    <t>DUX-STP-MXU-AW41-STA</t>
  </si>
  <si>
    <t>DUX-STP-MXU-AW46-CLA</t>
  </si>
  <si>
    <t>DUX-STP-MXU-AW46-DP/BLU</t>
  </si>
  <si>
    <t>DUX-STP-MXU-AW46-MID</t>
  </si>
  <si>
    <t>DUX-STP-MXU-AW46-OLV</t>
  </si>
  <si>
    <t>DUX-STP-MXU-AW46-SMK</t>
  </si>
  <si>
    <t>DUX-STP-MXU-AW46-STA</t>
  </si>
  <si>
    <t>DUX-STP-OA-38/40/41-BLK</t>
  </si>
  <si>
    <t>DUX-STP-OA-38/40/41-STR</t>
  </si>
  <si>
    <t>DUX-STP-OA-42/44/45-BLK</t>
  </si>
  <si>
    <t>DUX-STP-OA-42/44/45-STR</t>
  </si>
  <si>
    <t>DUX-STP-OA-49-BLK</t>
  </si>
  <si>
    <t>DUX-STP-OA-49-STR</t>
  </si>
  <si>
    <t>DUX-STP-PRO/MIL-38/40/41-BLK</t>
  </si>
  <si>
    <t>DUX-STP-PRO/MIL-38/40/41-GLD</t>
  </si>
  <si>
    <t>DUX-STP-PRO/MIL-38/40/41-GRA</t>
  </si>
  <si>
    <t>DUX-STP-PRO/MIL-38/40/41-SLV</t>
  </si>
  <si>
    <t>DUX-STP-PRO/MIL-42/44/45/49-BLK</t>
  </si>
  <si>
    <t>DUX-STP-PRO/MIL-42/44/45/49-GLD</t>
  </si>
  <si>
    <t>DUX-STP-PRO/MIL-42/44/45/49-GRA</t>
  </si>
  <si>
    <t>DUX-STP-PRO/MIL-42/44/45/49-SLV</t>
  </si>
  <si>
    <t>DUX-STP-SD-38/40/41-BLK/STR</t>
  </si>
  <si>
    <t>DUX-STP-SD-38/40/41-PNK/GRN</t>
  </si>
  <si>
    <t>DUX-STP-SD-38/40/41-YLW/STR</t>
  </si>
  <si>
    <t>DUX-STP-SD-42/44/45/49-BLK/STR</t>
  </si>
  <si>
    <t>DUX-STP-SD-42/44/45/49-BLU/BEI</t>
  </si>
  <si>
    <t>DUX-STP-SD-42/44/45/49-GRY/GRY</t>
  </si>
  <si>
    <t>DUX-STP-YA-20mm-BLK</t>
  </si>
  <si>
    <t>DUX-STP-YA-20mm-BRW</t>
  </si>
  <si>
    <t>DUX-STP-YA-20mm-GRY</t>
  </si>
  <si>
    <t>DUX-STP-YA-20mm-PNK</t>
  </si>
  <si>
    <t>DUX-STP-YA-20mm-RED</t>
  </si>
  <si>
    <t>DUX-STP-YA-20mm-WHT</t>
  </si>
  <si>
    <t>DUX-STP-YA-22mm-BLK</t>
  </si>
  <si>
    <t>DUX-STP-YA-22mm-BRW</t>
  </si>
  <si>
    <t>DUX-STP-YA-22mm-GRY</t>
  </si>
  <si>
    <t>DUX-STP-YA-22mm-PNK</t>
  </si>
  <si>
    <t>DUX-STP-YA-22mm-RED</t>
  </si>
  <si>
    <t>DUX-STP-YA-22mm-WHT</t>
  </si>
  <si>
    <t>DUX-STP-YA-38/40/41-BLK</t>
  </si>
  <si>
    <t>DUX-STP-YA-38/40/41-BRW</t>
  </si>
  <si>
    <t>DUX-STP-YA-38/40/41-GRY</t>
  </si>
  <si>
    <t>DUX-STP-YA-38/40/41-PNK</t>
  </si>
  <si>
    <t>DUX-STP-YA-38/40/41-RED</t>
  </si>
  <si>
    <t>DUX-STP-YA-38/40/41-WHT</t>
  </si>
  <si>
    <t>DUX-STP-YA-42/44/45/49-BLK</t>
  </si>
  <si>
    <t>DUX-STP-YA-42/44/45/49-BRW</t>
  </si>
  <si>
    <t>DUX-STP-YA-42/44/45/49-GRY</t>
  </si>
  <si>
    <t>DUX-STP-YA-42/44/45/49-PNK</t>
  </si>
  <si>
    <t>DUX-STP-YA-42/44/45/49-RED</t>
  </si>
  <si>
    <t>DUX-STP-YA-42/44/45/49-WHT</t>
  </si>
  <si>
    <t>DUX-STP-YA-SW8-BLK</t>
  </si>
  <si>
    <t>DUX-STP-YA-SW8-BRW</t>
  </si>
  <si>
    <t>DUX-STP-YC-20mm-DRK/GRY</t>
  </si>
  <si>
    <t>DUX-STP-YC-20mm-GRN</t>
  </si>
  <si>
    <t>DUX-STP-YC-20mm-ORG</t>
  </si>
  <si>
    <t>DUX-STP-YC-20mm-WHT</t>
  </si>
  <si>
    <t>DUX-STP-YC-22mm-GRN</t>
  </si>
  <si>
    <t>DUX-STP-YC-22mm-ORG</t>
  </si>
  <si>
    <t>DUX-STP-YC-22mm-WHT</t>
  </si>
  <si>
    <t>DUX-STP-YC-38/40/41-DRK/GRY</t>
  </si>
  <si>
    <t>DUX-STP-YC-38/40/41-GRN</t>
  </si>
  <si>
    <t>DUX-STP-YC-38/40/41-ORG</t>
  </si>
  <si>
    <t>DUX-STP-YC-38/40/41-WHT</t>
  </si>
  <si>
    <t>DUX-STP-YC-42/44/45/49-DRK/GRY</t>
  </si>
  <si>
    <t>DUX-STP-YC-42/44/45/49-GRN</t>
  </si>
  <si>
    <t>DUX-STP-YC-42/44/45/49-ORG</t>
  </si>
  <si>
    <t>DUX-STP-YC-42/44/45/49-WHT</t>
  </si>
  <si>
    <t>DUX-STP-YC-47mm-DRK/GRY</t>
  </si>
  <si>
    <t>DUX-STP-YC-47mm-GRN</t>
  </si>
  <si>
    <t>DUX-STP-YC-47mm-ORG</t>
  </si>
  <si>
    <t>DUX-STP-YC-47mm-WHT</t>
  </si>
  <si>
    <t>DUX-STP-YE-AW41-BLK</t>
  </si>
  <si>
    <t>DUX-STP-YE-AW41-GRN</t>
  </si>
  <si>
    <t>DUX-STP-YE-AW41-PRP</t>
  </si>
  <si>
    <t>DUX-STP-YE-AW41-STA</t>
  </si>
  <si>
    <t>DUX-STP-YE-AW46-BLK</t>
  </si>
  <si>
    <t>DUX-STP-YE-AW46-GRN</t>
  </si>
  <si>
    <t>DUX-STP-YE-AW46-PRP</t>
  </si>
  <si>
    <t>DUX-STP-YE-AW46-STA</t>
  </si>
  <si>
    <t>DUX-STP-YE-SW8-BLK</t>
  </si>
  <si>
    <t>DUX-STP-YE-SW8-GRN</t>
  </si>
  <si>
    <t>DUX-STP-YE-SW8-PRP</t>
  </si>
  <si>
    <t>DUX-STP-YE-SW8-STA</t>
  </si>
  <si>
    <t>DUX-STP-YE-WFIT-BLK</t>
  </si>
  <si>
    <t>DUX-STP-YE-WFIT-GRN</t>
  </si>
  <si>
    <t>DUX-STP-YE-WFIT-PRP</t>
  </si>
  <si>
    <t>DUX-STP-YE-WFIT-STA</t>
  </si>
  <si>
    <t>DUX-STP-YS-38/40/41-BLK</t>
  </si>
  <si>
    <t>DUX-STP-YS-38/40/41-BLU</t>
  </si>
  <si>
    <t>DUX-STP-YS-38/40/41-BRW</t>
  </si>
  <si>
    <t>DUX-STP-YS-38/40/41-GRY</t>
  </si>
  <si>
    <t>DUX-STP-YS-42/44/45-BLK</t>
  </si>
  <si>
    <t>DUX-STP-YS-42/44/45/49-BLU</t>
  </si>
  <si>
    <t>DUX-STP-YS-42/44/45/49-BRW</t>
  </si>
  <si>
    <t>DUX-STP-YS-42/44/45/49-GRY</t>
  </si>
  <si>
    <t>DUX-WAC-AM-38/40/41-BLK/ORG</t>
  </si>
  <si>
    <t>DUX-WAC-AM-38/40/41-BLU</t>
  </si>
  <si>
    <t>DUX-WAC-AM-38/40/41-GRN</t>
  </si>
  <si>
    <t>DUX-WAC-AM-38/40/41-PNK/PRP</t>
  </si>
  <si>
    <t>DUX-WAC-AM-42/44/45-BLK/ORG</t>
  </si>
  <si>
    <t>DUX-WAC-AM-42/44/45-BLU</t>
  </si>
  <si>
    <t>DUX-WAC-AM-42/44/45-GRN</t>
  </si>
  <si>
    <t>DUX-WAC-AM-42/44/45-PNK/PRP</t>
  </si>
  <si>
    <t>DUX-WAC-BAMO-41-BLU</t>
  </si>
  <si>
    <t>DUX-WAC-BAMO-41-GRN</t>
  </si>
  <si>
    <t>DUX-WAC-BAMO-41-GRY</t>
  </si>
  <si>
    <t>DUX-WAC-BAMO-41-ORG</t>
  </si>
  <si>
    <t>DUX-WAC-BAMO-41-RED</t>
  </si>
  <si>
    <t>DUX-WAC-BAMO-44-BLU</t>
  </si>
  <si>
    <t>DUX-WAC-BAMO-44-GRN</t>
  </si>
  <si>
    <t>DUX-WAC-BAMO-44-GRY</t>
  </si>
  <si>
    <t>DUX-WAC-BAMO-44-ORG</t>
  </si>
  <si>
    <t>DUX-WAC-BAMO-44-RED</t>
  </si>
  <si>
    <t>DUX-WAC-BAMO-45-BLU</t>
  </si>
  <si>
    <t>DUX-WAC-BAMO-45-GRN</t>
  </si>
  <si>
    <t>DUX-WAC-BAMO-45-GRY</t>
  </si>
  <si>
    <t>DUX-WAC-BAMO-45-ORG</t>
  </si>
  <si>
    <t>DUX-WAC-BAMO-45-RED</t>
  </si>
  <si>
    <t>DUX-WAC-BAMO-49-BLU</t>
  </si>
  <si>
    <t>DUX-WAC-BAMO-49-GRN</t>
  </si>
  <si>
    <t>DUX-WAC-BAMO-49-GRY</t>
  </si>
  <si>
    <t>DUX-WAC-BAMO-49-ORG</t>
  </si>
  <si>
    <t>DUX-WAC-BAMO-49-RED</t>
  </si>
  <si>
    <t>DUX-WAC-BSNES-38-BLK</t>
  </si>
  <si>
    <t>DUX-WAC-BSNES-38-BRW</t>
  </si>
  <si>
    <t>DUX-WAC-BSNES-38-COF</t>
  </si>
  <si>
    <t>DUX-WAC-BSNES-42-BLK</t>
  </si>
  <si>
    <t>DUX-WAC-BSNES-42-BRW</t>
  </si>
  <si>
    <t>DUX-WAC-BSNES-42-COF</t>
  </si>
  <si>
    <t>DUX-WAC-BSNES-S/20-BLK</t>
  </si>
  <si>
    <t>DUX-WAC-BSNES-S/20-COF</t>
  </si>
  <si>
    <t>DUX-WAC-BSNES-S/22-COF</t>
  </si>
  <si>
    <t>DUX-WAC-CAIN-38/40/41-BEI</t>
  </si>
  <si>
    <t>DUX-WAC-CAIN-38/40/41-BLK/ORG</t>
  </si>
  <si>
    <t>DUX-WAC-CAIN-38/40/41-BLU</t>
  </si>
  <si>
    <t>DUX-WAC-CAIN-38/40/41-GRY/ORG</t>
  </si>
  <si>
    <t>DUX-WAC-CAIN-38/40/41-RED</t>
  </si>
  <si>
    <t>DUX-WAC-CAIN-42/44/45-BEI</t>
  </si>
  <si>
    <t>DUX-WAC-CAIN-42/44/45-BLK/ORG</t>
  </si>
  <si>
    <t>DUX-WAC-CAIN-42/44/45-BLU</t>
  </si>
  <si>
    <t>DUX-WAC-CAIN-42/44/45-GRY/ORG</t>
  </si>
  <si>
    <t>DUX-WAC-CAIN-42/44/45-RED</t>
  </si>
  <si>
    <t>DUX-WAC-CAIN-49-BEI</t>
  </si>
  <si>
    <t>DUX-WAC-CAIN-49-BLK/ORG</t>
  </si>
  <si>
    <t>DUX-WAC-CAIN-49-BLU</t>
  </si>
  <si>
    <t>DUX-WAC-CAIN-49-GRY/ORG</t>
  </si>
  <si>
    <t>DUX-WAC-CAIN-49-RED</t>
  </si>
  <si>
    <t>DUX-WAC-CAMO-41-BLK</t>
  </si>
  <si>
    <t>DUX-WAC-CAMO-41-BLU</t>
  </si>
  <si>
    <t>DUX-WAC-CAMO-41-PNK</t>
  </si>
  <si>
    <t>DUX-WAC-CAMO-41-PRP</t>
  </si>
  <si>
    <t>DUX-WAC-CAMO-41-WHT</t>
  </si>
  <si>
    <t>DUX-WAC-CAMO-42-BLK</t>
  </si>
  <si>
    <t>DUX-WAC-CAMO-42-BLU</t>
  </si>
  <si>
    <t>DUX-WAC-CAMO-42-PNK</t>
  </si>
  <si>
    <t>DUX-WAC-CAMO-42-PRP</t>
  </si>
  <si>
    <t>DUX-WAC-CAMO-42-WHT</t>
  </si>
  <si>
    <t>DUX-WAC-CAMO-45-BLK</t>
  </si>
  <si>
    <t>DUX-WAC-CAMO-45-BLU</t>
  </si>
  <si>
    <t>DUX-WAC-CAMO-45-PNK</t>
  </si>
  <si>
    <t>DUX-WAC-CAMO-45-PRP</t>
  </si>
  <si>
    <t>DUX-WAC-CAMO-45-WHT</t>
  </si>
  <si>
    <t>DUX-WAC-CAMO-46-BLK</t>
  </si>
  <si>
    <t>DUX-WAC-CAMO-46-BLU</t>
  </si>
  <si>
    <t>DUX-WAC-CAMO-46-PNK</t>
  </si>
  <si>
    <t>DUX-WAC-CAMO-46-PRP</t>
  </si>
  <si>
    <t>DUX-WAC-CAMO-46-WHT</t>
  </si>
  <si>
    <t>DUX-WAC-CAMO-49-BLK</t>
  </si>
  <si>
    <t>DUX-WAC-CAMO-49-BLU</t>
  </si>
  <si>
    <t>DUX-WAC-CAMO-49-PNK</t>
  </si>
  <si>
    <t>DUX-WAC-CAMO-49-PRP</t>
  </si>
  <si>
    <t>DUX-WAC-CAMO-49-WHT</t>
  </si>
  <si>
    <t>DUX-WAC-CSUAL-38-BLK</t>
  </si>
  <si>
    <t>DUX-WAC-DAMO-41-BLK</t>
  </si>
  <si>
    <t>DUX-WAC-DAMO-41-GRN</t>
  </si>
  <si>
    <t>DUX-WAC-DAMO-41-TP/WHT</t>
  </si>
  <si>
    <t>DUX-WAC-DAMO-42-BLK</t>
  </si>
  <si>
    <t>DUX-WAC-DAMO-42-GRN</t>
  </si>
  <si>
    <t>DUX-WAC-DAMO-42-TP/WHT</t>
  </si>
  <si>
    <t>DUX-WAC-DAMO-45-BLK</t>
  </si>
  <si>
    <t>DUX-WAC-DAMO-45-GRN</t>
  </si>
  <si>
    <t>DUX-WAC-DAMO-45-TP/WHT</t>
  </si>
  <si>
    <t>DUX-WAC-DAMO-46-BLK</t>
  </si>
  <si>
    <t>DUX-WAC-DAMO-46-GRN</t>
  </si>
  <si>
    <t>DUX-WAC-DAMO-46-TP/WHT</t>
  </si>
  <si>
    <t>DUX-WAC-DAMO-49-BLK</t>
  </si>
  <si>
    <t>DUX-WAC-DAMO-49-GRN</t>
  </si>
  <si>
    <t>DUX-WAC-DAMO-49-TP/WHT</t>
  </si>
  <si>
    <t>DUX-WAC-ENG-38/40/41-BLK</t>
  </si>
  <si>
    <t>DUX-WAC-ENG-38/40/41-BLU</t>
  </si>
  <si>
    <t>DUX-WAC-ENG-38/40/41-BRW</t>
  </si>
  <si>
    <t>DUX-WAC-ENG-38/40/41-ORG</t>
  </si>
  <si>
    <t>DUX-WAC-ENG-38/40/41-RED</t>
  </si>
  <si>
    <t>DUX-WAC-ENG-42/44/45-BRW</t>
  </si>
  <si>
    <t>DUX-WAC-ENG-42/44/45-ORG</t>
  </si>
  <si>
    <t>DUX-WAC-ENG-42/44/45-RED</t>
  </si>
  <si>
    <t>DUX-WAC-FLAS-49mm-BLK</t>
  </si>
  <si>
    <t>DUX-WAC-FLAS-49mm-GLD</t>
  </si>
  <si>
    <t>DUX-WAC-FLAS-49mm-SLV</t>
  </si>
  <si>
    <t>DUX-WAC-GS-38/40/41-BLK</t>
  </si>
  <si>
    <t>DUX-WAC-GS-38/40/41-BLU</t>
  </si>
  <si>
    <t>DUX-WAC-GS-38/40/41-DRK/GRN</t>
  </si>
  <si>
    <t>DUX-WAC-GS-38/40/41-GRN</t>
  </si>
  <si>
    <t>DUX-WAC-GS-38/40/41-IDG</t>
  </si>
  <si>
    <t>DUX-WAC-GS-38/40/41-NAV</t>
  </si>
  <si>
    <t>DUX-WAC-GS-38/40/41-OLV</t>
  </si>
  <si>
    <t>DUX-WAC-GS-38/40/41-ORG</t>
  </si>
  <si>
    <t>DUX-WAC-GS-38/40/41-STA</t>
  </si>
  <si>
    <t>DUX-WAC-GS-38/40/41-TAN</t>
  </si>
  <si>
    <t>DUX-WAC-GS-42/44/45-BLU</t>
  </si>
  <si>
    <t>DUX-WAC-GS-42/44/45-IDG</t>
  </si>
  <si>
    <t>DUX-WAC-GS-42/44/45-OLV</t>
  </si>
  <si>
    <t>DUX-WAC-GS-42/44/45/49-BLK</t>
  </si>
  <si>
    <t>DUX-WAC-GS-42/44/45/49-DRK/GRN</t>
  </si>
  <si>
    <t>DUX-WAC-GS-42/44/45/49-GRN</t>
  </si>
  <si>
    <t>DUX-WAC-GS-42/44/45/49-NAV</t>
  </si>
  <si>
    <t>DUX-WAC-GS-42/44/45/49-ORG</t>
  </si>
  <si>
    <t>DUX-WAC-GS-42/44/45/49-STA</t>
  </si>
  <si>
    <t>DUX-WAC-GS-42/44/45/49-TAN</t>
  </si>
  <si>
    <t>DUX-WAC-HAMO-40-BLK</t>
  </si>
  <si>
    <t>DUX-WAC-HAMO-40-RG</t>
  </si>
  <si>
    <t>DUX-WAC-HAMO-40-SLV</t>
  </si>
  <si>
    <t>DUX-WAC-HAMO-41-BLK</t>
  </si>
  <si>
    <t>DUX-WAC-HAMO-41-RG</t>
  </si>
  <si>
    <t>DUX-WAC-HAMO-41-SLV</t>
  </si>
  <si>
    <t>DUX-WAC-HAMO-42-BLK</t>
  </si>
  <si>
    <t>DUX-WAC-HAMO-42-SLV</t>
  </si>
  <si>
    <t>DUX-WAC-HAMO-44-BLK</t>
  </si>
  <si>
    <t>DUX-WAC-HAMO-44-RG</t>
  </si>
  <si>
    <t>DUX-WAC-HAMO-44-SLV</t>
  </si>
  <si>
    <t>DUX-WAC-HAMO-45-BLK</t>
  </si>
  <si>
    <t>DUX-WAC-HAMO-45-RG</t>
  </si>
  <si>
    <t>DUX-WAC-HAMO-45-SLV</t>
  </si>
  <si>
    <t>DUX-WAC-HAMO-46-BLK</t>
  </si>
  <si>
    <t>DUX-WAC-HAMO-46-SLV</t>
  </si>
  <si>
    <t>DUX-WAC-HAMO-49-BLK</t>
  </si>
  <si>
    <t>DUX-WAC-HAMO-49-SLV</t>
  </si>
  <si>
    <t>DUX-WAC-LD-38/40/41-BLK/ORG</t>
  </si>
  <si>
    <t>DUX-WAC-LD-38/40/41-BLK/YLW</t>
  </si>
  <si>
    <t>DUX-WAC-LD-38/40/41-BLU</t>
  </si>
  <si>
    <t>DUX-WAC-LD-38/40/41-GRN</t>
  </si>
  <si>
    <t>DUX-WAC-LD-38/40/41-GRY/ORG</t>
  </si>
  <si>
    <t>DUX-WAC-LD-42/44/45/49-BLK/ORG</t>
  </si>
  <si>
    <t>DUX-WAC-LD-42/44/45/49-BLK/YLW</t>
  </si>
  <si>
    <t>DUX-WAC-LD-42/44/45/49-BLU</t>
  </si>
  <si>
    <t>DUX-WAC-LD-42/44/45/49-GRN</t>
  </si>
  <si>
    <t>DUX-WAC-LD-42/44/45/49-GRY/ORG</t>
  </si>
  <si>
    <t>DUX-WAC-LD-S/20-BLK/ORG</t>
  </si>
  <si>
    <t>DUX-WAC-LD-S/20-BLK/YLW</t>
  </si>
  <si>
    <t>DUX-WAC-LD-S/20-BLU</t>
  </si>
  <si>
    <t>DUX-WAC-LD-S/20-GRN</t>
  </si>
  <si>
    <t>DUX-WAC-LD-S/20-GRY/ORG</t>
  </si>
  <si>
    <t>DUX-WAC-LD-S/22-BLK/ORG</t>
  </si>
  <si>
    <t>DUX-WAC-LD-S/22-BLK/YLW</t>
  </si>
  <si>
    <t>DUX-WAC-LD-S/22-BLU</t>
  </si>
  <si>
    <t>DUX-WAC-LD-S/22-GRN</t>
  </si>
  <si>
    <t>DUX-WAC-LD-S/22-GRY/ORG</t>
  </si>
  <si>
    <t>DUX-WAC-M2-38/40/41-BLK</t>
  </si>
  <si>
    <t>DUX-WAC-M2-38/40/41-BLU</t>
  </si>
  <si>
    <t>DUX-WAC-M2-38/40/41-CAM</t>
  </si>
  <si>
    <t>DUX-WAC-M2-38/40/41-DAK/STR</t>
  </si>
  <si>
    <t>DUX-WAC-M2-38/40/41-OLI/GRN</t>
  </si>
  <si>
    <t>DUX-WAC-M2-38/40/41-PAL/STR</t>
  </si>
  <si>
    <t>DUX-WAC-M2-38/40/41-RBW</t>
  </si>
  <si>
    <t>DUX-WAC-M2-42/44/45-BLU</t>
  </si>
  <si>
    <t>DUX-WAC-M2-42/44/45-CAM</t>
  </si>
  <si>
    <t>DUX-WAC-M2-42/44/45-DAK/STR</t>
  </si>
  <si>
    <t>DUX-WAC-M2-42/44/45-OLI/GRN</t>
  </si>
  <si>
    <t>DUX-WAC-M2-42/44/45-PAL/STR</t>
  </si>
  <si>
    <t>DUX-WAC-M2-42/44/45-RBW</t>
  </si>
  <si>
    <t>DUX-WAC-M2-S/20-BLK</t>
  </si>
  <si>
    <t>DUX-WAC-M2-S/20-BLU</t>
  </si>
  <si>
    <t>DUX-WAC-M2-S/20-CAM</t>
  </si>
  <si>
    <t>DUX-WAC-M2-S/20-DAK/STR</t>
  </si>
  <si>
    <t>DUX-WAC-M2-S/20-OLI/GRN</t>
  </si>
  <si>
    <t>DUX-WAC-M2-S/20-PAL/STR</t>
  </si>
  <si>
    <t>DUX-WAC-M2-S/20-RBW</t>
  </si>
  <si>
    <t>DUX-WAC-M2-S/22-BLK</t>
  </si>
  <si>
    <t>DUX-WAC-M2-S/22-BLU</t>
  </si>
  <si>
    <t>DUX-WAC-M2-S/22-CAM</t>
  </si>
  <si>
    <t>DUX-WAC-M2-S/22-DAK/STR</t>
  </si>
  <si>
    <t>DUX-WAC-M2-S/22-OLI/GRN</t>
  </si>
  <si>
    <t>DUX-WAC-M2-S/22-PAL/STR</t>
  </si>
  <si>
    <t>DUX-WAC-M2-S/22-RBW</t>
  </si>
  <si>
    <t>DUX-WAC-MIL-18MM-BLK</t>
  </si>
  <si>
    <t>DUX-WAC-MIL-18MM-GLD</t>
  </si>
  <si>
    <t>DUX-WAC-MIL-18MM-SLV</t>
  </si>
  <si>
    <t>DUX-WAC-MIL-38/40/41-BLK</t>
  </si>
  <si>
    <t>DUX-WAC-MIL-38/40/41-BLU</t>
  </si>
  <si>
    <t>DUX-WAC-MIL-38/40/41-GLD</t>
  </si>
  <si>
    <t>DUX-WAC-MIL-38/40/41-GUN/GRY</t>
  </si>
  <si>
    <t>DUX-WAC-MIL-38/40/41-PNK</t>
  </si>
  <si>
    <t>DUX-WAC-MIL-38/40/41-SLV</t>
  </si>
  <si>
    <t>DUX-WAC-MIL-38/40/41-STA</t>
  </si>
  <si>
    <t>DUX-WAC-MIL-42/44/45-BLK</t>
  </si>
  <si>
    <t>DUX-WAC-MIL-42/44/45-BLU</t>
  </si>
  <si>
    <t>DUX-WAC-MIL-42/44/45-GLD</t>
  </si>
  <si>
    <t>DUX-WAC-MIL-42/44/45-GUN/GRY</t>
  </si>
  <si>
    <t>DUX-WAC-MIL-42/44/45-PNK</t>
  </si>
  <si>
    <t>DUX-WAC-MIL-42/44/45-SLV</t>
  </si>
  <si>
    <t>DUX-WAC-MIL-42/44/45-STA</t>
  </si>
  <si>
    <t>DUX-WAC-MIL-S/20-BLK</t>
  </si>
  <si>
    <t>DUX-WAC-MIL-S/20-BLU</t>
  </si>
  <si>
    <t>DUX-WAC-MIL-S/20-GLD</t>
  </si>
  <si>
    <t>DUX-WAC-MIL-S/20-PNK</t>
  </si>
  <si>
    <t>DUX-WAC-MIL-S/20-SLV</t>
  </si>
  <si>
    <t>DUX-WAC-MIL-S/20-STA</t>
  </si>
  <si>
    <t>DUX-WAC-MIL-S/22-BLK</t>
  </si>
  <si>
    <t>DUX-WAC-MIL-S/22-BLU</t>
  </si>
  <si>
    <t>DUX-WAC-MIL-S/22-GLD</t>
  </si>
  <si>
    <t>DUX-WAC-MIL-S/22-PNK</t>
  </si>
  <si>
    <t>DUX-WAC-MIL-S/22-SLV</t>
  </si>
  <si>
    <t>DUX-WAC-MIL-S/22-STA</t>
  </si>
  <si>
    <t>DUX-WAC-MIX-38mm-BWR</t>
  </si>
  <si>
    <t>DUX-WAC-MIX-38mm-GRN/BLK</t>
  </si>
  <si>
    <t>DUX-WAC-MIX-38mm-PNK/YLW</t>
  </si>
  <si>
    <t>DUX-WAC-MIX-38mm-RED/BLK</t>
  </si>
  <si>
    <t>DUX-WAC-MIX-38mm-RNB</t>
  </si>
  <si>
    <t>DUX-WAC-MIX-38mm-WHT/BLU</t>
  </si>
  <si>
    <t>DUX-WAC-MIX-42mm-BWR</t>
  </si>
  <si>
    <t>DUX-WAC-MIX-42mm-PNK/YLW</t>
  </si>
  <si>
    <t>DUX-WAC-MIX-42mm-RED/BLK</t>
  </si>
  <si>
    <t>DUX-WAC-MIX-42mm-RNB</t>
  </si>
  <si>
    <t>DUX-WAC-MIX-42mm-WHT/BLU</t>
  </si>
  <si>
    <t>DUX-WAC-OUT-42/44/45-BLK/GRN</t>
  </si>
  <si>
    <t>DUX-WAC-OUT-42/44/45-BLK/ORG</t>
  </si>
  <si>
    <t>DUX-WAC-OUT-42/44/45-BLK/RED</t>
  </si>
  <si>
    <t>DUX-WAC-OUT-42/44/45-BLK/SLV</t>
  </si>
  <si>
    <t>DUX-WAC-OUT-42/44/45-YLW/GRN</t>
  </si>
  <si>
    <t>DUX-WAC-OWA-38/40/41-BLK</t>
  </si>
  <si>
    <t>DUX-WAC-OWA-38/40/41-BLU</t>
  </si>
  <si>
    <t>DUX-WAC-OWA-38/40/41-MID</t>
  </si>
  <si>
    <t>DUX-WAC-OWA-38/40/41-WHT</t>
  </si>
  <si>
    <t>DUX-WAC-OWA-38/40/41-YLW</t>
  </si>
  <si>
    <t>DUX-WAC-OWA-42/44/45-BLK</t>
  </si>
  <si>
    <t>DUX-WAC-OWA-42/44/45-BLU</t>
  </si>
  <si>
    <t>DUX-WAC-OWA-42/44/45-MID</t>
  </si>
  <si>
    <t>DUX-WAC-OWA-42/44/45-WHT</t>
  </si>
  <si>
    <t>DUX-WAC-OWA-42/44/45-YLW</t>
  </si>
  <si>
    <t>DUX-WAC-PMMA-41mm-2PCK</t>
  </si>
  <si>
    <t>DUX-WAC-PMMA-42mm-2PCK</t>
  </si>
  <si>
    <t>DUX-WAC-PMMA-44mm-2PCK</t>
  </si>
  <si>
    <t>DUX-WAC-PMMA-46mm-2PCK</t>
  </si>
  <si>
    <t>DUX-WAC-SAM-40-BLK</t>
  </si>
  <si>
    <t>DUX-WAC-SAM-40-RG</t>
  </si>
  <si>
    <t>DUX-WAC-SAM-40-SLV</t>
  </si>
  <si>
    <t>DUX-WAC-SAM-41-BLK</t>
  </si>
  <si>
    <t>DUX-WAC-SAM-41-RG</t>
  </si>
  <si>
    <t>DUX-WAC-SAM-41-SLV</t>
  </si>
  <si>
    <t>DUX-WAC-SAM-44-BLK</t>
  </si>
  <si>
    <t>DUX-WAC-SAM-44-RG</t>
  </si>
  <si>
    <t>DUX-WAC-SAM-44-SLV</t>
  </si>
  <si>
    <t>DUX-WAC-SAM-45-BLK</t>
  </si>
  <si>
    <t>DUX-WAC-SAM-45-RG</t>
  </si>
  <si>
    <t>DUX-WAC-SAM-45-SLV</t>
  </si>
  <si>
    <t>DUX-WAC-SAM-49-BLK</t>
  </si>
  <si>
    <t>DUX-WAC-SAM-49-SLV</t>
  </si>
  <si>
    <t>DUX-WAC-SPARK-38mm-BLU</t>
  </si>
  <si>
    <t>DUX-WAC-SPARK-38mm-GRN</t>
  </si>
  <si>
    <t>DUX-WAC-SPARK-38mm-SLV</t>
  </si>
  <si>
    <t>DUX-WAC-SPARK-38mm-WHT</t>
  </si>
  <si>
    <t>DUX-WAC-SPARK-42mm-BLU</t>
  </si>
  <si>
    <t>DUX-WAC-SPARK-42mm-GLD</t>
  </si>
  <si>
    <t>DUX-WAC-SPARK-42mm-GRN</t>
  </si>
  <si>
    <t>DUX-WAC-SPARK-42mm-SLV</t>
  </si>
  <si>
    <t>DUX-WAC-SPARK-42mm-WHT</t>
  </si>
  <si>
    <t>DUX-WAC-SPOT-38/40/41-CHR/GRN</t>
  </si>
  <si>
    <t>DUX-WAC-SPOT-38/40/41-CHR/RED</t>
  </si>
  <si>
    <t>DUX-WAC-SPOT-38/40/41-MAI/WHT</t>
  </si>
  <si>
    <t>DUX-WAC-SPOT-38/40/41-MOS/BLU</t>
  </si>
  <si>
    <t>DUX-WAC-SPOT-38/40/41-PML/PNK</t>
  </si>
  <si>
    <t>DUX-WAC-SPOT-38/40/41-TND/GRY</t>
  </si>
  <si>
    <t>DUX-WAC-SPOT-42/44/45-CHR/GRN</t>
  </si>
  <si>
    <t>DUX-WAC-SPOT-42/44/45-CHR/RED</t>
  </si>
  <si>
    <t>DUX-WAC-SPOT-42/44/45-MAI/WHT</t>
  </si>
  <si>
    <t>DUX-WAC-SPOT-42/44/45-MOS/BLU</t>
  </si>
  <si>
    <t>DUX-WAC-SPOT-42/44/45-PML/PNK</t>
  </si>
  <si>
    <t>DUX-WAC-SPOT-42/44/45-TND/GRY</t>
  </si>
  <si>
    <t>DUX-WAC-TAMO-40-BLU</t>
  </si>
  <si>
    <t>DUX-WAC-TAMO-40-GRN</t>
  </si>
  <si>
    <t>DUX-WAC-TAMO-40-MID</t>
  </si>
  <si>
    <t>DUX-WAC-TAMO-40-TP</t>
  </si>
  <si>
    <t>DUX-WAC-TAMO-40-TS</t>
  </si>
  <si>
    <t>DUX-WAC-TAMO-40-WHT</t>
  </si>
  <si>
    <t>DUX-WAC-TAMO-41-BLU</t>
  </si>
  <si>
    <t>DUX-WAC-TAMO-41-GRN</t>
  </si>
  <si>
    <t>DUX-WAC-TAMO-41-MID</t>
  </si>
  <si>
    <t>DUX-WAC-TAMO-41-TP</t>
  </si>
  <si>
    <t>DUX-WAC-TAMO-41-TS</t>
  </si>
  <si>
    <t>DUX-WAC-TAMO-41-WHT</t>
  </si>
  <si>
    <t>DUX-WAC-TAMO-42-BLK</t>
  </si>
  <si>
    <t>DUX-WAC-TAMO-42-MID</t>
  </si>
  <si>
    <t>DUX-WAC-TAMO-42-TS</t>
  </si>
  <si>
    <t>DUX-WAC-TAMO-42-WHT</t>
  </si>
  <si>
    <t>DUX-WAC-TAMO-44-BLU</t>
  </si>
  <si>
    <t>DUX-WAC-TAMO-44-GRN</t>
  </si>
  <si>
    <t>DUX-WAC-TAMO-44-MID</t>
  </si>
  <si>
    <t>DUX-WAC-TAMO-44-TP</t>
  </si>
  <si>
    <t>DUX-WAC-TAMO-44-TS</t>
  </si>
  <si>
    <t>DUX-WAC-TAMO-44-WHT</t>
  </si>
  <si>
    <t>DUX-WAC-TAMO-45-BLU</t>
  </si>
  <si>
    <t>DUX-WAC-TAMO-45-GRN</t>
  </si>
  <si>
    <t>DUX-WAC-TAMO-45-MID</t>
  </si>
  <si>
    <t>DUX-WAC-TAMO-45-TP</t>
  </si>
  <si>
    <t>DUX-WAC-TAMO-45-TS</t>
  </si>
  <si>
    <t>DUX-WAC-TAMO-45-WHT</t>
  </si>
  <si>
    <t>DUX-WAC-TAMO-46-BLK</t>
  </si>
  <si>
    <t>DUX-WAC-TAMO-46-MID</t>
  </si>
  <si>
    <t>DUX-WAC-TAMO-46-TS</t>
  </si>
  <si>
    <t>DUX-WAC-TAMO-46-WHT</t>
  </si>
  <si>
    <t>DUX-WAC-TAMO-49-BLU</t>
  </si>
  <si>
    <t>DUX-WAC-TAMO-49-GRN</t>
  </si>
  <si>
    <t>DUX-WAC-TAMO-49-MID</t>
  </si>
  <si>
    <t>DUX-WAC-TAMO-49-TP</t>
  </si>
  <si>
    <t>DUX-WAC-TAMO-49-TS</t>
  </si>
  <si>
    <t>DUX-WAC-YJ-38/40/41-BLK</t>
  </si>
  <si>
    <t>DUX-WAC-YJ-38/40/41-BLK/GRY</t>
  </si>
  <si>
    <t>DUX-WAC-YJ-38/40/41-BLU</t>
  </si>
  <si>
    <t>DUX-WAC-YJ-38/40/41-BLU/BLK</t>
  </si>
  <si>
    <t>DUX-WAC-YJ-38/40/41-BLU/GRY</t>
  </si>
  <si>
    <t>DUX-WAC-YJ-38/40/41-GRN</t>
  </si>
  <si>
    <t>DUX-WAC-YJ-38/40/41-GRN/GRY</t>
  </si>
  <si>
    <t>DUX-WAC-YJ-38/40/41-ORG/BEI</t>
  </si>
  <si>
    <t>DUX-WAC-YJ-38/40/41-YLW/BEI</t>
  </si>
  <si>
    <t>DUX-WAC-YJ-42/44/45-BLU/BLK</t>
  </si>
  <si>
    <t>DUX-WAC-YJ-42/44/45-GRN/GRY</t>
  </si>
  <si>
    <t>DUX-WAC-YJ-42/44/45-ORG/BEI</t>
  </si>
  <si>
    <t>DUX-WAC-YJ-42/44/45/49-BLK</t>
  </si>
  <si>
    <t>DUX-WAC-YJ-42/44/45/49-BLK/GRY</t>
  </si>
  <si>
    <t>DUX-WAC-YJ-42/44/45/49-BLU</t>
  </si>
  <si>
    <t>DUX-WAC-YJ-42/44/45/49-BLU/GRY</t>
  </si>
  <si>
    <t>DUX-WAC-YJ-42/44/45/49-GRN</t>
  </si>
  <si>
    <t>DUX-WAC-YJ-42/44/45/49-YLW/BEI</t>
  </si>
  <si>
    <t>DUX-WTF-Air4-MAT</t>
  </si>
  <si>
    <t>DUX-WTF-Mini6-MAT</t>
  </si>
  <si>
    <t>DUX-WTF-Pro10.5-MAT</t>
  </si>
  <si>
    <t>DUX-WTF-Pro12.9(18)-MAT</t>
  </si>
  <si>
    <t>DUX-WTF-TabA8(21)-MAT</t>
  </si>
  <si>
    <t>DUX-WTF-TabS6Lite-MAT</t>
  </si>
  <si>
    <t>DUX-WTF-TabS7-MAT</t>
  </si>
  <si>
    <t>DUX-WTF-TabS7FE-MAT</t>
  </si>
  <si>
    <t>DUX-WTF-TabS8Ultra-MAT</t>
  </si>
  <si>
    <t>DUX-WTF-iPad10/10.9-MAT</t>
  </si>
  <si>
    <t>DUX-WTF-iPad7/10.2-MAT</t>
  </si>
  <si>
    <t>DUX-WTF-iPad9.7(17/18)-MAT</t>
  </si>
  <si>
    <t>DZN-ACE-T3-Charger-WHT</t>
  </si>
  <si>
    <t>DZN-ACE-T9-Charger-WHT</t>
  </si>
  <si>
    <t>DZN-ACE-W10(A)-Charger-WHT</t>
  </si>
  <si>
    <t>DZN-ACE-W10(S)-Charger-WHT</t>
  </si>
  <si>
    <t>DZN-ACE-W11-Charger-BLK</t>
  </si>
  <si>
    <t>DZN-ACE-W8-Charger-BLK</t>
  </si>
  <si>
    <t>DZN-ACE-W9-Charger-WHT</t>
  </si>
  <si>
    <t>DZN-CBL-A1-Light-100cm</t>
  </si>
  <si>
    <t>DZN-CBL-A1-Light-200cm</t>
  </si>
  <si>
    <t>DZN-CBL-A1-Light-300cm</t>
  </si>
  <si>
    <t>DZN-CBL-A2-TypeC-100cm</t>
  </si>
  <si>
    <t>DZN-CBL-A2-TypeC-200cm</t>
  </si>
  <si>
    <t>DZN-CBL-A2-TypeC-300cm</t>
  </si>
  <si>
    <t>DZN-CBL-A3-3in1-130cm</t>
  </si>
  <si>
    <t>DZN-CBL-A4-3in1-130cm</t>
  </si>
  <si>
    <t>DZN-CBL-A5-Light-100cm</t>
  </si>
  <si>
    <t>DZN-CBL-A6-TypeC-100cm</t>
  </si>
  <si>
    <t>DZN-CBL-A7-A/LIGHT-1M</t>
  </si>
  <si>
    <t>DZN-CBL-A7-A/LIGHT-2M</t>
  </si>
  <si>
    <t>DZN-CBL-A8-A/TYPEC-1M</t>
  </si>
  <si>
    <t>DZN-CBL-A8-A/TYPEC-2M</t>
  </si>
  <si>
    <t>DZN-CBL-A9-TypeC-BLK</t>
  </si>
  <si>
    <t>DZN-CHR-V1-Charger-BLK</t>
  </si>
  <si>
    <t>DZN-CHR-V2-Charger-TPR</t>
  </si>
  <si>
    <t>DZN-CHR-V3-BLK</t>
  </si>
  <si>
    <t>DZN-CHR-W1-Charger-BLK</t>
  </si>
  <si>
    <t>DZN-CHR-W1-Charger-WHT</t>
  </si>
  <si>
    <t>DZN-CHR-W13-Charger-TPR</t>
  </si>
  <si>
    <t>DZN-CHR-W15-Charger-BLK</t>
  </si>
  <si>
    <t>DZN-CHR-W16-WHT</t>
  </si>
  <si>
    <t>DZN-CHR-W17-BLK</t>
  </si>
  <si>
    <t>DZN-CHR-W18-WHT</t>
  </si>
  <si>
    <t>DZN-CHR-W2-Charger-BLK</t>
  </si>
  <si>
    <t>DZN-CHR-W20-WHT</t>
  </si>
  <si>
    <t>DZN-CHR-W3-Charger-GRY</t>
  </si>
  <si>
    <t>DZN-CHR-W7-Charger-WHT</t>
  </si>
  <si>
    <t>DZN-PBW-W12-Charger-TPR</t>
  </si>
  <si>
    <t>DZN-PWB-W4-Charger-WHT</t>
  </si>
  <si>
    <t>DZN-PWB-W5-Charger-WHT</t>
  </si>
  <si>
    <t>ELM-PC-SO-i12-SMK/BLK</t>
  </si>
  <si>
    <t>ELM-PC-SO-i12Mini-CLR/BLK</t>
  </si>
  <si>
    <t>ELM-PC-SO-i12Mini-SMK/BLK</t>
  </si>
  <si>
    <t>ELM-PC-SO-i12Pro-SMK/BLK</t>
  </si>
  <si>
    <t>ELM-PC-SO-i12ProMax-CLR/BLK</t>
  </si>
  <si>
    <t>ELM-PC-SO-i12ProMax-SMK/BLK</t>
  </si>
  <si>
    <t>ESM-ACE-MG-SLV</t>
  </si>
  <si>
    <t>ESM-GC-PCTPU-SOLED-BLK/CARD</t>
  </si>
  <si>
    <t>ESM-GC-PCTPU-SOLED-BLK/NC</t>
  </si>
  <si>
    <t>ESM-GC-PCTPU-SOLED-RED/NC</t>
  </si>
  <si>
    <t>ESM-PC-DD-iP14/15Plus-BLU</t>
  </si>
  <si>
    <t>ESM-PC-DD-iP14/15Plus-PRP</t>
  </si>
  <si>
    <t>ESM-PC-DD-iP15-BLU</t>
  </si>
  <si>
    <t>ESM-PC-DD-iP15-PRP</t>
  </si>
  <si>
    <t>ESM-PC-DD-iP15Pro-BLU</t>
  </si>
  <si>
    <t>ESM-PC-DD-iP15Pro-PRP</t>
  </si>
  <si>
    <t>ESM-PC-DD-iP15ProMax-BLU</t>
  </si>
  <si>
    <t>ESM-PC-DD-iP15ProMax-PRP</t>
  </si>
  <si>
    <t>ESM-PC-DD-iP16-BLU</t>
  </si>
  <si>
    <t>ESM-PC-DD-iP16-PRP</t>
  </si>
  <si>
    <t>ESM-PC-DD-iP16Plus-BLU</t>
  </si>
  <si>
    <t>ESM-PC-DD-iP16Plus-PRP</t>
  </si>
  <si>
    <t>ESM-PC-DD-iP16Pro-BLU</t>
  </si>
  <si>
    <t>ESM-PC-DD-iP16Pro-PRP</t>
  </si>
  <si>
    <t>ESM-PC-DD-iP16ProMax-PRP</t>
  </si>
  <si>
    <t>ESM-PC-DD-iP17-BLU</t>
  </si>
  <si>
    <t>ESM-PC-DD-iP17-PRP</t>
  </si>
  <si>
    <t>ESM-PC-DD-iP17Pro-BLU</t>
  </si>
  <si>
    <t>ESM-PC-DD-iP17Pro-PRP</t>
  </si>
  <si>
    <t>ESM-PC-DD-iP17ProMax-BLU</t>
  </si>
  <si>
    <t>ESM-PC-DD-iP17ProMax-PRP</t>
  </si>
  <si>
    <t>ESR-ACE-LOUN-Charger-SLV/GRY</t>
  </si>
  <si>
    <t>ESR-CL-PACK-S21</t>
  </si>
  <si>
    <t>ESR-CL-PACK-S21Plus</t>
  </si>
  <si>
    <t>ESR-CL-PACK-S21Ultra</t>
  </si>
  <si>
    <t>ESR-CL-PACK-S22-BLK</t>
  </si>
  <si>
    <t>ESR-CL-PACK-S22Plus-BLK</t>
  </si>
  <si>
    <t>ESR-CL-PACK-i12</t>
  </si>
  <si>
    <t>ESR-CL-PACK-i12Pro</t>
  </si>
  <si>
    <t>ESR-IC-HBPRO-iPad7/10.2-FRO/BLK</t>
  </si>
  <si>
    <t>ESR-IC-HBPRO-iPad8/10.2-FRO/BLK</t>
  </si>
  <si>
    <t>ESR-IC-HBPRO-iPad9/10.2-FRO/BLK</t>
  </si>
  <si>
    <t>ESR-IC-RB(P)-Pro11(20)-BLU</t>
  </si>
  <si>
    <t>ESR-IC-RB(P)-Pro11(20)-GRY</t>
  </si>
  <si>
    <t>ESR-IC-RB(P)-Pro11(21)-BLK</t>
  </si>
  <si>
    <t>ESR-IC-RB(P)-Pro11(21)-BLU</t>
  </si>
  <si>
    <t>ESR-IC-RB(P)-Pro11(21)-GRY</t>
  </si>
  <si>
    <t>ESR-IC-RB(P)-Pro11(21)-RG</t>
  </si>
  <si>
    <t>ESR-IC-RB(P)-Pro12.9(21)-GRN</t>
  </si>
  <si>
    <t>ESR-IC-RB(P)-Pro12.9(21)-GRY</t>
  </si>
  <si>
    <t>ESR-IC-RB(P)-Pro12.9(21)-MIG</t>
  </si>
  <si>
    <t>ESR-IC-RB(P)-Pro12.9(21)-SKB</t>
  </si>
  <si>
    <t>ESR-IC-TRI(SET)-Pro12.9(21)-BLK</t>
  </si>
  <si>
    <t>ESR-IC-TRI(SET)-Pro12.9(21)-GRY</t>
  </si>
  <si>
    <t>ESR-IC-TRI(SET)-Pro12.9(21)-RG</t>
  </si>
  <si>
    <t>ESR-IC-TRI-Pro12.9(21)-GRN</t>
  </si>
  <si>
    <t>ESR-IC-TRI-Pro12.9(21)-KHA</t>
  </si>
  <si>
    <t>ESR-PC-AA-i13-CLR</t>
  </si>
  <si>
    <t>ESR-PC-ALL-i12-BLK</t>
  </si>
  <si>
    <t>ESR-PC-ALL-i12Pro-BLK</t>
  </si>
  <si>
    <t>ESR-PC-ALL-i12ProMax-BLK</t>
  </si>
  <si>
    <t>ESR-PC-ALL-i12ProMax-CLR</t>
  </si>
  <si>
    <t>ESR-PC-ALL-i13-CLR</t>
  </si>
  <si>
    <t>ESR-PC-ALL-i13ProMax-CLR</t>
  </si>
  <si>
    <t>ESR-PC-TRI-Mini6-LIG/BLU</t>
  </si>
  <si>
    <t>ESR-PC-TRI-Mini6-LIG/GRN</t>
  </si>
  <si>
    <t>ESR-PC-TRI-Mini6-RG</t>
  </si>
  <si>
    <t>ESR-PC-TRI-iPad7/10.2-RG</t>
  </si>
  <si>
    <t>ESR-PC-TRI-iPad7/10.2-TSC/BLK</t>
  </si>
  <si>
    <t>ESR-PC-TRI-iPad8/10.2-RG</t>
  </si>
  <si>
    <t>ESR-PC-TRI-iPad8/10.2-TSC/BLK</t>
  </si>
  <si>
    <t>ESR-PC-TRI-iPad9/10.2-RG</t>
  </si>
  <si>
    <t>ESR-PC-TRI-iPad9/10.2-TSC/BLK</t>
  </si>
  <si>
    <t>ESR-SP-SKIN-S21Plus-3pcs</t>
  </si>
  <si>
    <t>ESR-SP-SKIN-S22-3pcs</t>
  </si>
  <si>
    <t>ESR-SP-SKIN-S22Plus-3pcs</t>
  </si>
  <si>
    <t>ESR-SP-SKIN-S22Ultra-3pcs</t>
  </si>
  <si>
    <t>FATB-AAC-AP12-BLK</t>
  </si>
  <si>
    <t>FATB-AAC-AP12-GRN</t>
  </si>
  <si>
    <t>FATB-AAC-APP-BLK</t>
  </si>
  <si>
    <t>FATB-AAC-APP-GRN</t>
  </si>
  <si>
    <t>FATB-AAC-Airpods3-BLK</t>
  </si>
  <si>
    <t>FATB-AAC-Airpods3-GRN</t>
  </si>
  <si>
    <t>FATB-AAC-FBudsPro-BLK</t>
  </si>
  <si>
    <t>FATB-AAC-FBudsPro-GRN</t>
  </si>
  <si>
    <t>FATB-AAC-MIL-APP2-GRN</t>
  </si>
  <si>
    <t>FATB-AAC-MIL-FBudsPro2-BLK</t>
  </si>
  <si>
    <t>FATB-AAC-MIL-FBudsPro2-GRN</t>
  </si>
  <si>
    <t>FATB-AAC-NW-A50-GRY</t>
  </si>
  <si>
    <t>FATB-AAC-NW-ZX300-BLK</t>
  </si>
  <si>
    <t>FATB-AAC-NW-ZX300-GRY</t>
  </si>
  <si>
    <t>FATB-AAC-NW-ZX500-BLK</t>
  </si>
  <si>
    <t>FATB-AAC-NW-ZX500-GRY</t>
  </si>
  <si>
    <t>FATB-AAC-NW-ZX700-BLK</t>
  </si>
  <si>
    <t>FATB-AAC-NW-ZX700-GRY</t>
  </si>
  <si>
    <t>FATB-ACE-ACTION5Pro-BLK</t>
  </si>
  <si>
    <t>FATB-ACE-AcePro2-BLK</t>
  </si>
  <si>
    <t>FATB-ACE-AirTag-BLK</t>
  </si>
  <si>
    <t>FATB-ACE-DJIOSMO-BLK</t>
  </si>
  <si>
    <t>FATB-ACE-Insta360Ace/Pro-BLK</t>
  </si>
  <si>
    <t>FATB-ACE-LinkBuds-BLK</t>
  </si>
  <si>
    <t>FATB-ACE-LinkBuds-GRN</t>
  </si>
  <si>
    <t>FATB-ACE-WD-P50(500GB-2TB)</t>
  </si>
  <si>
    <t>FATB-ACE-WD-SE(SSD)</t>
  </si>
  <si>
    <t>FATB-ACE-XM4-BLK</t>
  </si>
  <si>
    <t>FATB-ACE-XM4-GRN</t>
  </si>
  <si>
    <t>FATB-ACE-XM5-BLK</t>
  </si>
  <si>
    <t>FATB-ACE-XM5-GRN</t>
  </si>
  <si>
    <t>FATB-GC-NS2(SET)-BLK</t>
  </si>
  <si>
    <t>FATB-GC-NSwitchLite-BLK</t>
  </si>
  <si>
    <t>FATB-GC-ROGALLY-BLK</t>
  </si>
  <si>
    <t>FATB-GC-Steam-BLK</t>
  </si>
  <si>
    <t>FATB-IC-Air11(2024)</t>
  </si>
  <si>
    <t>FATB-IC-Air13(2024)</t>
  </si>
  <si>
    <t>FATB-IC-Air4/10.9</t>
  </si>
  <si>
    <t>FATB-IC-EDC-XMPad6/Pro-BLK</t>
  </si>
  <si>
    <t>FATB-IC-EDC-XMPad7/7Pro-BLK</t>
  </si>
  <si>
    <t>FATB-IC-Mini6</t>
  </si>
  <si>
    <t>FATB-IC-Pro11(20)</t>
  </si>
  <si>
    <t>FATB-IC-Pro11(2024)</t>
  </si>
  <si>
    <t>FATB-IC-Pro12.9(20)</t>
  </si>
  <si>
    <t>FATB-IC-Pro13(2024)</t>
  </si>
  <si>
    <t>FATB-IC-XMPad5</t>
  </si>
  <si>
    <t>FATB-IC-iPad7/10.2</t>
  </si>
  <si>
    <t>FATB-LC-NEW-MbookPro/14(21)-BLK</t>
  </si>
  <si>
    <t>FATB-LC-SurfacePro/12.3</t>
  </si>
  <si>
    <t>FATB-LC-SurfacePro8/12.9</t>
  </si>
  <si>
    <t>FATB-MAC-LANY-S</t>
  </si>
  <si>
    <t>FATB-PC-BShark3</t>
  </si>
  <si>
    <t>FATB-PC-BShark4</t>
  </si>
  <si>
    <t>FATB-PC-BShark5</t>
  </si>
  <si>
    <t>FATB-PC-CLAS-K50Ultra-BLK</t>
  </si>
  <si>
    <t>FATB-PC-CLAS-K60/Pro-BLK</t>
  </si>
  <si>
    <t>FATB-PC-CLAS-Mate50-BLK</t>
  </si>
  <si>
    <t>FATB-PC-CLAS-Mate50Pro-BLK</t>
  </si>
  <si>
    <t>FATB-PC-CLAS-P60-BLK</t>
  </si>
  <si>
    <t>FATB-PC-CLAS-XM13T/13TPro-BLK</t>
  </si>
  <si>
    <t>FATB-PC-CLAS-XM14-BLK</t>
  </si>
  <si>
    <t>FATB-PC-CLAS-XM14Pro-BLK</t>
  </si>
  <si>
    <t>FATB-PC-CLAS-XM14Ultra-BLK</t>
  </si>
  <si>
    <t>FATB-PC-CLAS-XM15-BLK</t>
  </si>
  <si>
    <t>FATB-PC-CLAS-i14-BLK</t>
  </si>
  <si>
    <t>FATB-PC-CLAS-i14Plus-BLK</t>
  </si>
  <si>
    <t>FATB-PC-GM2-i15Pro-BLK</t>
  </si>
  <si>
    <t>FATB-PC-GM2-i15Pro-GRN</t>
  </si>
  <si>
    <t>FATB-PC-GM2-i15ProMax-BLK</t>
  </si>
  <si>
    <t>FATB-PC-GM2-i15ProMax-GRN</t>
  </si>
  <si>
    <t>FATB-PC-GMAN-i13Pro-AMG</t>
  </si>
  <si>
    <t>FATB-PC-GMAN-i13Pro-BLK</t>
  </si>
  <si>
    <t>FATB-PC-GMAN-i13ProMax-AMG</t>
  </si>
  <si>
    <t>FATB-PC-GMAN-i13ProMax-BLK</t>
  </si>
  <si>
    <t>FATB-PC-Mate30</t>
  </si>
  <si>
    <t>FATB-PC-P40</t>
  </si>
  <si>
    <t>FATB-PC-XPLO-Mate50-BLK</t>
  </si>
  <si>
    <t>FATB-PC-XPLO-Mate50-KHA</t>
  </si>
  <si>
    <t>FATB-PC-XPLO-Mate50Pro-BLK</t>
  </si>
  <si>
    <t>FATB-PC-XPLO-Mate50Pro-KHA</t>
  </si>
  <si>
    <t>FATB-PC-XPLO-i14-KHA</t>
  </si>
  <si>
    <t>FATB-PC-XPLO-i14Plus-BLK</t>
  </si>
  <si>
    <t>FATB-PC-XPLO-i14Plus-KHA</t>
  </si>
  <si>
    <t>FATB-PC-XPLO-i14Pro-BLK</t>
  </si>
  <si>
    <t>FATB-PC-i12Mini</t>
  </si>
  <si>
    <t>FATB-PC-i13Pro</t>
  </si>
  <si>
    <t>FATB-PC-i13ProMax</t>
  </si>
  <si>
    <t>FATB-WAC-COMB-F41-GRY</t>
  </si>
  <si>
    <t>FATB-WAC-COMB-F45-BLK</t>
  </si>
  <si>
    <t>FATB-WAC-COMB-F45-GRY</t>
  </si>
  <si>
    <t>FATB-WAC-COMB-F49-BLK</t>
  </si>
  <si>
    <t>FATB-WAC-COMB-F49-GRY</t>
  </si>
  <si>
    <t>FATB-WAC-F42-BLK</t>
  </si>
  <si>
    <t>FATB-WAC-F42-GRY</t>
  </si>
  <si>
    <t>FATB-WAC-H38-BLK</t>
  </si>
  <si>
    <t>FATB-WAC-H38-GRY</t>
  </si>
  <si>
    <t>FATB-WAC-H41-BLK</t>
  </si>
  <si>
    <t>FATB-WAC-H41-KHA</t>
  </si>
  <si>
    <t>FATB-WAC-H42-BLK</t>
  </si>
  <si>
    <t>FATB-WAC-H42-GRY</t>
  </si>
  <si>
    <t>FATB-WAC-H45-BLK</t>
  </si>
  <si>
    <t>FATB-WAC-H45-KHA</t>
  </si>
  <si>
    <t>FATB-WAC-H49-BLK</t>
  </si>
  <si>
    <t>FATB-WAC-H49-GRY</t>
  </si>
  <si>
    <t>FATB-WAC-NL42-AMG</t>
  </si>
  <si>
    <t>FATB-WAC-NL42-BLK</t>
  </si>
  <si>
    <t>FATB-WAC-NL42-CDG</t>
  </si>
  <si>
    <t>FME-ACC-ORG1-155866-1M(BLK)</t>
  </si>
  <si>
    <t>FME-ACC-ORG1-155866-1M(BLU)</t>
  </si>
  <si>
    <t>FME-ACC-ORG1-155866-1M(GRN)</t>
  </si>
  <si>
    <t>FME-ACC-ORG1-155866-1M(RED)</t>
  </si>
  <si>
    <t>FME-ACC-ORG1-155866-3M(BLK)</t>
  </si>
  <si>
    <t>FME-ACC-ORG1-155866-5M(BLK)</t>
  </si>
  <si>
    <t>FME-ACC-ORG2-171863-10PC</t>
  </si>
  <si>
    <t>FME-ACC-ORG2-171863-20PC</t>
  </si>
  <si>
    <t>FME-ACC-ORG2-171863-5PC</t>
  </si>
  <si>
    <t>FME-ACC-ORG3-53624-BLK</t>
  </si>
  <si>
    <t>FME-ACC-ORG3-53624-BRW</t>
  </si>
  <si>
    <t>FME-ACC-ORG3-53624-GRN</t>
  </si>
  <si>
    <t>FME-ACC-ORG3-53624-PNK</t>
  </si>
  <si>
    <t>FME-ACC-ORG3-53624-WHT</t>
  </si>
  <si>
    <t>FME-BAG-WTPP1-68043-BLK</t>
  </si>
  <si>
    <t>FME-BAG-WTPP1-68043-BLU</t>
  </si>
  <si>
    <t>FME-BAG-WTPP1-68043-PNK</t>
  </si>
  <si>
    <t>FME-BAG-WTPP1-68043-PRP</t>
  </si>
  <si>
    <t>FME-BAG-WTPP1-68043-WHT</t>
  </si>
  <si>
    <t>FME-MOUNT-CM10-222938-BLK</t>
  </si>
  <si>
    <t>FME-MOUNT-CM11-216529-BLK</t>
  </si>
  <si>
    <t>FME-MOUNT-CM12-216529-SLV</t>
  </si>
  <si>
    <t>FME-MOUNT-CM4-88137-BLK</t>
  </si>
  <si>
    <t>FME-MOUNT-CM4-88137-GLD</t>
  </si>
  <si>
    <t>FME-MOUNT-CM4-88137-RG</t>
  </si>
  <si>
    <t>FME-MOUNT-CM4-88137-SLV</t>
  </si>
  <si>
    <t>FME-MOUNT-CM6-223942-RED</t>
  </si>
  <si>
    <t>FME-MOUNT-CM9-223690-RED</t>
  </si>
  <si>
    <t>FME-MOUNT-PLT1-97859-BLK</t>
  </si>
  <si>
    <t>FME-MOUNT-PLT1-97859-GLD</t>
  </si>
  <si>
    <t>FME-MOUNT-PLT1-97859-SLV</t>
  </si>
  <si>
    <t>FRES-PC-AG-S24Ultra</t>
  </si>
  <si>
    <t>FRES-PC-AG-S25Ultra</t>
  </si>
  <si>
    <t>FRES-PC-AG-S26Ultra</t>
  </si>
  <si>
    <t>FRES-PC-AG-iP14</t>
  </si>
  <si>
    <t>FRES-PC-AG-iP14Pro</t>
  </si>
  <si>
    <t>FRES-PC-AG-iP14ProMax</t>
  </si>
  <si>
    <t>FRES-PC-AG-iP15</t>
  </si>
  <si>
    <t>FRES-PC-AG-iP15Plus</t>
  </si>
  <si>
    <t>FRES-PC-AG-iP15Pro</t>
  </si>
  <si>
    <t>FRES-PC-AG-iP15ProMax</t>
  </si>
  <si>
    <t>FRES-PC-AG-iP16</t>
  </si>
  <si>
    <t>FRES-PC-AG-iP16Plus</t>
  </si>
  <si>
    <t>FRES-PC-AG-iP16Pro</t>
  </si>
  <si>
    <t>FRES-PC-AG-iP16ProMax</t>
  </si>
  <si>
    <t>FRES-PC-AG-iP17</t>
  </si>
  <si>
    <t>FRES-PC-AG-iP17Air</t>
  </si>
  <si>
    <t>FRES-PC-AG-iP17ProMax</t>
  </si>
  <si>
    <t>FRES-PC-AIRPOP-iP17Pro-BLU</t>
  </si>
  <si>
    <t>FRES-PC-AIRPOP-iP17Pro-GRN</t>
  </si>
  <si>
    <t>FRES-PC-AIRPOP-iP17Pro-ORG</t>
  </si>
  <si>
    <t>FRES-PC-AIRPOP-iP17Pro-PRP</t>
  </si>
  <si>
    <t>FRES-PC-AIRPOP-iP17Pro-WHT</t>
  </si>
  <si>
    <t>FRES-PC-AIRPOP-iP17ProMax-BLU</t>
  </si>
  <si>
    <t>FRES-PC-AIRPOP-iP17ProMax-GRN</t>
  </si>
  <si>
    <t>FRES-PC-AIRPOP-iP17ProMax-ORG</t>
  </si>
  <si>
    <t>FRES-PC-AIRPOP-iP17ProMax-PRP</t>
  </si>
  <si>
    <t>FRES-PC-AIRPOP-iP17ProMax-WHT</t>
  </si>
  <si>
    <t>FRES-PC-CLAR-iP17-BLK</t>
  </si>
  <si>
    <t>FRES-PC-CLAR-iP17-BLU</t>
  </si>
  <si>
    <t>FRES-PC-CLAR-iP17-GRY</t>
  </si>
  <si>
    <t>FRES-PC-CLAR-iP17Air-BLK</t>
  </si>
  <si>
    <t>FRES-PC-CLAR-iP17Air-BLU</t>
  </si>
  <si>
    <t>FRES-PC-CLAR-iP17Air-GRY</t>
  </si>
  <si>
    <t>FRES-PC-CLAR-iP17Pro-BLK</t>
  </si>
  <si>
    <t>FRES-PC-CLAR-iP17Pro-BLU</t>
  </si>
  <si>
    <t>FRES-PC-CLAR-iP17Pro-GRY</t>
  </si>
  <si>
    <t>FRES-PC-CLAR-iP17Pro-ORG</t>
  </si>
  <si>
    <t>FRES-PC-CLAR-iP17ProMax-BLK</t>
  </si>
  <si>
    <t>FRES-PC-CLAR-iP17ProMax-BLU</t>
  </si>
  <si>
    <t>FRES-PC-CLAR-iP17ProMax-GRY</t>
  </si>
  <si>
    <t>FRES-PC-CLAR-iP17ProMax-ORG</t>
  </si>
  <si>
    <t>FRES-PC-DC-iP16-BLK</t>
  </si>
  <si>
    <t>FRES-PC-DC-iP16-GLD</t>
  </si>
  <si>
    <t>FRES-PC-DC-iP16-WHT</t>
  </si>
  <si>
    <t>FRES-PC-DC-iP16Pro-BLK</t>
  </si>
  <si>
    <t>FRES-PC-DC-iP16Pro-GLD</t>
  </si>
  <si>
    <t>FRES-PC-DC-iP16Pro-WHT</t>
  </si>
  <si>
    <t>FRES-PC-DC-iP16ProMax-</t>
  </si>
  <si>
    <t>FRES-PC-DC-iP16ProMax-BLK</t>
  </si>
  <si>
    <t>FRES-PC-DC-iP16ProMax-WHT</t>
  </si>
  <si>
    <t>FRES-PC-DC-iP17-BLK</t>
  </si>
  <si>
    <t>FRES-PC-DC-iP17-GLD</t>
  </si>
  <si>
    <t>FRES-PC-DC-iP17-WHT</t>
  </si>
  <si>
    <t>FRES-PC-DC-iP17Air-BLK</t>
  </si>
  <si>
    <t>FRES-PC-DC-iP17Air-GLD</t>
  </si>
  <si>
    <t>FRES-PC-DC-iP17Air-WHT</t>
  </si>
  <si>
    <t>FRES-PC-DC-iP17Pro-BLK</t>
  </si>
  <si>
    <t>FRES-PC-DC-iP17Pro-GLD</t>
  </si>
  <si>
    <t>FRES-PC-DC-iP17Pro-WHT</t>
  </si>
  <si>
    <t>FRES-PC-DC-iP17ProMax-BLK</t>
  </si>
  <si>
    <t>FRES-PC-DC-iP17ProMax-GLD</t>
  </si>
  <si>
    <t>FRES-PC-DC-iP17ProMax-WHT</t>
  </si>
  <si>
    <t>FRES-PC-FROS-iP15Pro-BLK</t>
  </si>
  <si>
    <t>FRES-PC-FROS-iP15Pro-BLU</t>
  </si>
  <si>
    <t>FRES-PC-FROS-iP15Pro-GRY</t>
  </si>
  <si>
    <t>FRES-PC-FROS-iP15ProMax-BLK</t>
  </si>
  <si>
    <t>FRES-PC-FROS-iP15ProMax-BLU</t>
  </si>
  <si>
    <t>FRES-PC-FROS-iP15ProMax-GRY</t>
  </si>
  <si>
    <t>FRES-PC-FROS-iP16Pro-BLK</t>
  </si>
  <si>
    <t>FRES-PC-FROS-iP16Pro-GRY</t>
  </si>
  <si>
    <t>FRES-PC-FROS-iP16Pro-WHT</t>
  </si>
  <si>
    <t>FRES-PC-FROS-iP16ProMax-BLK</t>
  </si>
  <si>
    <t>FRES-PC-FROS-iP16ProMax-GRY</t>
  </si>
  <si>
    <t>FRES-PC-FROS-iP16ProMax-WHT</t>
  </si>
  <si>
    <t>FRES-PC-FROS-iP17-BLK</t>
  </si>
  <si>
    <t>FRES-PC-FROS-iP17-BLU</t>
  </si>
  <si>
    <t>FRES-PC-FROS-iP17-GRY</t>
  </si>
  <si>
    <t>FRES-PC-FROS-iP17Air-BLK</t>
  </si>
  <si>
    <t>FRES-PC-FROS-iP17Air-BLU</t>
  </si>
  <si>
    <t>FRES-PC-FROS-iP17Air-GRY</t>
  </si>
  <si>
    <t>FRES-PC-FROS-iP17Pro-BLK</t>
  </si>
  <si>
    <t>FRES-PC-FROS-iP17Pro-BLU</t>
  </si>
  <si>
    <t>FRES-PC-FROS-iP17Pro-GRY</t>
  </si>
  <si>
    <t>FRES-PC-FROS-iP17Pro-ORG</t>
  </si>
  <si>
    <t>FRES-PC-FROS-iP17Pro-WHT</t>
  </si>
  <si>
    <t>FRES-PC-FROS-iP17ProMax-BLK</t>
  </si>
  <si>
    <t>FRES-PC-FROS-iP17ProMax-BLU</t>
  </si>
  <si>
    <t>FRES-PC-FROS-iP17ProMax-GRY</t>
  </si>
  <si>
    <t>FRES-PC-FROS-iP17ProMax-ORG</t>
  </si>
  <si>
    <t>FRES-PC-FROS-iP17ProMax-WHT</t>
  </si>
  <si>
    <t>FRES-PC-MPOP-iP15-BLK</t>
  </si>
  <si>
    <t>FRES-PC-MPOP-iP15-GRN</t>
  </si>
  <si>
    <t>FRES-PC-MPOP-iP15-WHT</t>
  </si>
  <si>
    <t>FRES-PC-MPOP-iP15Pro-BLK</t>
  </si>
  <si>
    <t>FRES-PC-MPOP-iP15Pro-WHT</t>
  </si>
  <si>
    <t>FRES-PC-MPOP-iP15ProMax-BLK</t>
  </si>
  <si>
    <t>FRES-PC-MPOP-iP15ProMax-WHT</t>
  </si>
  <si>
    <t>FRES-PC-MPOP-iP16-BLK</t>
  </si>
  <si>
    <t>FRES-PC-MPOP-iP16-GRN</t>
  </si>
  <si>
    <t>FRES-PC-MPOP-iP16-WHT</t>
  </si>
  <si>
    <t>FRES-PC-MPOP-iP16Pro-BLK</t>
  </si>
  <si>
    <t>FRES-PC-MPOP-iP16Pro-WHT</t>
  </si>
  <si>
    <t>FRES-PC-MPOP-iP16ProMax-BLK</t>
  </si>
  <si>
    <t>FRES-PC-MPOP-iP16ProMax-WHT</t>
  </si>
  <si>
    <t>FRES-PC-MPOP-iP17-BLK</t>
  </si>
  <si>
    <t>FRES-PC-MPOP-iP17-GRN</t>
  </si>
  <si>
    <t>FRES-PC-MPOP-iP17-WHT</t>
  </si>
  <si>
    <t>FRES-PC-MPOP-iP17Pro-BLK</t>
  </si>
  <si>
    <t>FRES-PC-MPOP-iP17Pro-GRN</t>
  </si>
  <si>
    <t>FRES-PC-MPOP-iP17Pro-ORG</t>
  </si>
  <si>
    <t>FRES-PC-MPOP-iP17Pro-WHT</t>
  </si>
  <si>
    <t>FRES-PC-MPOP-iP17ProMax-BLK</t>
  </si>
  <si>
    <t>FRES-PC-MPOP-iP17ProMax-GRN</t>
  </si>
  <si>
    <t>FRES-PC-MPOP-iP17ProMax-ORG</t>
  </si>
  <si>
    <t>FRES-PC-MPOP-iP17ProMax-WHT</t>
  </si>
  <si>
    <t>FRES-PC-SA-i16-BLK</t>
  </si>
  <si>
    <t>FRES-PC-SA-i16-CYA</t>
  </si>
  <si>
    <t>FRES-PC-SA-i16-MB/GRN</t>
  </si>
  <si>
    <t>FRES-PC-SA-i16-PRP</t>
  </si>
  <si>
    <t>FRES-PC-SA-i16-WHT</t>
  </si>
  <si>
    <t>FRES-PC-SA-i16Pro-BLK</t>
  </si>
  <si>
    <t>FRES-PC-SA-i16Pro-CYA</t>
  </si>
  <si>
    <t>FRES-PC-SA-i16Pro-MB/GRN</t>
  </si>
  <si>
    <t>FRES-PC-SA-i16Pro-PRP</t>
  </si>
  <si>
    <t>FRES-PC-SA-i16Pro-WHT</t>
  </si>
  <si>
    <t>FRES-PC-SA-i16ProMax-BLK</t>
  </si>
  <si>
    <t>FRES-PC-SA-i16ProMax-CYA</t>
  </si>
  <si>
    <t>FRES-PC-SA-i16ProMax-MB/GRN</t>
  </si>
  <si>
    <t>FRES-PC-SA-i16ProMax-PRP</t>
  </si>
  <si>
    <t>FRES-PC-SA-i16ProMax-WHT</t>
  </si>
  <si>
    <t>FRES-PC-SD(MS)-i16-BLK</t>
  </si>
  <si>
    <t>FRES-PC-SD(MS)-i16-CYA</t>
  </si>
  <si>
    <t>FRES-PC-SD(MS)-i16-GRY</t>
  </si>
  <si>
    <t>FRES-PC-SD(MS)-i16-MB/GRN</t>
  </si>
  <si>
    <t>FRES-PC-SD(MS)-i16-PRP</t>
  </si>
  <si>
    <t>FRES-PC-SD(MS)-i16-WHT</t>
  </si>
  <si>
    <t>FRES-PC-SD(MS)-i16-YLW</t>
  </si>
  <si>
    <t>FRES-PC-SD(MS)-i16Plus-BLK</t>
  </si>
  <si>
    <t>FRES-PC-SD(MS)-i16Plus-CYA</t>
  </si>
  <si>
    <t>FRES-PC-SD(MS)-i16Plus-GRY</t>
  </si>
  <si>
    <t>FRES-PC-SD(MS)-i16Plus-MB/GRN</t>
  </si>
  <si>
    <t>FRES-PC-SD(MS)-i16Plus-PRP</t>
  </si>
  <si>
    <t>FRES-PC-SD(MS)-i16Plus-WHT</t>
  </si>
  <si>
    <t>FRES-PC-SD(MS)-i16Plus-YLW</t>
  </si>
  <si>
    <t>FRES-PC-SD(MS)-i16Pro-BLK</t>
  </si>
  <si>
    <t>FRES-PC-SD(MS)-i16Pro-CYA</t>
  </si>
  <si>
    <t>FRES-PC-SD(MS)-i16Pro-GRY</t>
  </si>
  <si>
    <t>FRES-PC-SD(MS)-i16Pro-MB/GRN</t>
  </si>
  <si>
    <t>FRES-PC-SD(MS)-i16Pro-PRP</t>
  </si>
  <si>
    <t>FRES-PC-SD(MS)-i16Pro-WHT</t>
  </si>
  <si>
    <t>FRES-PC-SD(MS)-i16Pro-YLW</t>
  </si>
  <si>
    <t>FRES-PC-SD(MS)-i16Promax-BLK</t>
  </si>
  <si>
    <t>FRES-PC-SD(MS)-i16Promax-CYA</t>
  </si>
  <si>
    <t>FRES-PC-SD(MS)-i16Promax-GRY</t>
  </si>
  <si>
    <t>FRES-PC-SD(MS)-i16Promax-MB/GRN</t>
  </si>
  <si>
    <t>FRES-PC-SD(MS)-i16Promax-PRP</t>
  </si>
  <si>
    <t>FRES-PC-SD(MS)-i16Promax-WHT</t>
  </si>
  <si>
    <t>FRES-PC-SD(MS)-i16Promax-YLW</t>
  </si>
  <si>
    <t>FRES-PC-SD(MS)-iP16-GPNK</t>
  </si>
  <si>
    <t>FRES-PC-SD(MS)-iP16Pro-GPNK</t>
  </si>
  <si>
    <t>FRES-PC-SD(MS)-iP16ProMax-GPNK</t>
  </si>
  <si>
    <t>FRES-PC-SD(MS)-iP17-BLK</t>
  </si>
  <si>
    <t>FRES-PC-SD(MS)-iP17-CYA</t>
  </si>
  <si>
    <t>FRES-PC-SD(MS)-iP17-GPNK</t>
  </si>
  <si>
    <t>FRES-PC-SD(MS)-iP17-GRY</t>
  </si>
  <si>
    <t>FRES-PC-SD(MS)-iP17-MB/GRN</t>
  </si>
  <si>
    <t>FRES-PC-SD(MS)-iP17-PPY</t>
  </si>
  <si>
    <t>FRES-PC-SD(MS)-iP17-PRP</t>
  </si>
  <si>
    <t>FRES-PC-SD(MS)-iP17-WHT</t>
  </si>
  <si>
    <t>FRES-PC-SD(MS)-iP17-YLW</t>
  </si>
  <si>
    <t>FRES-PC-SD(MS)-iP17Air-BLK</t>
  </si>
  <si>
    <t>FRES-PC-SD(MS)-iP17Air-CYA</t>
  </si>
  <si>
    <t>FRES-PC-SD(MS)-iP17Air-GRY</t>
  </si>
  <si>
    <t>FRES-PC-SD(MS)-iP17Air-MB/GRN</t>
  </si>
  <si>
    <t>FRES-PC-SD(MS)-iP17Air-PRP</t>
  </si>
  <si>
    <t>FRES-PC-SD(MS)-iP17Air-WHT</t>
  </si>
  <si>
    <t>FRES-PC-SD(MS)-iP17Pro-BLK</t>
  </si>
  <si>
    <t>FRES-PC-SD(MS)-iP17Pro-CYA</t>
  </si>
  <si>
    <t>FRES-PC-SD(MS)-iP17Pro-GPNK</t>
  </si>
  <si>
    <t>FRES-PC-SD(MS)-iP17Pro-GRY</t>
  </si>
  <si>
    <t>FRES-PC-SD(MS)-iP17Pro-PNK</t>
  </si>
  <si>
    <t>FRES-PC-SD(MS)-iP17Pro-PPY</t>
  </si>
  <si>
    <t>FRES-PC-SD(MS)-iP17Pro-PRP</t>
  </si>
  <si>
    <t>FRES-PC-SD(MS)-iP17Pro-WHT</t>
  </si>
  <si>
    <t>FRES-PC-SD(MS)-iP17Pro-YLW</t>
  </si>
  <si>
    <t>FRES-PC-SD(MS)-iP17ProMax-BLK</t>
  </si>
  <si>
    <t>FRES-PC-SD(MS)-iP17ProMax-CYA</t>
  </si>
  <si>
    <t>FRES-PC-SD(MS)-iP17ProMax-GPNK</t>
  </si>
  <si>
    <t>FRES-PC-SD(MS)-iP17ProMax-GRY</t>
  </si>
  <si>
    <t>FRES-PC-SD(MS)-iP17ProMax-MB/GRN</t>
  </si>
  <si>
    <t>FRES-PC-SD(MS)-iP17ProMax-PPY</t>
  </si>
  <si>
    <t>FRES-PC-SD(MS)-iP17ProMax-PRP</t>
  </si>
  <si>
    <t>FRES-PC-SD(MS)-iP17ProMax-WHT</t>
  </si>
  <si>
    <t>FRES-PC-SD(MS)-iP17ProMax-YLW</t>
  </si>
  <si>
    <t>FRES-PC-SD-i16-BLK</t>
  </si>
  <si>
    <t>FRES-PC-SD-i16-CYA</t>
  </si>
  <si>
    <t>FRES-PC-SD-i16-GRY</t>
  </si>
  <si>
    <t>FRES-PC-SD-i16-MB/GRN</t>
  </si>
  <si>
    <t>FRES-PC-SD-i16-PRP</t>
  </si>
  <si>
    <t>FRES-PC-SD-i16-WHT</t>
  </si>
  <si>
    <t>FRES-PC-SD-i16-YLW</t>
  </si>
  <si>
    <t>FRES-PC-SD-i16Plus-BLK</t>
  </si>
  <si>
    <t>FRES-PC-SD-i16Plus-CYA</t>
  </si>
  <si>
    <t>FRES-PC-SD-i16Plus-GRY</t>
  </si>
  <si>
    <t>FRES-PC-SD-i16Plus-MB/GRN</t>
  </si>
  <si>
    <t>FRES-PC-SD-i16Plus-PRP</t>
  </si>
  <si>
    <t>FRES-PC-SD-i16Plus-WHT</t>
  </si>
  <si>
    <t>FRES-PC-SD-i16Plus-YLW</t>
  </si>
  <si>
    <t>FRES-PC-SD-i16Pro-BLK</t>
  </si>
  <si>
    <t>FRES-PC-SD-i16Pro-CYA</t>
  </si>
  <si>
    <t>FRES-PC-SD-i16Pro-GRY</t>
  </si>
  <si>
    <t>FRES-PC-SD-i16Pro-MB/GRN</t>
  </si>
  <si>
    <t>FRES-PC-SD-i16Pro-PRP</t>
  </si>
  <si>
    <t>FRES-PC-SD-i16Pro-WHT</t>
  </si>
  <si>
    <t>FRES-PC-SD-i16Pro-YLW</t>
  </si>
  <si>
    <t>FRES-PC-SD-i16Promax-BLK</t>
  </si>
  <si>
    <t>FRES-PC-SD-i16Promax-CYA</t>
  </si>
  <si>
    <t>FRES-PC-SD-i16Promax-GRY</t>
  </si>
  <si>
    <t>FRES-PC-SD-i16Promax-MB/GRN</t>
  </si>
  <si>
    <t>FRES-PC-SD-i16Promax-PRP</t>
  </si>
  <si>
    <t>FRES-PC-SD-i16Promax-WHT</t>
  </si>
  <si>
    <t>FRES-PC-SD-i16Promax-YLW</t>
  </si>
  <si>
    <t>FRES-PC-SD-iP16-GPNK</t>
  </si>
  <si>
    <t>FRES-PC-SD-iP16Pro-GPNK</t>
  </si>
  <si>
    <t>FRES-PC-SD-iP16ProMax-GPNK</t>
  </si>
  <si>
    <t>FRES-PC-SD-iP17-BLK</t>
  </si>
  <si>
    <t>FRES-PC-SD-iP17-CRM/GRN</t>
  </si>
  <si>
    <t>FRES-PC-SD-iP17-CYA</t>
  </si>
  <si>
    <t>FRES-PC-SD-iP17-GPNK</t>
  </si>
  <si>
    <t>FRES-PC-SD-iP17-GRY</t>
  </si>
  <si>
    <t>FRES-PC-SD-iP17-MB/GRN</t>
  </si>
  <si>
    <t>FRES-PC-SD-iP17-PPY</t>
  </si>
  <si>
    <t>FRES-PC-SD-iP17-PRP</t>
  </si>
  <si>
    <t>FRES-PC-SD-iP17-WHT</t>
  </si>
  <si>
    <t>FRES-PC-SD-iP17-YLW</t>
  </si>
  <si>
    <t>FRES-PC-SD-iP17Air-BLK</t>
  </si>
  <si>
    <t>FRES-PC-SD-iP17Air-CYA</t>
  </si>
  <si>
    <t>FRES-PC-SD-iP17Air-GRY</t>
  </si>
  <si>
    <t>FRES-PC-SD-iP17Air-MB/GRN</t>
  </si>
  <si>
    <t>FRES-PC-SD-iP17Air-PRP</t>
  </si>
  <si>
    <t>FRES-PC-SD-iP17Air-WHT</t>
  </si>
  <si>
    <t>FRES-PC-SD-iP17Pro-BLK</t>
  </si>
  <si>
    <t>FRES-PC-SD-iP17Pro-CRM/GRN</t>
  </si>
  <si>
    <t>FRES-PC-SD-iP17Pro-CYA</t>
  </si>
  <si>
    <t>FRES-PC-SD-iP17Pro-GPNK</t>
  </si>
  <si>
    <t>FRES-PC-SD-iP17Pro-GRY</t>
  </si>
  <si>
    <t>FRES-PC-SD-iP17Pro-MB/GRN</t>
  </si>
  <si>
    <t>FRES-PC-SD-iP17Pro-PPY</t>
  </si>
  <si>
    <t>FRES-PC-SD-iP17Pro-PRP</t>
  </si>
  <si>
    <t>FRES-PC-SD-iP17Pro-WHT</t>
  </si>
  <si>
    <t>FRES-PC-SD-iP17Pro-YLW</t>
  </si>
  <si>
    <t>FRES-PC-SD-iP17ProMax-BLK</t>
  </si>
  <si>
    <t>FRES-PC-SD-iP17ProMax-CRM/GRN</t>
  </si>
  <si>
    <t>FRES-PC-SD-iP17ProMax-CYA</t>
  </si>
  <si>
    <t>FRES-PC-SD-iP17ProMax-GPNK</t>
  </si>
  <si>
    <t>FRES-PC-SD-iP17ProMax-GRY</t>
  </si>
  <si>
    <t>FRES-PC-SD-iP17ProMax-MB/GRN</t>
  </si>
  <si>
    <t>FRES-PC-SD-iP17ProMax-PPY</t>
  </si>
  <si>
    <t>FRES-PC-SD-iP17ProMax-PRP</t>
  </si>
  <si>
    <t>FRES-PC-SD-iP17ProMax-WHT</t>
  </si>
  <si>
    <t>FRES-PC-SD-iP17ProMax-YLW</t>
  </si>
  <si>
    <t>FRES-PC-SIL(MS)-</t>
  </si>
  <si>
    <t>FRES-PC-SIL-</t>
  </si>
  <si>
    <t>FRES-PC-SIMCLEAR-iP16ProMax</t>
  </si>
  <si>
    <t>FRES-PC-SIMCLEAR-iP17</t>
  </si>
  <si>
    <t>FRES-PC-SIMCLEAR-iP17Pro</t>
  </si>
  <si>
    <t>FRES-PC-SIMCLEAR-iP17ProMax</t>
  </si>
  <si>
    <t>FRES-PC-SL(MS)-i13/14-BLK</t>
  </si>
  <si>
    <t>FRES-PC-SL(MS)-i13/14-CYA</t>
  </si>
  <si>
    <t>FRES-PC-SL(MS)-i13/14-GRY</t>
  </si>
  <si>
    <t>FRES-PC-SL(MS)-i13/14-MB/GRN</t>
  </si>
  <si>
    <t>FRES-PC-SL(MS)-i13/14-PRP</t>
  </si>
  <si>
    <t>FRES-PC-SL(MS)-i13/14-WHT</t>
  </si>
  <si>
    <t>FRES-PC-SL(MS)-i13/14-YLW</t>
  </si>
  <si>
    <t>FRES-PC-SL(MS)-i13ProMax-BLK</t>
  </si>
  <si>
    <t>FRES-PC-SL(MS)-i13ProMax-CYA</t>
  </si>
  <si>
    <t>FRES-PC-SL(MS)-i13ProMax-GRY</t>
  </si>
  <si>
    <t>FRES-PC-SL(MS)-i13ProMax-MB/GRN</t>
  </si>
  <si>
    <t>FRES-PC-SL(MS)-i13ProMax-PRP</t>
  </si>
  <si>
    <t>FRES-PC-SL(MS)-i13ProMax-WHT</t>
  </si>
  <si>
    <t>FRES-PC-SL(MS)-i13ProMax-YLW</t>
  </si>
  <si>
    <t>FRES-PC-SL(MS)-i14Pro-BLK</t>
  </si>
  <si>
    <t>FRES-PC-SL(MS)-i14Pro-CYA</t>
  </si>
  <si>
    <t>FRES-PC-SL(MS)-i14Pro-GRY</t>
  </si>
  <si>
    <t>FRES-PC-SL(MS)-i14Pro-MB/GRN</t>
  </si>
  <si>
    <t>FRES-PC-SL(MS)-i14Pro-PRP</t>
  </si>
  <si>
    <t>FRES-PC-SL(MS)-i14Pro-WHT</t>
  </si>
  <si>
    <t>FRES-PC-SL(MS)-i14Pro-YLW</t>
  </si>
  <si>
    <t>FRES-PC-SL(MS)-i14ProMax-BLK</t>
  </si>
  <si>
    <t>FRES-PC-SL(MS)-i14ProMax-CYA</t>
  </si>
  <si>
    <t>FRES-PC-SL(MS)-i14ProMax-GRY</t>
  </si>
  <si>
    <t>FRES-PC-SL(MS)-i14ProMax-MB/GRN</t>
  </si>
  <si>
    <t>FRES-PC-SL(MS)-i14ProMax-PRP</t>
  </si>
  <si>
    <t>FRES-PC-SL(MS)-i14ProMax-WHT</t>
  </si>
  <si>
    <t>FRES-PC-SL(MS)-i14ProMax-YLW</t>
  </si>
  <si>
    <t>FRES-PC-SL(MS)-i15-BLK</t>
  </si>
  <si>
    <t>FRES-PC-SL(MS)-i15-CYA</t>
  </si>
  <si>
    <t>FRES-PC-SL(MS)-i15-GRY</t>
  </si>
  <si>
    <t>FRES-PC-SL(MS)-i15-PNK</t>
  </si>
  <si>
    <t>FRES-PC-SL(MS)-i15-PRP</t>
  </si>
  <si>
    <t>FRES-PC-SL(MS)-i15-WHT</t>
  </si>
  <si>
    <t>FRES-PC-SL(MS)-i15-YLW</t>
  </si>
  <si>
    <t>FRES-PC-SL(MS)-i15Pro-BLK</t>
  </si>
  <si>
    <t>FRES-PC-SL(MS)-i15Pro-CYA</t>
  </si>
  <si>
    <t>FRES-PC-SL(MS)-i15Pro-GRY</t>
  </si>
  <si>
    <t>FRES-PC-SL(MS)-i15Pro-MB/GRN</t>
  </si>
  <si>
    <t>FRES-PC-SL(MS)-i15Pro-PRP</t>
  </si>
  <si>
    <t>FRES-PC-SL(MS)-i15Pro-WHT</t>
  </si>
  <si>
    <t>FRES-PC-SL(MS)-i15Pro-YLW</t>
  </si>
  <si>
    <t>FRES-PC-SL(MS)-i15ProMax-BLK</t>
  </si>
  <si>
    <t>FRES-PC-SL(MS)-i15ProMax-CYA</t>
  </si>
  <si>
    <t>FRES-PC-SL(MS)-i15ProMax-GRY</t>
  </si>
  <si>
    <t>FRES-PC-SL(MS)-i15ProMax-MB/GRN</t>
  </si>
  <si>
    <t>FRES-PC-SL(MS)-i15ProMax-PRP</t>
  </si>
  <si>
    <t>FRES-PC-SL(MS)-i15ProMax-WHT</t>
  </si>
  <si>
    <t>FRES-PC-SL(MS)-i15ProMax-YLW</t>
  </si>
  <si>
    <t>FRES-PC-SL(MS)-i16-BLK</t>
  </si>
  <si>
    <t>FRES-PC-SL(MS)-i16-CYA</t>
  </si>
  <si>
    <t>FRES-PC-SL(MS)-i16-GRY</t>
  </si>
  <si>
    <t>FRES-PC-SL(MS)-i16-MB/GRN</t>
  </si>
  <si>
    <t>FRES-PC-SL(MS)-i16-PRP</t>
  </si>
  <si>
    <t>FRES-PC-SL(MS)-i16-WHT</t>
  </si>
  <si>
    <t>FRES-PC-SL(MS)-i16-YLW</t>
  </si>
  <si>
    <t>FRES-PC-SL(MS)-i16Plus-BLK</t>
  </si>
  <si>
    <t>FRES-PC-SL(MS)-i16Plus-CYA</t>
  </si>
  <si>
    <t>FRES-PC-SL(MS)-i16Plus-GRY</t>
  </si>
  <si>
    <t>FRES-PC-SL(MS)-i16Plus-MB/GRN</t>
  </si>
  <si>
    <t>FRES-PC-SL(MS)-i16Plus-PRP</t>
  </si>
  <si>
    <t>FRES-PC-SL(MS)-i16Plus-WHT</t>
  </si>
  <si>
    <t>FRES-PC-SL(MS)-i16Plus-YLW</t>
  </si>
  <si>
    <t>FRES-PC-SL(MS)-i16Pro-BLK</t>
  </si>
  <si>
    <t>FRES-PC-SL(MS)-i16Pro-CYA</t>
  </si>
  <si>
    <t>FRES-PC-SL(MS)-i16Pro-GRY</t>
  </si>
  <si>
    <t>FRES-PC-SL(MS)-i16Pro-MB/GRN</t>
  </si>
  <si>
    <t>FRES-PC-SL(MS)-i16Pro-PRP</t>
  </si>
  <si>
    <t>FRES-PC-SL(MS)-i16Pro-WHT</t>
  </si>
  <si>
    <t>FRES-PC-SL(MS)-i16Pro-YLW</t>
  </si>
  <si>
    <t>FRES-PC-SL(MS)-i16ProMax-BLK</t>
  </si>
  <si>
    <t>FRES-PC-SL(MS)-i16ProMax-CYA</t>
  </si>
  <si>
    <t>FRES-PC-SL(MS)-i16ProMax-GRY</t>
  </si>
  <si>
    <t>FRES-PC-SL(MS)-i16ProMax-MB/GRN</t>
  </si>
  <si>
    <t>FRES-PC-SL(MS)-i16ProMax-PRP</t>
  </si>
  <si>
    <t>FRES-PC-SL(MS)-i16ProMax-WHT</t>
  </si>
  <si>
    <t>FRES-PC-SL(MS)-i16ProMax-YLW</t>
  </si>
  <si>
    <t>FRES-PC-SL(MS)-iP16-GPNK</t>
  </si>
  <si>
    <t>FRES-PC-SL(MS)-iP16Pro-GPNK</t>
  </si>
  <si>
    <t>FRES-PC-SL(MS)-iP16ProMax-GPNK</t>
  </si>
  <si>
    <t>FRES-PC-SL(MS)-iP17-BLK</t>
  </si>
  <si>
    <t>FRES-PC-SL(MS)-iP17-CYA</t>
  </si>
  <si>
    <t>FRES-PC-SL(MS)-iP17-GRY</t>
  </si>
  <si>
    <t>FRES-PC-SL(MS)-iP17-MB/GRN</t>
  </si>
  <si>
    <t>FRES-PC-SL(MS)-iP17-PRP</t>
  </si>
  <si>
    <t>FRES-PC-SL(MS)-iP17-WHT</t>
  </si>
  <si>
    <t>FRES-PC-SL(MS)-iP17-YLW</t>
  </si>
  <si>
    <t>FRES-PC-SL(MS)-iP17Air-BLK</t>
  </si>
  <si>
    <t>FRES-PC-SL(MS)-iP17Air-CYA</t>
  </si>
  <si>
    <t>FRES-PC-SL(MS)-iP17Air-GRY</t>
  </si>
  <si>
    <t>FRES-PC-SL(MS)-iP17Air-MB/GRN</t>
  </si>
  <si>
    <t>FRES-PC-SL(MS)-iP17Air-PRP</t>
  </si>
  <si>
    <t>FRES-PC-SL(MS)-iP17Air-WHT</t>
  </si>
  <si>
    <t>FRES-PC-SL(MS)-iP17Pro-BLK</t>
  </si>
  <si>
    <t>FRES-PC-SL(MS)-iP17Pro-CYA</t>
  </si>
  <si>
    <t>FRES-PC-SL(MS)-iP17Pro-GPNK</t>
  </si>
  <si>
    <t>FRES-PC-SL(MS)-iP17Pro-GRY</t>
  </si>
  <si>
    <t>FRES-PC-SL(MS)-iP17Pro-PNK</t>
  </si>
  <si>
    <t>FRES-PC-SL(MS)-iP17Pro-PPY</t>
  </si>
  <si>
    <t>FRES-PC-SL(MS)-iP17Pro-PRP</t>
  </si>
  <si>
    <t>FRES-PC-SL(MS)-iP17Pro-WHT</t>
  </si>
  <si>
    <t>FRES-PC-SL(MS)-iP17Pro-YLW</t>
  </si>
  <si>
    <t>FRES-PC-SL(MS)-iP17ProMax-BLK</t>
  </si>
  <si>
    <t>FRES-PC-SL(MS)-iP17ProMax-CYA</t>
  </si>
  <si>
    <t>FRES-PC-SL(MS)-iP17ProMax-GPNK</t>
  </si>
  <si>
    <t>FRES-PC-SL(MS)-iP17ProMax-GRY</t>
  </si>
  <si>
    <t>FRES-PC-SL(MS)-iP17ProMax-MB/GRN</t>
  </si>
  <si>
    <t>FRES-PC-SL(MS)-iP17ProMax-PPY</t>
  </si>
  <si>
    <t>FRES-PC-SL(MS)-iP17ProMax-PRP</t>
  </si>
  <si>
    <t>FRES-PC-SL(MS)-iP17ProMax-WHT</t>
  </si>
  <si>
    <t>FRES-PC-SL(MS)-iP17ProMax-YLW</t>
  </si>
  <si>
    <t>FRES-PC-SL-i13/14-BLK</t>
  </si>
  <si>
    <t>FRES-PC-SL-i13/14-CRM/GRN</t>
  </si>
  <si>
    <t>FRES-PC-SL-i13/14-CYA</t>
  </si>
  <si>
    <t>FRES-PC-SL-i13/14-GRY</t>
  </si>
  <si>
    <t>FRES-PC-SL-i13/14-MB/GRN</t>
  </si>
  <si>
    <t>FRES-PC-SL-i13/14-PRP</t>
  </si>
  <si>
    <t>FRES-PC-SL-i13/14-WHT</t>
  </si>
  <si>
    <t>FRES-PC-SL-i13/14-YLW</t>
  </si>
  <si>
    <t>FRES-PC-SL-i13ProMax-BLK</t>
  </si>
  <si>
    <t>FRES-PC-SL-i13ProMax-CRM/GRN</t>
  </si>
  <si>
    <t>FRES-PC-SL-i13ProMax-CYA</t>
  </si>
  <si>
    <t>FRES-PC-SL-i13ProMax-GRY</t>
  </si>
  <si>
    <t>FRES-PC-SL-i13ProMax-MB/GRN</t>
  </si>
  <si>
    <t>FRES-PC-SL-i13ProMax-PRP</t>
  </si>
  <si>
    <t>FRES-PC-SL-i13ProMax-WHT</t>
  </si>
  <si>
    <t>FRES-PC-SL-i13ProMax-YLW</t>
  </si>
  <si>
    <t>FRES-PC-SL-i14Pro-BLK</t>
  </si>
  <si>
    <t>FRES-PC-SL-i14Pro-CRM/GRN</t>
  </si>
  <si>
    <t>FRES-PC-SL-i14Pro-CYA</t>
  </si>
  <si>
    <t>FRES-PC-SL-i14Pro-GRY</t>
  </si>
  <si>
    <t>FRES-PC-SL-i14Pro-MB/GRN</t>
  </si>
  <si>
    <t>FRES-PC-SL-i14Pro-PRP</t>
  </si>
  <si>
    <t>FRES-PC-SL-i14Pro-WHT</t>
  </si>
  <si>
    <t>FRES-PC-SL-i14Pro-YLW</t>
  </si>
  <si>
    <t>FRES-PC-SL-i14ProMax-BLK</t>
  </si>
  <si>
    <t>FRES-PC-SL-i14ProMax-CRM/GRN</t>
  </si>
  <si>
    <t>FRES-PC-SL-i14ProMax-CYA</t>
  </si>
  <si>
    <t>FRES-PC-SL-i14ProMax-GRY</t>
  </si>
  <si>
    <t>FRES-PC-SL-i14ProMax-MB/GRN</t>
  </si>
  <si>
    <t>FRES-PC-SL-i14ProMax-PRP</t>
  </si>
  <si>
    <t>FRES-PC-SL-i14ProMax-WHT</t>
  </si>
  <si>
    <t>FRES-PC-SL-i14ProMax-YLW</t>
  </si>
  <si>
    <t>FRES-PC-SL-i15-BLK</t>
  </si>
  <si>
    <t>FRES-PC-SL-i15-CRM/GRN</t>
  </si>
  <si>
    <t>FRES-PC-SL-i15-CYA</t>
  </si>
  <si>
    <t>FRES-PC-SL-i15-GRY</t>
  </si>
  <si>
    <t>FRES-PC-SL-i15-MB/GRN</t>
  </si>
  <si>
    <t>FRES-PC-SL-i15-PRP</t>
  </si>
  <si>
    <t>FRES-PC-SL-i15-WHT</t>
  </si>
  <si>
    <t>FRES-PC-SL-i15-YLW</t>
  </si>
  <si>
    <t>FRES-PC-SL-i15Pro-BLK</t>
  </si>
  <si>
    <t>FRES-PC-SL-i15Pro-CRM/GRN</t>
  </si>
  <si>
    <t>FRES-PC-SL-i15Pro-CYA</t>
  </si>
  <si>
    <t>FRES-PC-SL-i15Pro-GRY</t>
  </si>
  <si>
    <t>FRES-PC-SL-i15Pro-MB/GRN</t>
  </si>
  <si>
    <t>FRES-PC-SL-i15Pro-PRP</t>
  </si>
  <si>
    <t>FRES-PC-SL-i15Pro-WHT</t>
  </si>
  <si>
    <t>FRES-PC-SL-i15Pro-YLW</t>
  </si>
  <si>
    <t>FRES-PC-SL-i15ProMax-BLK</t>
  </si>
  <si>
    <t>FRES-PC-SL-i15ProMax-CRM/GRN</t>
  </si>
  <si>
    <t>FRES-PC-SL-i15ProMax-CYA</t>
  </si>
  <si>
    <t>FRES-PC-SL-i15ProMax-GRY</t>
  </si>
  <si>
    <t>FRES-PC-SL-i15ProMax-MB/GRN</t>
  </si>
  <si>
    <t>FRES-PC-SL-i15ProMax-PRP</t>
  </si>
  <si>
    <t>FRES-PC-SL-i15ProMax-WHT</t>
  </si>
  <si>
    <t>FRES-PC-SL-i15ProMax-YLW</t>
  </si>
  <si>
    <t>FRES-PC-SL-i16-BLK</t>
  </si>
  <si>
    <t>FRES-PC-SL-i16-CRM/GRN</t>
  </si>
  <si>
    <t>FRES-PC-SL-i16-CYA</t>
  </si>
  <si>
    <t>FRES-PC-SL-i16-GRY</t>
  </si>
  <si>
    <t>FRES-PC-SL-i16-MB/GRN</t>
  </si>
  <si>
    <t>FRES-PC-SL-i16-PRP</t>
  </si>
  <si>
    <t>FRES-PC-SL-i16-WHT</t>
  </si>
  <si>
    <t>FRES-PC-SL-i16-YLW</t>
  </si>
  <si>
    <t>FRES-PC-SL-i16Plus-BLK</t>
  </si>
  <si>
    <t>FRES-PC-SL-i16Plus-CRM/GRN</t>
  </si>
  <si>
    <t>FRES-PC-SL-i16Plus-CYA</t>
  </si>
  <si>
    <t>FRES-PC-SL-i16Plus-GRY</t>
  </si>
  <si>
    <t>FRES-PC-SL-i16Plus-MB/GRN</t>
  </si>
  <si>
    <t>FRES-PC-SL-i16Plus-PRP</t>
  </si>
  <si>
    <t>FRES-PC-SL-i16Plus-WHT</t>
  </si>
  <si>
    <t>FRES-PC-SL-i16Plus-YLW</t>
  </si>
  <si>
    <t>FRES-PC-SL-i16Pro-BLK</t>
  </si>
  <si>
    <t>FRES-PC-SL-i16Pro-CRM/GRN</t>
  </si>
  <si>
    <t>FRES-PC-SL-i16Pro-CYA</t>
  </si>
  <si>
    <t>FRES-PC-SL-i16Pro-GRY</t>
  </si>
  <si>
    <t>FRES-PC-SL-i16Pro-MB/GRN</t>
  </si>
  <si>
    <t>FRES-PC-SL-i16Pro-PRP</t>
  </si>
  <si>
    <t>FRES-PC-SL-i16Pro-WHT</t>
  </si>
  <si>
    <t>FRES-PC-SL-i16Pro-YLW</t>
  </si>
  <si>
    <t>FRES-PC-SL-i16ProMax-BLK</t>
  </si>
  <si>
    <t>FRES-PC-SL-i16ProMax-CRM/GRN</t>
  </si>
  <si>
    <t>FRES-PC-SL-i16ProMax-CYA</t>
  </si>
  <si>
    <t>FRES-PC-SL-i16ProMax-GRY</t>
  </si>
  <si>
    <t>FRES-PC-SL-i16ProMax-MB/GRN</t>
  </si>
  <si>
    <t>FRES-PC-SL-i16ProMax-PRP</t>
  </si>
  <si>
    <t>FRES-PC-SL-i16ProMax-WHT</t>
  </si>
  <si>
    <t>FRES-PC-SL-i16ProMax-YLW</t>
  </si>
  <si>
    <t>FRES-PC-SL-iP16-GPNK</t>
  </si>
  <si>
    <t>FRES-PC-SL-iP16Pro-GPNK</t>
  </si>
  <si>
    <t>FRES-PC-SL-iP16ProMax-GPNK</t>
  </si>
  <si>
    <t>FRES-PC-SL-iP17-BLK</t>
  </si>
  <si>
    <t>FRES-PC-SL-iP17-CRM/GRN</t>
  </si>
  <si>
    <t>FRES-PC-SL-iP17-CYA</t>
  </si>
  <si>
    <t>FRES-PC-SL-iP17-GRY</t>
  </si>
  <si>
    <t>FRES-PC-SL-iP17-MB/GRN</t>
  </si>
  <si>
    <t>FRES-PC-SL-iP17-PRP</t>
  </si>
  <si>
    <t>FRES-PC-SL-iP17-WHT</t>
  </si>
  <si>
    <t>FRES-PC-SL-iP17-YLW</t>
  </si>
  <si>
    <t>FRES-PC-SL-iP17Air-BLK</t>
  </si>
  <si>
    <t>FRES-PC-SL-iP17Air-CYA</t>
  </si>
  <si>
    <t>FRES-PC-SL-iP17Air-GRY</t>
  </si>
  <si>
    <t>FRES-PC-SL-iP17Air-MB/GRN</t>
  </si>
  <si>
    <t>FRES-PC-SL-iP17Air-PRP</t>
  </si>
  <si>
    <t>FRES-PC-SL-iP17Air-WHT</t>
  </si>
  <si>
    <t>FRES-PC-SL-iP17Pro-BLK</t>
  </si>
  <si>
    <t>FRES-PC-SL-iP17Pro-CRM/GRN</t>
  </si>
  <si>
    <t>FRES-PC-SL-iP17Pro-CYA</t>
  </si>
  <si>
    <t>FRES-PC-SL-iP17Pro-GPNK</t>
  </si>
  <si>
    <t>FRES-PC-SL-iP17Pro-GRY</t>
  </si>
  <si>
    <t>FRES-PC-SL-iP17Pro-MB/GRN</t>
  </si>
  <si>
    <t>FRES-PC-SL-iP17Pro-PPY</t>
  </si>
  <si>
    <t>FRES-PC-SL-iP17Pro-PRP</t>
  </si>
  <si>
    <t>FRES-PC-SL-iP17Pro-WHT</t>
  </si>
  <si>
    <t>FRES-PC-SL-iP17Pro-YLW</t>
  </si>
  <si>
    <t>FRES-PC-SL-iP17ProMax-BLK</t>
  </si>
  <si>
    <t>FRES-PC-SL-iP17ProMax-CRM/GRN</t>
  </si>
  <si>
    <t>FRES-PC-SL-iP17ProMax-CYA</t>
  </si>
  <si>
    <t>FRES-PC-SL-iP17ProMax-GPNK</t>
  </si>
  <si>
    <t>FRES-PC-SL-iP17ProMax-GRY</t>
  </si>
  <si>
    <t>FRES-PC-SL-iP17ProMax-MB/GRN</t>
  </si>
  <si>
    <t>FRES-PC-SL-iP17ProMax-PPY</t>
  </si>
  <si>
    <t>FRES-PC-SL-iP17ProMax-PRP</t>
  </si>
  <si>
    <t>FRES-PC-SL-iP17ProMax-WHT</t>
  </si>
  <si>
    <t>FRES-PC-SL-iP17ProMax-YLW</t>
  </si>
  <si>
    <t>FRES-PC-SR-XM15-BLK</t>
  </si>
  <si>
    <t>FRES-PC-SR-XM15-GRY</t>
  </si>
  <si>
    <t>FRES-PC-SR-XM15-WHT</t>
  </si>
  <si>
    <t>FRES-PC-SR-XM15-YLW</t>
  </si>
  <si>
    <t>FRES-PC-SR-XM15Ultra-BLK</t>
  </si>
  <si>
    <t>FRES-PC-SR-XM15Ultra-GRY</t>
  </si>
  <si>
    <t>FRES-PC-SR-XM15Ultra-WHT</t>
  </si>
  <si>
    <t>FRES-PC-SR-XM15Ultra-YLW</t>
  </si>
  <si>
    <t>FRES-PC-SR-i13/14-BLK</t>
  </si>
  <si>
    <t>FRES-PC-SR-i13/14-GRY</t>
  </si>
  <si>
    <t>FRES-PC-SR-i13/14-WHT</t>
  </si>
  <si>
    <t>FRES-PC-SR-i13/14-YLW</t>
  </si>
  <si>
    <t>FRES-PC-SR-i14Pro-BLK</t>
  </si>
  <si>
    <t>FRES-PC-SR-i14Pro-GRY</t>
  </si>
  <si>
    <t>FRES-PC-SR-i14Pro-WHT</t>
  </si>
  <si>
    <t>FRES-PC-SR-i14Pro-YLW</t>
  </si>
  <si>
    <t>FRES-PC-SR-i14ProMax-BLK</t>
  </si>
  <si>
    <t>FRES-PC-SR-i14ProMax-GRY</t>
  </si>
  <si>
    <t>FRES-PC-SR-i14ProMax-WHT</t>
  </si>
  <si>
    <t>FRES-PC-SR-i14ProMax-YLW</t>
  </si>
  <si>
    <t>FRES-PC-SR-i15-BLK</t>
  </si>
  <si>
    <t>FRES-PC-SR-i15-GRY</t>
  </si>
  <si>
    <t>FRES-PC-SR-i15-WHT</t>
  </si>
  <si>
    <t>FRES-PC-SR-i15-YLW</t>
  </si>
  <si>
    <t>FRES-PC-SR-i15Pro-BLK</t>
  </si>
  <si>
    <t>FRES-PC-SR-i15Pro-GRY</t>
  </si>
  <si>
    <t>FRES-PC-SR-i15Pro-WHT</t>
  </si>
  <si>
    <t>FRES-PC-SR-i15Pro-YLW</t>
  </si>
  <si>
    <t>FRES-PC-SR-i15ProMax-BLK</t>
  </si>
  <si>
    <t>FRES-PC-SR-i15ProMax-GRY</t>
  </si>
  <si>
    <t>FRES-PC-SR-i15ProMax-WHT</t>
  </si>
  <si>
    <t>FRES-PC-SR-i15ProMax-YLW</t>
  </si>
  <si>
    <t>FRES-PC-SR-i16-BLK</t>
  </si>
  <si>
    <t>FRES-PC-SR-i16-GRY</t>
  </si>
  <si>
    <t>FRES-PC-SR-i16-WHT</t>
  </si>
  <si>
    <t>FRES-PC-SR-i16-YLW</t>
  </si>
  <si>
    <t>FRES-PC-SR-i16Pro-BLK</t>
  </si>
  <si>
    <t>FRES-PC-SR-i16Pro-GRY</t>
  </si>
  <si>
    <t>FRES-PC-SR-i16Pro-WHT</t>
  </si>
  <si>
    <t>FRES-PC-SR-i16Pro-YLW</t>
  </si>
  <si>
    <t>FRES-PC-SR-i16ProMax-BLK</t>
  </si>
  <si>
    <t>FRES-PC-SR-i16ProMax-GRY</t>
  </si>
  <si>
    <t>FRES-PC-SR-i16ProMax-WHT</t>
  </si>
  <si>
    <t>FRES-PC-SR-i16ProMax-YLW</t>
  </si>
  <si>
    <t>FRES-PC-SR-i17-BLK</t>
  </si>
  <si>
    <t>FRES-PC-SR-i17-GRY</t>
  </si>
  <si>
    <t>FRES-PC-SR-i17Pro-BLK</t>
  </si>
  <si>
    <t>FRES-PC-SR-i17Pro-GRY</t>
  </si>
  <si>
    <t>FRES-PC-SR-i17Pro-ORG</t>
  </si>
  <si>
    <t>FRES-PC-SR-i17ProMax-BLK</t>
  </si>
  <si>
    <t>FRES-PC-SR-i17ProMax-GRY</t>
  </si>
  <si>
    <t>FRES-PC-SR-i17ProMax-ORG</t>
  </si>
  <si>
    <t>FRES-PC-YQ(G)-iP114Pro-CAMP</t>
  </si>
  <si>
    <t>FRES-PC-YQ(G)-iP114Pro-SKY</t>
  </si>
  <si>
    <t>FRES-PC-YQ(G)-iP13/14-CAMP</t>
  </si>
  <si>
    <t>FRES-PC-YQ(G)-iP13/14-SKY</t>
  </si>
  <si>
    <t>FRES-PC-YQ(G)-iP14ProMax-CAMP</t>
  </si>
  <si>
    <t>FRES-PC-YQ(G)-iP14ProMax-SKY</t>
  </si>
  <si>
    <t>FRES-PC-YQ(G)-iP15-CAMP</t>
  </si>
  <si>
    <t>FRES-PC-YQ(G)-iP15-SKY</t>
  </si>
  <si>
    <t>FRES-PC-YQ(G)-iP15Pro-CAMP</t>
  </si>
  <si>
    <t>FRES-PC-YQ(G)-iP15Pro-SKY</t>
  </si>
  <si>
    <t>FRES-PC-YQ(G)-iP15ProMax-CAMP</t>
  </si>
  <si>
    <t>FRES-PC-YQ(G)-iP15ProMax-SKY</t>
  </si>
  <si>
    <t>FRES-PC-YQ(G)-iP16-CAMP</t>
  </si>
  <si>
    <t>FRES-PC-YQ(G)-iP16-SKY</t>
  </si>
  <si>
    <t>FRES-PC-YQ(G)-iP16Pro-CAMP</t>
  </si>
  <si>
    <t>FRES-PC-YQ(G)-iP16Pro-SKY</t>
  </si>
  <si>
    <t>FRES-PC-YQ(G)-iP16ProMax-CAMP</t>
  </si>
  <si>
    <t>FRES-PC-YQ(G)-iP16ProMax-SKY</t>
  </si>
  <si>
    <t>FRES-PC-YQ(G)-iP17-CAMP</t>
  </si>
  <si>
    <t>FRES-PC-YQ(G)-iP17-SKY</t>
  </si>
  <si>
    <t>FRES-PC-YQ(G)-iP17Pro-CAMP</t>
  </si>
  <si>
    <t>FRES-PC-YQ(G)-iP17Pro-SKY</t>
  </si>
  <si>
    <t>FRES-PC-YQ(G)-iP17ProMax-CAMP</t>
  </si>
  <si>
    <t>FRES-PC-YQ(G)-iP17ProMax-SKY</t>
  </si>
  <si>
    <t>FRES-PC-YQ(PC)-iP13/14-DDCaby</t>
  </si>
  <si>
    <t>FRES-PC-YQ(PC)-iP14Pro-DDCaby</t>
  </si>
  <si>
    <t>FRES-PC-YQ(PC)-iP14ProMax-DDCaby</t>
  </si>
  <si>
    <t>FRES-PC-YQ(PC)-iP15-DDCaby</t>
  </si>
  <si>
    <t>FRES-PC-YQ(PC)-iP15Pro-DDCaby</t>
  </si>
  <si>
    <t>FRES-PC-YQ(PC)-iP15ProMax-DDCaby</t>
  </si>
  <si>
    <t>FRES-PC-YQ(PC)-iP16-DDCaby</t>
  </si>
  <si>
    <t>FRES-PC-YQ(PC)-iP16Pro-DDCaby</t>
  </si>
  <si>
    <t>FRES-PC-YQ(PC)-iP16ProMax-DDCaby</t>
  </si>
  <si>
    <t>FRES-PC-YQ(PC)-iP17-DDCaby</t>
  </si>
  <si>
    <t>FRES-PC-YQ(PC)-iP17Pro-DDCaby</t>
  </si>
  <si>
    <t>FRES-PC-YQ(PC)-iP17ProMax-DDCaby</t>
  </si>
  <si>
    <t>FRES-PC-iPK360-iP15-BLK</t>
  </si>
  <si>
    <t>FRES-PC-iPK360-iP15-GRN</t>
  </si>
  <si>
    <t>FRES-PC-iPK360-iP15-PNK</t>
  </si>
  <si>
    <t>FRES-PC-iPK360-iP15-WHT</t>
  </si>
  <si>
    <t>FRES-PC-iPK360-iP15Pro-BLK</t>
  </si>
  <si>
    <t>FRES-PC-iPK360-iP15Pro-GRN</t>
  </si>
  <si>
    <t>FRES-PC-iPK360-iP15Pro-PNK</t>
  </si>
  <si>
    <t>FRES-PC-iPK360-iP15Pro-WHT</t>
  </si>
  <si>
    <t>FRES-PC-iPK360-iP15ProMax-BLK</t>
  </si>
  <si>
    <t>FRES-PC-iPK360-iP15ProMax-GRN</t>
  </si>
  <si>
    <t>FRES-PC-iPK360-iP15ProMax-PNK</t>
  </si>
  <si>
    <t>FRES-PC-iPK360-iP15ProMax-WHT</t>
  </si>
  <si>
    <t>FRES-PC-iPK360-iP16-BLK</t>
  </si>
  <si>
    <t>FRES-PC-iPK360-iP16-GRN</t>
  </si>
  <si>
    <t>FRES-PC-iPK360-iP16-PNK</t>
  </si>
  <si>
    <t>FRES-PC-iPK360-iP16-WHT</t>
  </si>
  <si>
    <t>FRES-PC-iPK360-iP16Pro-BLK</t>
  </si>
  <si>
    <t>FRES-PC-iPK360-iP16Pro-GRN</t>
  </si>
  <si>
    <t>FRES-PC-iPK360-iP16Pro-PNK</t>
  </si>
  <si>
    <t>FRES-PC-iPK360-iP16Pro-WHT</t>
  </si>
  <si>
    <t>FRES-PC-iPK360-iP16ProMax-BLK</t>
  </si>
  <si>
    <t>FRES-PC-iPK360-iP16ProMax-GRN</t>
  </si>
  <si>
    <t>FRES-PC-iPK360-iP16ProMax-PNK</t>
  </si>
  <si>
    <t>FRES-PC-iPK360-iP16ProMax-WHT</t>
  </si>
  <si>
    <t>FRES-PC-iPK360-iP17-BLK</t>
  </si>
  <si>
    <t>FRES-PC-iPK360-iP17-GRN</t>
  </si>
  <si>
    <t>FRES-PC-iPK360-iP17-PNK</t>
  </si>
  <si>
    <t>FRES-PC-iPK360-iP17-WHT</t>
  </si>
  <si>
    <t>FRES-PC-iPK360-iP17Pro-BLK</t>
  </si>
  <si>
    <t>FRES-PC-iPK360-iP17Pro-GRN</t>
  </si>
  <si>
    <t>FRES-PC-iPK360-iP17Pro-ORG</t>
  </si>
  <si>
    <t>FRES-PC-iPK360-iP17Pro-PNK</t>
  </si>
  <si>
    <t>FRES-PC-iPK360-iP17Pro-WHT</t>
  </si>
  <si>
    <t>FRES-PC-iPK360-iP17ProMax-GRN</t>
  </si>
  <si>
    <t>FRES-PC-iPK360-iP17ProMax-ORG</t>
  </si>
  <si>
    <t>FRES-PC-iPK360-iP17ProMax-PNK</t>
  </si>
  <si>
    <t>FRES-PC-iPK360-iP17ProMax-WHT</t>
  </si>
  <si>
    <t>FRES-POKECARD-TP</t>
  </si>
  <si>
    <t>FRES-RING-MGSTAND-BLK</t>
  </si>
  <si>
    <t>FRES-RING-MGSTAND-GRY</t>
  </si>
  <si>
    <t>FRES-RING-MGSTAND-ORG</t>
  </si>
  <si>
    <t>FRES-RING-MGSTAND-PRP</t>
  </si>
  <si>
    <t>FRES-RING-MGSTAND-WHT</t>
  </si>
  <si>
    <t>FRES-RING-PPSTAND-BLK</t>
  </si>
  <si>
    <t>FRES-RING-PPSTAND-WHT</t>
  </si>
  <si>
    <t>FRES-RING-R005-BLK</t>
  </si>
  <si>
    <t>FRES-RING-R005-GRY</t>
  </si>
  <si>
    <t>FRES-RING-R005-ORG</t>
  </si>
  <si>
    <t>FRES-RING-R005-PRP</t>
  </si>
  <si>
    <t>FRES-RING-R005-WHT</t>
  </si>
  <si>
    <t>FRES-RING-R20-BLK</t>
  </si>
  <si>
    <t>FRES-RING-R20-GRY</t>
  </si>
  <si>
    <t>FRES-RING-R20-ORG</t>
  </si>
  <si>
    <t>FRES-RING-R20-PRP</t>
  </si>
  <si>
    <t>FRES-RING-R20-WHT</t>
  </si>
  <si>
    <t>FRES-RING-R30-BLK</t>
  </si>
  <si>
    <t>FRES-RING-R30-GRY</t>
  </si>
  <si>
    <t>FRES-RING-R30-ORG</t>
  </si>
  <si>
    <t>FRES-RING-R30-PRP</t>
  </si>
  <si>
    <t>FRES-RING-R30-WHT</t>
  </si>
  <si>
    <t>FT-STP-ALP1-38/40/41-BLK</t>
  </si>
  <si>
    <t>FT-STP-ALP1-38/40/41-BLU</t>
  </si>
  <si>
    <t>FT-STP-ALP1-38/40/41-BRI/BLU</t>
  </si>
  <si>
    <t>FT-STP-ALP1-38/40/41-GRN</t>
  </si>
  <si>
    <t>FT-STP-ALP1-38/40/41-OLV</t>
  </si>
  <si>
    <t>FT-STP-ALP1-38/40/41-ORG</t>
  </si>
  <si>
    <t>FT-STP-ALP1-38/40/41-RED</t>
  </si>
  <si>
    <t>FT-STP-ALP1-38/40/41-WHT</t>
  </si>
  <si>
    <t>FT-STP-ALP1-42/44/45/49-BLU</t>
  </si>
  <si>
    <t>FT-STP-ALP1-42/44/45/49-BRI/BLU</t>
  </si>
  <si>
    <t>FT-STP-ALP1-42/44/45/49-GRN</t>
  </si>
  <si>
    <t>FT-STP-ALP1-42/44/45/49-OLV</t>
  </si>
  <si>
    <t>FT-STP-ALP1-42/44/45/49-ORG</t>
  </si>
  <si>
    <t>FT-STP-ALP1-42/44/45/49-RED</t>
  </si>
  <si>
    <t>FT-STP-ALP1-42/44/45/49-WHT</t>
  </si>
  <si>
    <t>FT-STP-PG14-38/40/41-ALS/BLU</t>
  </si>
  <si>
    <t>FT-STP-PG14-38/40/41-CLR/STP</t>
  </si>
  <si>
    <t>FT-STP-PG14-38/40/41-CRM</t>
  </si>
  <si>
    <t>FT-STP-PG14-38/40/41-DEP/NAV</t>
  </si>
  <si>
    <t>FT-STP-PG14-38/40/41-MNB/BLK</t>
  </si>
  <si>
    <t>FT-STP-PG14-38/40/41-PNG</t>
  </si>
  <si>
    <t>FT-STP-PG14-38/40/41-PPINK</t>
  </si>
  <si>
    <t>FT-STP-PG14-38/40/41-RNB</t>
  </si>
  <si>
    <t>FT-STP-PG14-38/40/41-SUN</t>
  </si>
  <si>
    <t>FT-STP-PG14-38/40/41-TTINT</t>
  </si>
  <si>
    <t>FT-STP-PG14-42/44/45/49-ALS/BLU</t>
  </si>
  <si>
    <t>FT-STP-PG14-42/44/45/49-CLR/STP</t>
  </si>
  <si>
    <t>FT-STP-PG14-42/44/45/49-CRM</t>
  </si>
  <si>
    <t>FT-STP-PG14-42/44/45/49-DEP/NAV</t>
  </si>
  <si>
    <t>FT-STP-PG14-42/44/45/49-MNB/BLK</t>
  </si>
  <si>
    <t>FT-STP-PG14-42/44/45/49-PNG</t>
  </si>
  <si>
    <t>FT-STP-PG14-42/44/45/49-PPINK</t>
  </si>
  <si>
    <t>FT-STP-PG14-42/44/45/49-RNB</t>
  </si>
  <si>
    <t>FT-STP-PG14-42/44/45/49-SUN</t>
  </si>
  <si>
    <t>FT-STP-PG14-42/44/45/49-TTINT</t>
  </si>
  <si>
    <t>FT-STP-YJNL-38/40/41-GRN/BLK</t>
  </si>
  <si>
    <t>FT-STP-YJNL-38/40/41-GRN/GRY</t>
  </si>
  <si>
    <t>FT-STP-YJNL-38/40/41-ORG/BEI</t>
  </si>
  <si>
    <t>FT-STP-YJNL-42/44/45/49-GRN/BLK</t>
  </si>
  <si>
    <t>FT-STP-YJNL-42/44/45/49-GRN/GRY</t>
  </si>
  <si>
    <t>FT-STP-YJNL-42/44/45/49-ORG/BEI</t>
  </si>
  <si>
    <t>FT-WAC-MBGEN1-40mm-BLK</t>
  </si>
  <si>
    <t>FT-WAC-MBGEN1-40mm-CLR</t>
  </si>
  <si>
    <t>FT-WAC-MBGEN1-40mm-DRK/BLU</t>
  </si>
  <si>
    <t>FT-WAC-MBGEN1-40mm-ORI/GRY</t>
  </si>
  <si>
    <t>FT-WAC-MBGEN1-40mm-STA</t>
  </si>
  <si>
    <t>FT-WAC-MBGEN1-41mm-BLK</t>
  </si>
  <si>
    <t>FT-WAC-MBGEN1-41mm-CLR</t>
  </si>
  <si>
    <t>FT-WAC-MBGEN1-41mm-DRK/BLU</t>
  </si>
  <si>
    <t>FT-WAC-MBGEN1-41mm-ORI/GRY</t>
  </si>
  <si>
    <t>FT-WAC-MBGEN1-41mm-STA</t>
  </si>
  <si>
    <t>FT-WAC-MBGEN1-44mm-BLK</t>
  </si>
  <si>
    <t>FT-WAC-MBGEN1-44mm-CLR</t>
  </si>
  <si>
    <t>FT-WAC-MBGEN1-44mm-DRK/BLU</t>
  </si>
  <si>
    <t>FT-WAC-MBGEN1-44mm-ORI/GRY</t>
  </si>
  <si>
    <t>FT-WAC-MBGEN1-44mm-STA</t>
  </si>
  <si>
    <t>FT-WAC-MBGEN1-45mm-BLK</t>
  </si>
  <si>
    <t>FT-WAC-MBGEN1-45mm-CLR</t>
  </si>
  <si>
    <t>FT-WAC-MBGEN1-45mm-DRK/BLU</t>
  </si>
  <si>
    <t>FT-WAC-MBGEN1-45mm-ORI/GRY</t>
  </si>
  <si>
    <t>FT-WAC-MBGEN1-45mm-STA</t>
  </si>
  <si>
    <t>FT-WAC-MBGEN2-44mm-BLK</t>
  </si>
  <si>
    <t>FT-WAC-MBGEN2-44mm-ORI/BLK</t>
  </si>
  <si>
    <t>FT-WAC-MBGEN2-44mm-SLV</t>
  </si>
  <si>
    <t>FT-WAC-MBGEN2-44mm-STA</t>
  </si>
  <si>
    <t>FT-WAC-MBGEN2-44mm-TTN</t>
  </si>
  <si>
    <t>FT-WAC-MBGEN2-45mm-BLK</t>
  </si>
  <si>
    <t>FT-WAC-MBGEN2-45mm-ORI/BLK</t>
  </si>
  <si>
    <t>FT-WAC-MBGEN2-45mm-SLV</t>
  </si>
  <si>
    <t>FT-WAC-MBGEN2-45mm-STA</t>
  </si>
  <si>
    <t>FT-WAC-MBGEN2-45mm-TTN</t>
  </si>
  <si>
    <t>FWY-RING-LOVE-BLK</t>
  </si>
  <si>
    <t>FWY-RING-LOVE-BLU</t>
  </si>
  <si>
    <t>FWY-RING-LOVE-ELP/WHT</t>
  </si>
  <si>
    <t>FWY-RING-LOVE-LIG/PRP</t>
  </si>
  <si>
    <t>FWY-RING-LOVE-PNK</t>
  </si>
  <si>
    <t>FWY-RING-LOVE-PRP</t>
  </si>
  <si>
    <t>FWY-RING-LOVE-WHT</t>
  </si>
  <si>
    <t>FWY-RING-LOVE-YLW</t>
  </si>
  <si>
    <t>FWY-RING-ROUND-BLK</t>
  </si>
  <si>
    <t>FWY-RING-ROUND-LIG/PRP</t>
  </si>
  <si>
    <t>FWY-RING-ROUND-MNT</t>
  </si>
  <si>
    <t>FWY-RING-ROUND-PNK</t>
  </si>
  <si>
    <t>FWY-RING-ROUND-WHT</t>
  </si>
  <si>
    <t>FWY-RING-ROUND-YLW</t>
  </si>
  <si>
    <t>GB-PC-QJ(MS)-Honor200-MAT/BLK</t>
  </si>
  <si>
    <t>GB-PC-QJ(MS)-Honor200Pro-MAT/BLK</t>
  </si>
  <si>
    <t>GB-PC-QJ(MS)-Magic6Pro-MAT/BLK</t>
  </si>
  <si>
    <t>GB-PC-QJ(MS)-Magic7Pro-MAT/BLK</t>
  </si>
  <si>
    <t>GB-PC-QJ(MS)-Pixel9A-MAT/BLK</t>
  </si>
  <si>
    <t>GB-PC-QJ(MS)-Pixel9Pro-MAT/BLK</t>
  </si>
  <si>
    <t>GB-PC-QJ(MS)-Pixel9ProXL-MAT/BLK</t>
  </si>
  <si>
    <t>GB-PC-QJ(MS)-PocoF7Pro-MAT/BLK</t>
  </si>
  <si>
    <t>GB-PC-QJ(MS)-PocoF7Ultra-MAT/BLK</t>
  </si>
  <si>
    <t>GB-PC-QJ(MS)-RENO13-MAT/BLK</t>
  </si>
  <si>
    <t>GB-PC-QJ(MS)-RENO13F(4G/5G)-MAT/BLK</t>
  </si>
  <si>
    <t>GB-PC-QJ(MS)-RENO13PRO-MAT/BLK</t>
  </si>
  <si>
    <t>GB-PC-QJ(MS)-Reno12F-MAT/BLK</t>
  </si>
  <si>
    <t>GB-PC-QJ(MS)-S/A15(4G/5G)-MAT/BLK</t>
  </si>
  <si>
    <t>GB-PC-QJ(MS)-S/A16-MAT/BLK</t>
  </si>
  <si>
    <t>GB-PC-QJ(MS)-S/A35(5G)-MAT/BLK</t>
  </si>
  <si>
    <t>GB-PC-QJ(MS)-S/A36(5G)-MAT/BLK</t>
  </si>
  <si>
    <t>GB-PC-QJ(MS)-S/A55(5G)-MAT/BLK</t>
  </si>
  <si>
    <t>GB-PC-QJ(MS)-S/A56(5G)-MAT/BLK</t>
  </si>
  <si>
    <t>GB-PC-QJ(MS)-V30/PRO-MAT/BLK</t>
  </si>
  <si>
    <t>GB-PC-QJ(MS)-V40/Pro-MAT/BLK</t>
  </si>
  <si>
    <t>GB-PC-QJ(MS)-X100-MAT/BLK</t>
  </si>
  <si>
    <t>GB-PC-QJ(MS)-X100Pro-MAT/BLK</t>
  </si>
  <si>
    <t>GB-PC-QJ(MS)-X200-MAT/BLK</t>
  </si>
  <si>
    <t>GB-PC-QJ(MS)-X200Pro-MAT/BLK</t>
  </si>
  <si>
    <t>GB-PC-QJ-A5Pro(4G/5G)-CLR/BLK</t>
  </si>
  <si>
    <t>GB-PC-QJ-CMF1-CLR/BLK</t>
  </si>
  <si>
    <t>GB-PC-QJ-CMF1-MAT/BLK</t>
  </si>
  <si>
    <t>GB-PC-QJ-HN/SMARTX9C-CLR/BLK</t>
  </si>
  <si>
    <t>GB-PC-QJ-HN/SMARTX9C-MAT/BLK</t>
  </si>
  <si>
    <t>GB-PC-QJ-HN/X9B-CLR/BLK</t>
  </si>
  <si>
    <t>GB-PC-QJ-HN/X9B-MAT/BLK</t>
  </si>
  <si>
    <t>GB-PC-QJ-HN/X9C-CLR/BLK</t>
  </si>
  <si>
    <t>GB-PC-QJ-HN/X9C-MAT/BLK</t>
  </si>
  <si>
    <t>GB-PC-QJ-Honor200-MAT/BLK</t>
  </si>
  <si>
    <t>GB-PC-QJ-Honor200Pro-CLR/BLK</t>
  </si>
  <si>
    <t>GB-PC-QJ-Honor200Pro-MAT/BLK</t>
  </si>
  <si>
    <t>GB-PC-QJ-IQ/Z9X-CLR/BLK</t>
  </si>
  <si>
    <t>GB-PC-QJ-IQ/Z9X-MAT/BLK</t>
  </si>
  <si>
    <t>GB-PC-QJ-IQOO/12-CLR/BLK</t>
  </si>
  <si>
    <t>GB-PC-QJ-IQOO/12-MAT/BLK</t>
  </si>
  <si>
    <t>GB-PC-QJ-IQOO/13-CLR/BLK</t>
  </si>
  <si>
    <t>GB-PC-QJ-IQOO/13-MAT/BLK</t>
  </si>
  <si>
    <t>GB-PC-QJ-Magic7Pro-CLR/BLK</t>
  </si>
  <si>
    <t>GB-PC-QJ-Magic7Pro-MAT/BLK</t>
  </si>
  <si>
    <t>GB-PC-QJ-NTH/3A-CLR/BLK</t>
  </si>
  <si>
    <t>GB-PC-QJ-NTH/3A-MAT/BLK</t>
  </si>
  <si>
    <t>GB-PC-QJ-NTH/3APRO-CLR/BLK</t>
  </si>
  <si>
    <t>GB-PC-QJ-NTH/3APRO-MAT/BLK</t>
  </si>
  <si>
    <t>GB-PC-QJ-NTH/Phone2A-CLR/BLK</t>
  </si>
  <si>
    <t>GB-PC-QJ-NTH/Phone2A-MAT/BLK</t>
  </si>
  <si>
    <t>GB-PC-QJ-NoPhone2-CLR/BLK</t>
  </si>
  <si>
    <t>GB-PC-QJ-NoPhone2-MAT/BLK</t>
  </si>
  <si>
    <t>GB-PC-QJ-Pixel10/10Pro-CLR/BLK</t>
  </si>
  <si>
    <t>GB-PC-QJ-Pixel10/10Pro-MAT/BLK</t>
  </si>
  <si>
    <t>GB-PC-QJ-Pixel10ProXL-CLR/BLK</t>
  </si>
  <si>
    <t>GB-PC-QJ-Pixel10ProXL-MAT/BLK</t>
  </si>
  <si>
    <t>GB-PC-QJ-Pixel9A-CLR/BLK</t>
  </si>
  <si>
    <t>GB-PC-QJ-Pixel9A-MAT/BLK</t>
  </si>
  <si>
    <t>GB-PC-QJ-Pixel9Pro-CLR/BLK</t>
  </si>
  <si>
    <t>GB-PC-QJ-Pixel9Pro-MAT/BLK</t>
  </si>
  <si>
    <t>GB-PC-QJ-Pixel9ProXL-CLR/BLK</t>
  </si>
  <si>
    <t>GB-PC-QJ-Pixel9ProXL-MAT/BLK</t>
  </si>
  <si>
    <t>GB-PC-QJ-PocoF7Pro-CLR/BLK</t>
  </si>
  <si>
    <t>GB-PC-QJ-PocoF7Pro-MAT/BLK</t>
  </si>
  <si>
    <t>GB-PC-QJ-PocoF7Ultra-CLR/BLK</t>
  </si>
  <si>
    <t>GB-PC-QJ-PocoF7Ultra-MAT/BLK</t>
  </si>
  <si>
    <t>GB-PC-QJ-RENO13-CLR/BLK</t>
  </si>
  <si>
    <t>GB-PC-QJ-RENO13-MAT/BLK</t>
  </si>
  <si>
    <t>GB-PC-QJ-RENO13F(4G/5G)-CLR/BLK</t>
  </si>
  <si>
    <t>GB-PC-QJ-RENO13F(4G/5G)-MAT/BLK</t>
  </si>
  <si>
    <t>GB-PC-QJ-RENO13PRO-CLR/BLK</t>
  </si>
  <si>
    <t>GB-PC-QJ-RENO13PRO-MAT/BLK</t>
  </si>
  <si>
    <t>GB-PC-QJ-RMagic10Pro-CLR/BLK</t>
  </si>
  <si>
    <t>GB-PC-QJ-RMagic10Pro-MAT/BLK</t>
  </si>
  <si>
    <t>GB-PC-QJ-RMagic8-CLR/BLK</t>
  </si>
  <si>
    <t>GB-PC-QJ-RMagic8-MAT/BLK</t>
  </si>
  <si>
    <t>GB-PC-QJ-RMagic9-CLR/BLK</t>
  </si>
  <si>
    <t>GB-PC-QJ-RMagic9-MAT/BLK</t>
  </si>
  <si>
    <t>GB-PC-QJ-ROG7-CLR/BLK</t>
  </si>
  <si>
    <t>GB-PC-QJ-ROG7-MAT/BLK</t>
  </si>
  <si>
    <t>GB-PC-QJ-ROG8/8Pro-CLR/BLK</t>
  </si>
  <si>
    <t>GB-PC-QJ-ROG8/8Pro-MAT/BLK</t>
  </si>
  <si>
    <t>GB-PC-QJ-ROG9-CLR/BLK</t>
  </si>
  <si>
    <t>GB-PC-QJ-ROG9-MAT/BLK</t>
  </si>
  <si>
    <t>GB-PC-QJ-Reno12-CLR/BLK</t>
  </si>
  <si>
    <t>GB-PC-QJ-Reno12-MAT/BLK</t>
  </si>
  <si>
    <t>GB-PC-QJ-Reno12F-CLR/BLK</t>
  </si>
  <si>
    <t>GB-PC-QJ-Reno12F-MAT/BLK</t>
  </si>
  <si>
    <t>GB-PC-QJ-Reno12Pro-CLR/BLK</t>
  </si>
  <si>
    <t>GB-PC-QJ-Reno12Pro-MAT/BLK</t>
  </si>
  <si>
    <t>GB-PC-QJ-S/A15(4G/5G)-CLR/BLK</t>
  </si>
  <si>
    <t>GB-PC-QJ-S/A15(4G/5G)-MAT/BLK</t>
  </si>
  <si>
    <t>GB-PC-QJ-S/A16-CLR/BLK</t>
  </si>
  <si>
    <t>GB-PC-QJ-S/A16-MAT/BLK</t>
  </si>
  <si>
    <t>GB-PC-QJ-S/A35(5G)-CLR/BLK</t>
  </si>
  <si>
    <t>GB-PC-QJ-S/A35(5G)-MAT/BLK</t>
  </si>
  <si>
    <t>GB-PC-QJ-S/A36(5G)-CLR/BLK</t>
  </si>
  <si>
    <t>GB-PC-QJ-S/A36(5G)-MAT/BLK</t>
  </si>
  <si>
    <t>GB-PC-QJ-S/A55(5G)-CLR/BLK</t>
  </si>
  <si>
    <t>GB-PC-QJ-S/A55(5G)-MAT/BLK</t>
  </si>
  <si>
    <t>GB-PC-QJ-S/A56(5G)-CLR/BLK</t>
  </si>
  <si>
    <t>GB-PC-QJ-S/A56(5G)-MAT/BLK</t>
  </si>
  <si>
    <t>GB-PC-QJ-Smart/X7c-CLR/BLK</t>
  </si>
  <si>
    <t>GB-PC-QJ-Smart/X7c-MAT/BLK</t>
  </si>
  <si>
    <t>GB-PC-QJ-V29/Pro-CLR/BLK</t>
  </si>
  <si>
    <t>GB-PC-QJ-V29/Pro-MAT/BLK</t>
  </si>
  <si>
    <t>GB-PC-QJ-V30/PRO-MAT/BLK</t>
  </si>
  <si>
    <t>GB-PC-QJ-V40/Pro-CLR/BLK</t>
  </si>
  <si>
    <t>GB-PC-QJ-V40/Pro-MAT/BLK</t>
  </si>
  <si>
    <t>GB-PC-QJ-V50-CLR/BLK</t>
  </si>
  <si>
    <t>GB-PC-QJ-V50-MAT/BLK</t>
  </si>
  <si>
    <t>GB-PC-QJ-X100-CLR/BLK</t>
  </si>
  <si>
    <t>GB-PC-QJ-X100-MAT/BLK</t>
  </si>
  <si>
    <t>GB-PC-QJ-X100Pro-MAT/BLK</t>
  </si>
  <si>
    <t>GB-PC-QJ-X200-CLR/BLK</t>
  </si>
  <si>
    <t>GB-PC-QJ-X200-MAT/BLK</t>
  </si>
  <si>
    <t>GB-PC-QJ-X200Pro-CLR/BLK</t>
  </si>
  <si>
    <t>GB-PC-QJ-X200Pro-MAT/BLK</t>
  </si>
  <si>
    <t>GB-PC-QJ-Y100(5G)-CLR/BLK</t>
  </si>
  <si>
    <t>GB-PC-QJ-Y100(5G)-MAT/BLK</t>
  </si>
  <si>
    <t>GB-PC-QJ-Y29-CLR/BLK</t>
  </si>
  <si>
    <t>GB-PC-QJ-Y29-MAT/BLK</t>
  </si>
  <si>
    <t>GB-PC-QJ-Y39(5G)-CLR/BLK</t>
  </si>
  <si>
    <t>GB-PC-QJ-Y39(5G)-MAT/BLK</t>
  </si>
  <si>
    <t>GKK-GC-001-Steam-BLK</t>
  </si>
  <si>
    <t>GKK-GC-001-Steam-BLK/BLU</t>
  </si>
  <si>
    <t>GKK-GC-001-Steam-BLK/RED</t>
  </si>
  <si>
    <t>GKK-PC-ABAG(MS)-ZFold6-BLK</t>
  </si>
  <si>
    <t>GKK-PC-ABAG(MS)-ZFold6-TP</t>
  </si>
  <si>
    <t>GKK-PC-ABAG-ZFold6-BLK</t>
  </si>
  <si>
    <t>GKK-PC-ABAG-ZFold6-TP</t>
  </si>
  <si>
    <t>GKK-PC-AIR(MS)-ZFlip5-BLK</t>
  </si>
  <si>
    <t>GKK-PC-AIR(MS)-ZFlip5-CLR</t>
  </si>
  <si>
    <t>GKK-PC-AIR(MS)-ZFlip5-GRN</t>
  </si>
  <si>
    <t>GKK-PC-AIR(MS)-ZFlip5-PRP</t>
  </si>
  <si>
    <t>GKK-PC-AIR-ZFlip5-BLK</t>
  </si>
  <si>
    <t>GKK-PC-AIR-ZFlip5-CLR</t>
  </si>
  <si>
    <t>GKK-PC-AIR-ZFlip5-GRN</t>
  </si>
  <si>
    <t>GKK-PC-AIR-ZFlip5-PRP</t>
  </si>
  <si>
    <t>GKK-PC-AIR2(MS)-ZFlip5-BLK</t>
  </si>
  <si>
    <t>GKK-PC-AIR2(MS)-ZFlip5-GRN</t>
  </si>
  <si>
    <t>GKK-PC-AIR2(MS)-ZFlip5-PRP</t>
  </si>
  <si>
    <t>GKK-PC-AIR2(MS)-ZFlip6-BLK</t>
  </si>
  <si>
    <t>GKK-PC-AIR2(MS)-ZFlip6-CLR</t>
  </si>
  <si>
    <t>GKK-PC-AIR2(MS)-ZFlip6-GRN</t>
  </si>
  <si>
    <t>GKK-PC-AIR2(MS)-ZFlip6-PRP</t>
  </si>
  <si>
    <t>GKK-PC-AIR2(RING)-ZFlip7-BLK</t>
  </si>
  <si>
    <t>GKK-PC-AIR2(RING)-ZFlip7-CLR</t>
  </si>
  <si>
    <t>GKK-PC-AIR2(SP)-ZFlip7-BLK</t>
  </si>
  <si>
    <t>GKK-PC-AIR2(SP)-ZFlip7-PRP</t>
  </si>
  <si>
    <t>GKK-PC-AIR2-ZFlip5-BLK</t>
  </si>
  <si>
    <t>GKK-PC-AIR2-ZFlip5-CLR</t>
  </si>
  <si>
    <t>GKK-PC-AIR2-ZFlip5-GRN</t>
  </si>
  <si>
    <t>GKK-PC-AIR2-ZFlip5-PRP</t>
  </si>
  <si>
    <t>GKK-PC-AIR2-ZFlip6-CLR</t>
  </si>
  <si>
    <t>GKK-PC-AIR2-ZFlip6-GRN</t>
  </si>
  <si>
    <t>GKK-PC-AIR2-ZFlip6-PRP</t>
  </si>
  <si>
    <t>GKK-PC-AIR2-ZFlip7-BLK</t>
  </si>
  <si>
    <t>GKK-PC-AIR2-ZFlip7-CLR</t>
  </si>
  <si>
    <t>GKK-PC-AR2(MS)-ZFlip5-BLK</t>
  </si>
  <si>
    <t>GKK-PC-AR2(MS)-ZFlip5-CLR</t>
  </si>
  <si>
    <t>GKK-PC-AR2(MS)-ZFlip5-GRN</t>
  </si>
  <si>
    <t>GKK-PC-AR2(MS)-ZFlip5-PRP</t>
  </si>
  <si>
    <t>GKK-PC-AR2-ZFlip5-BLK</t>
  </si>
  <si>
    <t>GKK-PC-AR2-ZFlip5-CLR</t>
  </si>
  <si>
    <t>GKK-PC-AR2-ZFlip5-GRN</t>
  </si>
  <si>
    <t>GKK-PC-AR2-ZFlip5-PRP</t>
  </si>
  <si>
    <t>GKK-PC-BLADE-MagicV3-BLK</t>
  </si>
  <si>
    <t>GKK-PC-BLADE-MagicV3-GRY</t>
  </si>
  <si>
    <t>GKK-PC-BLADE-S23Ultra-BLK</t>
  </si>
  <si>
    <t>GKK-PC-BLADE-S23Ultra-GRY</t>
  </si>
  <si>
    <t>GKK-PC-BLADE-S23Ultra-PRP</t>
  </si>
  <si>
    <t>GKK-PC-BLADE-S23Ultra-TTN/GRY</t>
  </si>
  <si>
    <t>GKK-PC-BLADE-S24Ultra-BLK</t>
  </si>
  <si>
    <t>GKK-PC-BLADE-S24Ultra-GRY</t>
  </si>
  <si>
    <t>GKK-PC-BLADE-S24Ultra-PRP</t>
  </si>
  <si>
    <t>GKK-PC-BLADE-S24Ultra-TTN/GRY</t>
  </si>
  <si>
    <t>GKK-PC-CAMP-ZFold5-BLK</t>
  </si>
  <si>
    <t>GKK-PC-CAMP-ZFold5-BLU</t>
  </si>
  <si>
    <t>GKK-PC-CAMP-ZFold5-GRN</t>
  </si>
  <si>
    <t>GKK-PC-CAMP-ZFold6-BLK</t>
  </si>
  <si>
    <t>GKK-PC-CAMP-ZFold6-GRY</t>
  </si>
  <si>
    <t>GKK-PC-CAMP-ZFold6-TTN</t>
  </si>
  <si>
    <t>GKK-PC-CUBE(MS)-S23Ultra-BLK</t>
  </si>
  <si>
    <t>GKK-PC-CUBE(MS)-S23Ultra-GRN</t>
  </si>
  <si>
    <t>GKK-PC-CUBE(MS)-S23Ultra-RED</t>
  </si>
  <si>
    <t>GKK-PC-CUBE(MS)-S24Ultra-BLK</t>
  </si>
  <si>
    <t>GKK-PC-CUBE(MS)-S24Ultra-GRN</t>
  </si>
  <si>
    <t>GKK-PC-CUBE(MS)-S24Ultra-RED</t>
  </si>
  <si>
    <t>GKK-PC-CUBE-S22Ultra-BLK</t>
  </si>
  <si>
    <t>GKK-PC-CUBE-S22Ultra-GRN</t>
  </si>
  <si>
    <t>GKK-PC-CUBE-S22Ultra-RED</t>
  </si>
  <si>
    <t>GKK-PC-CUBE-S23-BLK</t>
  </si>
  <si>
    <t>GKK-PC-CUBE-S23-GRN</t>
  </si>
  <si>
    <t>GKK-PC-CUBE-S23-RED</t>
  </si>
  <si>
    <t>GKK-PC-CUBE-S23Plus-BLK</t>
  </si>
  <si>
    <t>GKK-PC-CUBE-S23Plus-GRN</t>
  </si>
  <si>
    <t>GKK-PC-CUBE-S23Plus-RED</t>
  </si>
  <si>
    <t>GKK-PC-CUBE-S23Ultra-BLK</t>
  </si>
  <si>
    <t>GKK-PC-CUBE-S23Ultra-GRN</t>
  </si>
  <si>
    <t>GKK-PC-CUBE-S23Ultra-RED</t>
  </si>
  <si>
    <t>GKK-PC-CUBE-S24-BLK</t>
  </si>
  <si>
    <t>GKK-PC-CUBE-S24-GRN</t>
  </si>
  <si>
    <t>GKK-PC-CUBE-S24-RED</t>
  </si>
  <si>
    <t>GKK-PC-CUBE-S24Plus-BLK</t>
  </si>
  <si>
    <t>GKK-PC-CUBE-S24Plus-GRN</t>
  </si>
  <si>
    <t>GKK-PC-CUBE-S24Plus-RED</t>
  </si>
  <si>
    <t>GKK-PC-CUBE-S24Ultra-BLK</t>
  </si>
  <si>
    <t>GKK-PC-CUBE-S24Ultra-GRN</t>
  </si>
  <si>
    <t>GKK-PC-CUBE-S24Ultra-RED</t>
  </si>
  <si>
    <t>GKK-PC-HUAN-MateX3-BLK</t>
  </si>
  <si>
    <t>GKK-PC-HUAN-MateX3-GRN</t>
  </si>
  <si>
    <t>GKK-PC-HUAN-ZFlip4-BLK</t>
  </si>
  <si>
    <t>GKK-PC-HUAN-ZFlip4-GRN</t>
  </si>
  <si>
    <t>GKK-PC-HUAN-ZFlip4-PRP</t>
  </si>
  <si>
    <t>GKK-PC-HUAN-ZFlip4-WHT</t>
  </si>
  <si>
    <t>GKK-PC-HUAN-ZFlip5-BLK</t>
  </si>
  <si>
    <t>GKK-PC-HUAN-ZFlip5-GRN</t>
  </si>
  <si>
    <t>GKK-PC-HUAN-ZFlip5-GRY</t>
  </si>
  <si>
    <t>GKK-PC-HUAN-ZFlip5-PNK</t>
  </si>
  <si>
    <t>GKK-PC-HUAN-ZFlip5-PRP</t>
  </si>
  <si>
    <t>GKK-PC-HUAN-ZFlip6-BLK</t>
  </si>
  <si>
    <t>GKK-PC-HUAN-ZFlip6-GRN</t>
  </si>
  <si>
    <t>GKK-PC-HUAN-ZFlip6-PRP</t>
  </si>
  <si>
    <t>GKK-PC-HUAN-ZFold3-BLK</t>
  </si>
  <si>
    <t>GKK-PC-HUAN-ZFold3-GRN</t>
  </si>
  <si>
    <t>GKK-PC-HUAN-ZFold4-BLK</t>
  </si>
  <si>
    <t>GKK-PC-HUAN-ZFold4-GRN</t>
  </si>
  <si>
    <t>GKK-PC-HUAN-ZFold5-BLK</t>
  </si>
  <si>
    <t>GKK-PC-HUAN-ZFold5-GRN</t>
  </si>
  <si>
    <t>GKK-PC-INVO-ZFold4-RED</t>
  </si>
  <si>
    <t>GKK-PC-KEY-ZFold3-BLK</t>
  </si>
  <si>
    <t>GKK-PC-KEY-ZFold3-CAR</t>
  </si>
  <si>
    <t>GKK-PC-KEY-ZFold3-GRN</t>
  </si>
  <si>
    <t>GKK-PC-KEY-ZFold5-BLK</t>
  </si>
  <si>
    <t>GKK-PC-KEY-ZFold5-CAR</t>
  </si>
  <si>
    <t>GKK-PC-LHP-ZFold3-MNG</t>
  </si>
  <si>
    <t>GKK-PC-MSTAND-MagicV2-PRP</t>
  </si>
  <si>
    <t>GKK-PC-MSTAND-MagicVS-BLK</t>
  </si>
  <si>
    <t>GKK-PC-MSTAND-MagicVS-GRN</t>
  </si>
  <si>
    <t>GKK-PC-MSTAND-MateX3-BLK</t>
  </si>
  <si>
    <t>GKK-PC-MSTAND-MateX3-GRN</t>
  </si>
  <si>
    <t>GKK-PC-PAIN-FindN2Flip-BLK</t>
  </si>
  <si>
    <t>GKK-PC-PAIN-FindN2Flip-DRP</t>
  </si>
  <si>
    <t>GKK-PC-PAIN-ZFlip3-BLK</t>
  </si>
  <si>
    <t>GKK-PC-PAIN-ZFlip3-DRP</t>
  </si>
  <si>
    <t>GKK-PC-PAIN-ZFlip3-LAP</t>
  </si>
  <si>
    <t>GKK-PC-PAIN-ZFlip3-MNG</t>
  </si>
  <si>
    <t>GKK-PC-PTOM(SP)-ZFlip5-BLK</t>
  </si>
  <si>
    <t>GKK-PC-PTOM(SP)-ZFlip5-BLU</t>
  </si>
  <si>
    <t>GKK-PC-PTOM(SP)-ZFlip5-CLR</t>
  </si>
  <si>
    <t>GKK-PC-PTOM(SP)-ZFlip5-GLD</t>
  </si>
  <si>
    <t>GKK-PC-PTOM(SP)-ZFlip5-GRN</t>
  </si>
  <si>
    <t>GKK-PC-PTOM(SP)-ZFlip5-PRP</t>
  </si>
  <si>
    <t>GKK-PC-PTOM-ZFold3-CLR</t>
  </si>
  <si>
    <t>GKK-PC-PTOM-ZFold3-GLD</t>
  </si>
  <si>
    <t>GKK-PC-PTOM-ZFold3-MNG</t>
  </si>
  <si>
    <t>GKK-PC-RING-ZFlip4-BLK</t>
  </si>
  <si>
    <t>GKK-PC-RING-ZFlip4-GRN</t>
  </si>
  <si>
    <t>GKK-PC-RING-ZFlip4-SLV</t>
  </si>
  <si>
    <t>GKK-PC-SHATT(MS)-ZFlip3-BLK</t>
  </si>
  <si>
    <t>GKK-PC-SHATT(MS)-ZFlip3-CLR</t>
  </si>
  <si>
    <t>GKK-PC-SHATT(MS)-ZFlip3-PRP</t>
  </si>
  <si>
    <t>GKK-PC-SHATT(MS)-ZFlip4-BLK</t>
  </si>
  <si>
    <t>GKK-PC-SHATT(MS)-ZFlip4-CLR</t>
  </si>
  <si>
    <t>GKK-PC-SHATT(MS)-ZFlip4-PRP</t>
  </si>
  <si>
    <t>GKK-PC-SHATT(MS)-ZFlip5-BLK</t>
  </si>
  <si>
    <t>GKK-PC-SHATT(MS)-ZFlip5-CLR</t>
  </si>
  <si>
    <t>GKK-PC-SHATT(MS)-ZFlip5-PRP</t>
  </si>
  <si>
    <t>GKK-PC-SHATT-ZFlip3-BLK</t>
  </si>
  <si>
    <t>GKK-PC-SHATT-ZFlip3-CLR</t>
  </si>
  <si>
    <t>GKK-PC-SHATT-ZFlip3-GRN</t>
  </si>
  <si>
    <t>GKK-PC-SHATT-ZFlip3-PRP</t>
  </si>
  <si>
    <t>GKK-PC-SHATT-ZFlip4-BLK</t>
  </si>
  <si>
    <t>GKK-PC-SHATT-ZFlip4-CLR</t>
  </si>
  <si>
    <t>GKK-PC-SHATT-ZFlip4-GRN</t>
  </si>
  <si>
    <t>GKK-PC-SHATT-ZFlip4-PRP</t>
  </si>
  <si>
    <t>GKK-PC-SHATT-ZFlip5-BLK</t>
  </si>
  <si>
    <t>GKK-PC-SHATT-ZFlip5-CLR</t>
  </si>
  <si>
    <t>GKK-PC-SHATT-ZFlip5-GRN</t>
  </si>
  <si>
    <t>GKK-PC-SHATT-ZFlip5-PRP</t>
  </si>
  <si>
    <t>GKK-PC-SHATT-ZFlip6-BLK</t>
  </si>
  <si>
    <t>GKK-PC-SHATT-ZFlip6-CLR</t>
  </si>
  <si>
    <t>GKK-PC-SHATT-ZFlip6-PRP</t>
  </si>
  <si>
    <t>GKK-PC-SLING-FindN2Flip-BLK</t>
  </si>
  <si>
    <t>GKK-PC-SLING-FindN2Flip-GLD</t>
  </si>
  <si>
    <t>GKK-PC-SLING-FindN2Flip-PRP</t>
  </si>
  <si>
    <t>GKK-PC-SLING-ZFlip3-BLK</t>
  </si>
  <si>
    <t>GKK-PC-SLING-ZFlip3-GRN</t>
  </si>
  <si>
    <t>GKK-PC-SLING-ZFlip3-PNK</t>
  </si>
  <si>
    <t>GKK-PC-SLING-ZFlip3-PRP</t>
  </si>
  <si>
    <t>GKK-PC-SLING-ZFlip4-BLK</t>
  </si>
  <si>
    <t>GKK-PC-SLING-ZFlip4-BLU</t>
  </si>
  <si>
    <t>GKK-PC-SLING-ZFlip4-GRN</t>
  </si>
  <si>
    <t>GKK-PC-SLING-ZFlip4-PNK</t>
  </si>
  <si>
    <t>GKK-PC-SLING-ZFlip4-PRP</t>
  </si>
  <si>
    <t>GKK-PC-SLING-ZFlip4-WHT</t>
  </si>
  <si>
    <t>GKK-PC-SONA-ZFold4-CLR</t>
  </si>
  <si>
    <t>GKK-PC-SPEC-ZFlip4-BLK</t>
  </si>
  <si>
    <t>GKK-PC-SPEC-ZFlip4-BLU</t>
  </si>
  <si>
    <t>GKK-PC-SPEC-ZFlip4-CLR</t>
  </si>
  <si>
    <t>GKK-PC-SPEC-ZFlip4-DRP</t>
  </si>
  <si>
    <t>GKK-PC-SPEC-ZFlip4-MNG</t>
  </si>
  <si>
    <t>GKK-PC-SPEC-ZFlip4-PNK</t>
  </si>
  <si>
    <t>GKK-PC-STAN-S23-BLK</t>
  </si>
  <si>
    <t>GKK-PC-STAN-S23-GRN</t>
  </si>
  <si>
    <t>GKK-PC-STAN-S23Plus-BLK</t>
  </si>
  <si>
    <t>GKK-PC-STAN-S23Plus-GRN</t>
  </si>
  <si>
    <t>GKK-PC-STAN-S23Ultra-BLK</t>
  </si>
  <si>
    <t>GKK-PC-STAN-S23Ultra-GRN</t>
  </si>
  <si>
    <t>GKK-PC-STAN-S24-BLK</t>
  </si>
  <si>
    <t>GKK-PC-STAN-S24-GRN</t>
  </si>
  <si>
    <t>GKK-PC-STAN-S24Plus-BLK</t>
  </si>
  <si>
    <t>GKK-PC-STAN-S24Plus-GRN</t>
  </si>
  <si>
    <t>GKK-PC-STAN-S24Ultra-BLK</t>
  </si>
  <si>
    <t>GKK-PC-STAN-S24Ultra-GRN</t>
  </si>
  <si>
    <t>GKK-PC-STAND(MS)-MagicV5-SLV</t>
  </si>
  <si>
    <t>GKK-PC-TIFF(RING)-ZFlip7-GRY</t>
  </si>
  <si>
    <t>GKK-PC-TIFF(RING)-ZFlip7-PRP</t>
  </si>
  <si>
    <t>GKK-PC-TIFF-MateX3-BLK</t>
  </si>
  <si>
    <t>GKK-PC-TIFF-MateX3-GRN</t>
  </si>
  <si>
    <t>GKK-PC-TIFF-ZFlip3-BLK</t>
  </si>
  <si>
    <t>GKK-PC-TIFF-ZFlip3-GRN</t>
  </si>
  <si>
    <t>GKK-PC-TIFF-ZFlip3-PRP</t>
  </si>
  <si>
    <t>GKK-PC-TIFF-ZFlip4-BLK</t>
  </si>
  <si>
    <t>GKK-PC-TIFF-ZFlip4-GRN</t>
  </si>
  <si>
    <t>GKK-PC-TIFF-ZFlip4-PRP</t>
  </si>
  <si>
    <t>GKK-PC-TIFF-ZFlip5-BLK</t>
  </si>
  <si>
    <t>GKK-PC-TIFF-ZFlip5-GRY</t>
  </si>
  <si>
    <t>GKK-PC-TIFF-ZFlip5-PNK</t>
  </si>
  <si>
    <t>GKK-PC-TIFF-ZFlip5-PRP</t>
  </si>
  <si>
    <t>GKK-PC-TIFF-ZFlip6-GRN</t>
  </si>
  <si>
    <t>GKK-PC-TIFF-ZFlip6-PNK</t>
  </si>
  <si>
    <t>GKK-PC-TIFF-ZFlip6-TTN</t>
  </si>
  <si>
    <t>GKK-PC-TIFF-ZFlip7-BLK</t>
  </si>
  <si>
    <t>GKK-PC-TIFF-ZFlip7-GRY</t>
  </si>
  <si>
    <t>GKK-PC-TIFF-ZFlip7-PNK</t>
  </si>
  <si>
    <t>GKK-PC-TIMI-ZFlip4-RED</t>
  </si>
  <si>
    <t>GKK-PC-UT(SP)-ZFold6-BLK</t>
  </si>
  <si>
    <t>GKK-PC-UT(SP)-ZFold6-GRY</t>
  </si>
  <si>
    <t>GKK-PC-UT(SP)-ZFold6-TTN</t>
  </si>
  <si>
    <t>GKK-PC-UT(SP)-ZFold7-BLK</t>
  </si>
  <si>
    <t>GKK-PC-UT(SP)-ZFold7-GRY</t>
  </si>
  <si>
    <t>GKK-PC-UT(SP/MS)-ZFold7-BLK</t>
  </si>
  <si>
    <t>GKK-PC-UT(SP/MS)-ZFold7-GRY</t>
  </si>
  <si>
    <t>GKK-PC-UT-ZFold6-BLK</t>
  </si>
  <si>
    <t>GKK-PC-UT-ZFold6-GRY</t>
  </si>
  <si>
    <t>GKK-PC-UT-ZFold6-TTN</t>
  </si>
  <si>
    <t>GKK-PC-UTT(MS)-ZFold3-BLK</t>
  </si>
  <si>
    <t>GKK-PC-UTT(MS)-ZFold3-MNG</t>
  </si>
  <si>
    <t>GKK-PC-UTT(MS)-ZFold3-SLV</t>
  </si>
  <si>
    <t>GKK-PC-UTT(MS)-ZFold4-MNG</t>
  </si>
  <si>
    <t>GKK-PC-UTT(MS)-ZFold4-SLV</t>
  </si>
  <si>
    <t>GKK-PC-UTT(SP)-ZFold5-BLK</t>
  </si>
  <si>
    <t>GKK-PC-UTT(SP)-ZFold5-GRN</t>
  </si>
  <si>
    <t>GKK-PC-UTT(SP)-ZFold5-GRY</t>
  </si>
  <si>
    <t>GKK-PC-UTT-ZFlip4-BLK</t>
  </si>
  <si>
    <t>GKK-PC-UTT-ZFlip4-DRM/PRP</t>
  </si>
  <si>
    <t>GKK-PC-UTT-ZFlip4-FOR/GRN</t>
  </si>
  <si>
    <t>GKK-PC-UTT-ZFold3-BLK</t>
  </si>
  <si>
    <t>GKK-PC-UTT-ZFold3-MNG</t>
  </si>
  <si>
    <t>GKK-PC-UTT-ZFold3-SLV</t>
  </si>
  <si>
    <t>GKK-PC-UTT-ZFold4-BLK</t>
  </si>
  <si>
    <t>GKK-PC-UTT-ZFold4-MIS/GLD</t>
  </si>
  <si>
    <t>GKK-PC-UTT-ZFold4-SLV</t>
  </si>
  <si>
    <t>GKK-PC-UTT-ZFold5-BLK</t>
  </si>
  <si>
    <t>GKK-PC-UTT-ZFold5-GRN</t>
  </si>
  <si>
    <t>GKK-PC-UTT-ZFold5-GRY</t>
  </si>
  <si>
    <t>GKK-PC-WRIS-ZFlip3-SLV</t>
  </si>
  <si>
    <t>GKK-PC-YT(MS)-MagicV5-BLK</t>
  </si>
  <si>
    <t>GKK-PC-YT(MS)-MagicV5-TP</t>
  </si>
  <si>
    <t>GKK-PC-YT(MS)-ZFold7-BLK</t>
  </si>
  <si>
    <t>GKK-PC-YT(MS)-ZFold7-TP</t>
  </si>
  <si>
    <t>GKK-PC-YT(RING)-MagicV5-BLK</t>
  </si>
  <si>
    <t>GKK-PC-YT(RING)-MagicV5-TP</t>
  </si>
  <si>
    <t>GKK-PC-YT(RING)-ZFold7-BLK</t>
  </si>
  <si>
    <t>GKK-PC-YT(RING)-ZFold7-TP</t>
  </si>
  <si>
    <t>GKK-PC-YT-ZFold7-BLK</t>
  </si>
  <si>
    <t>GKK-PC-YT-ZFold7-TP</t>
  </si>
  <si>
    <t>GKK-PC-ZUS-ZFold4-MID/GRN</t>
  </si>
  <si>
    <t>HB-CAC-TCP01-SLV</t>
  </si>
  <si>
    <t>HB-MOUNT-31AC1-BLK</t>
  </si>
  <si>
    <t>HB-MOUNT-31AC2-BLK</t>
  </si>
  <si>
    <t>HB-MOUNT-B12-BLK</t>
  </si>
  <si>
    <t>HB-MOUNT-HB01A-BLK</t>
  </si>
  <si>
    <t>HB-MOUNT-HB06-BLK</t>
  </si>
  <si>
    <t>HB-MOUNT-HB09-BLK</t>
  </si>
  <si>
    <t>HKQTQ-CL-ALLOY-Honor50-BLK</t>
  </si>
  <si>
    <t>HKQTQ-CL-ALLOY-Honor70-BLK</t>
  </si>
  <si>
    <t>HKQTQ-CL-ALLOY-Honor90-BLK</t>
  </si>
  <si>
    <t>HKQTQ-CL-ALLOY-Honor90Lite-BLK</t>
  </si>
  <si>
    <t>HKQTQ-CL-ALLOY-Magic4Pro-BLK</t>
  </si>
  <si>
    <t>HKQTQ-CL-ALLOY-Pro11-BLK</t>
  </si>
  <si>
    <t>HKQTQ-CL-ALLOY-Pro11-SLV</t>
  </si>
  <si>
    <t>HKQTQ-CL-ALLOY-S23/Plus-BLK</t>
  </si>
  <si>
    <t>HKQTQ-CL-ALLOY-S23/Plus-GRN</t>
  </si>
  <si>
    <t>HKQTQ-CL-ALLOY-S23/Plus-PRP</t>
  </si>
  <si>
    <t>HKQTQ-CL-ALLOY-S23/Plus-SLV</t>
  </si>
  <si>
    <t>HKQTQ-CL-ALLOY-S23Ultra-BLK</t>
  </si>
  <si>
    <t>HKQTQ-CL-ALLOY-S23Ultra-GRN</t>
  </si>
  <si>
    <t>HKQTQ-CL-ALLOY-S23Ultra-PRP</t>
  </si>
  <si>
    <t>HKQTQ-CL-ALLOY-S23Ultra-SLV</t>
  </si>
  <si>
    <t>HKQTQ-CL-ALLOY-XM13-BLK</t>
  </si>
  <si>
    <t>HKQTQ-CL-ALLOY-XM13Pro-BLK</t>
  </si>
  <si>
    <t>HKQTQ-CL-ALLOY-XM13Ultra-BLK</t>
  </si>
  <si>
    <t>HKQTQ-CL-ALLOY-XM13Ultra-BLK/GLD</t>
  </si>
  <si>
    <t>HKQTQ-CL-ALLOY-Xperia1IV-BLK</t>
  </si>
  <si>
    <t>HKQTQ-CL-HAWK-TabS9-BLK</t>
  </si>
  <si>
    <t>HKQTQ-CL-HAWK-TabS9-SLV</t>
  </si>
  <si>
    <t>HKQTQ-CL-HAWK-TabS9Plus-BLK</t>
  </si>
  <si>
    <t>HKQTQ-CL-HAWK-TabS9Plus-SLV</t>
  </si>
  <si>
    <t>HKQTQ-CL-OFA-Pro11-BLK</t>
  </si>
  <si>
    <t>HKQTQ-CL-OFA-Pro11-SLV</t>
  </si>
  <si>
    <t>HKQTQ-RING-CX002-MAG-BLK</t>
  </si>
  <si>
    <t>HKQTQ-RING-CX002-MAG-BLU</t>
  </si>
  <si>
    <t>HKQTQ-RING-CX002-MAG-DRK/PRP</t>
  </si>
  <si>
    <t>HKQTQ-RING-CX002-MAG-SLV</t>
  </si>
  <si>
    <t>HKQTQ-RING-CX002-STL-BLK</t>
  </si>
  <si>
    <t>HKQTQ-RING-CX002-STL-BLU</t>
  </si>
  <si>
    <t>HKQTQ-RING-CX002-STL-DRK/PRP</t>
  </si>
  <si>
    <t>HKQTQ-RING-CX002-STL-SLV</t>
  </si>
  <si>
    <t>HKQTQ-RING-R006-DWN-BLK</t>
  </si>
  <si>
    <t>HKQTQ-RING-R006-DWN-DRK/PRP</t>
  </si>
  <si>
    <t>HKQTQ-RING-R006-DWN-SLV</t>
  </si>
  <si>
    <t>HKQTQ-RING-R006-UP-BLK</t>
  </si>
  <si>
    <t>HKQTQ-RING-R006-UP-DRK/PRP</t>
  </si>
  <si>
    <t>HKQTQ-RING-R006-UP-SLV</t>
  </si>
  <si>
    <t>HKQTQ-RING-R430-STL-SLV</t>
  </si>
  <si>
    <t>HODA-CL-SAP-i11-BLU</t>
  </si>
  <si>
    <t>HODA-CL-SAP-i11-FLM</t>
  </si>
  <si>
    <t>HODA-CL-SAP-i11-GRN</t>
  </si>
  <si>
    <t>HODA-CL-SAP-i11-PRP</t>
  </si>
  <si>
    <t>HODA-CL-SAP-i11-SLV</t>
  </si>
  <si>
    <t>HODA-CL-SAP-i11Pro/Max-FLM</t>
  </si>
  <si>
    <t>HODA-CL-SAP-i11Pro/Max-GLD</t>
  </si>
  <si>
    <t>HODA-CL-SAP-i11Pro/Max-MNG</t>
  </si>
  <si>
    <t>HODA-CL-SAP-i11Pro/Max-SLV</t>
  </si>
  <si>
    <t>HODA-CL-SAP-i11Pro/Max-SPG</t>
  </si>
  <si>
    <t>HODA-CL-SAP-i12-BLU</t>
  </si>
  <si>
    <t>HODA-CL-SAP-i12-FLM</t>
  </si>
  <si>
    <t>HODA-CL-SAP-i12-GRN</t>
  </si>
  <si>
    <t>HODA-CL-SAP-i12-PRP</t>
  </si>
  <si>
    <t>HODA-CL-SAP-i12-SLV</t>
  </si>
  <si>
    <t>HODA-CL-SAP-i12Mini-BLU</t>
  </si>
  <si>
    <t>HODA-CL-SAP-i12Mini-FLM</t>
  </si>
  <si>
    <t>HODA-CL-SAP-i12Mini-GRN</t>
  </si>
  <si>
    <t>HODA-CL-SAP-i12Mini-PRP</t>
  </si>
  <si>
    <t>HODA-CL-SAP-i12Mini-SLV</t>
  </si>
  <si>
    <t>HODA-CL-SAP-i12Pro-FLM</t>
  </si>
  <si>
    <t>HODA-CL-SAP-i12Pro-GLD</t>
  </si>
  <si>
    <t>HODA-CL-SAP-i12Pro-GRA</t>
  </si>
  <si>
    <t>HODA-CL-SAP-i12Pro-PCF</t>
  </si>
  <si>
    <t>HODA-CL-SAP-i12Pro-SLV</t>
  </si>
  <si>
    <t>HODA-CL-SAP-i12ProMax-FLM</t>
  </si>
  <si>
    <t>HODA-CL-SAP-i12ProMax-GLD</t>
  </si>
  <si>
    <t>HODA-CL-SAP-i12ProMax-GRA</t>
  </si>
  <si>
    <t>HODA-CL-SAP-i12ProMax-PCF</t>
  </si>
  <si>
    <t>HODA-CL-SAP-i12ProMax-SLV</t>
  </si>
  <si>
    <t>HODA-CL-SAP-i13-BLU</t>
  </si>
  <si>
    <t>HODA-CL-SAP-i13-FLM</t>
  </si>
  <si>
    <t>HODA-CL-SAP-i13-GRN</t>
  </si>
  <si>
    <t>HODA-CL-SAP-i13-MIN</t>
  </si>
  <si>
    <t>HODA-CL-SAP-i13-PNK</t>
  </si>
  <si>
    <t>HODA-CL-SAP-i13-RED</t>
  </si>
  <si>
    <t>HODA-CL-SAP-i13-STA</t>
  </si>
  <si>
    <t>HODA-CL-SAP-i13Mini-BLU</t>
  </si>
  <si>
    <t>HODA-CL-SAP-i13Mini-FLM</t>
  </si>
  <si>
    <t>HODA-CL-SAP-i13Mini-GRN</t>
  </si>
  <si>
    <t>HODA-CL-SAP-i13Mini-MIN</t>
  </si>
  <si>
    <t>HODA-CL-SAP-i13Mini-PNK</t>
  </si>
  <si>
    <t>HODA-CL-SAP-i13Mini-RED</t>
  </si>
  <si>
    <t>HODA-CL-SAP-i13Mini-STA</t>
  </si>
  <si>
    <t>HODA-CL-SAP-i13Pro-APG</t>
  </si>
  <si>
    <t>HODA-CL-SAP-i13Pro-FLM</t>
  </si>
  <si>
    <t>HODA-CL-SAP-i13Pro-GLD</t>
  </si>
  <si>
    <t>HODA-CL-SAP-i13Pro-GRA</t>
  </si>
  <si>
    <t>HODA-CL-SAP-i13Pro-SLV</t>
  </si>
  <si>
    <t>HODA-CL-SAP-i13Pro-SRB</t>
  </si>
  <si>
    <t>HODA-CL-SAP-i13ProMax-APG</t>
  </si>
  <si>
    <t>HODA-CL-SAP-i13ProMax-FLM</t>
  </si>
  <si>
    <t>HODA-CL-SAP-i13ProMax-GLD</t>
  </si>
  <si>
    <t>HODA-CL-SAP-i13ProMax-GRA</t>
  </si>
  <si>
    <t>HODA-CL-SAP-i13ProMax-SLV</t>
  </si>
  <si>
    <t>HODA-CL-SAP-i13ProMax-SRB</t>
  </si>
  <si>
    <t>HODA-CL-SAP-i14Pro-FLM</t>
  </si>
  <si>
    <t>HODA-CL-SAP-i14Pro-PRP</t>
  </si>
  <si>
    <t>HODA-CL-SAP-i14Pro-SPC/BLK</t>
  </si>
  <si>
    <t>HODA-CL-SAP-i14ProMax-FLM</t>
  </si>
  <si>
    <t>HODA-CL-SAP-i14ProMax-PRP</t>
  </si>
  <si>
    <t>HODA-CL-SAP-i14ProMax-SPC/BLK</t>
  </si>
  <si>
    <t>HODA-CL-SAP-i15-BLK</t>
  </si>
  <si>
    <t>HODA-CL-SAP-i15-FLM</t>
  </si>
  <si>
    <t>HODA-CL-SAP-i15Plus-BLK</t>
  </si>
  <si>
    <t>HODA-CL-SAP-i15Plus-FLM</t>
  </si>
  <si>
    <t>HODA-CL-SAP-i15Pro-FLM</t>
  </si>
  <si>
    <t>HODA-CL-SAP-i15ProMax-FLM</t>
  </si>
  <si>
    <t>HODA-PC-CRY-i12-BLK</t>
  </si>
  <si>
    <t>HODA-PC-CRY-i12-CLR</t>
  </si>
  <si>
    <t>HODA-PC-CRY-i12Mini-CLR</t>
  </si>
  <si>
    <t>HODA-PC-CRY-i12Pro-BLK</t>
  </si>
  <si>
    <t>HODA-PC-CRY-i12Pro-CLR</t>
  </si>
  <si>
    <t>HODA-PC-CRY-i12ProMax-CLR</t>
  </si>
  <si>
    <t>HODA-PC-CRY-i13-BLK</t>
  </si>
  <si>
    <t>HODA-PC-CRY-i13-CLR</t>
  </si>
  <si>
    <t>HODA-PC-CRY-i13Pro-BLK</t>
  </si>
  <si>
    <t>HODA-PC-CRY-i13Pro-CLR</t>
  </si>
  <si>
    <t>HODA-PC-CRY-i13ProMax-BLK</t>
  </si>
  <si>
    <t>HODA-PC-CRY-i13ProMax-CLR</t>
  </si>
  <si>
    <t>HODA-PC-RO(MS)-i13-BLK</t>
  </si>
  <si>
    <t>HODA-PC-RO(MS)-i13Pro-BLK</t>
  </si>
  <si>
    <t>HODA-PC-RO(MS)-i13ProMax-BLK</t>
  </si>
  <si>
    <t>HODA-PC-ROUGH-i11-BLU</t>
  </si>
  <si>
    <t>HODA-PC-ROUGH-i11-GRN</t>
  </si>
  <si>
    <t>HODA-PC-ROUGH-i11Pro-BLU</t>
  </si>
  <si>
    <t>HODA-PC-ROUGH-i11Pro-GRN</t>
  </si>
  <si>
    <t>HODA-SP-HELP-i12-BR</t>
  </si>
  <si>
    <t>HODA-SP-HELP-i12-CLR</t>
  </si>
  <si>
    <t>HODA-SP-HELP-i12-MAT</t>
  </si>
  <si>
    <t>HODA-SP-HELP-i12-PVC</t>
  </si>
  <si>
    <t>HODA-SP-HELP-i12Mini-BR</t>
  </si>
  <si>
    <t>HODA-SP-HELP-i12Mini-CLR</t>
  </si>
  <si>
    <t>HODA-SP-HELP-i12Mini-MAT</t>
  </si>
  <si>
    <t>HODA-SP-HELP-i12Mini-PVC</t>
  </si>
  <si>
    <t>HODA-SP-HELP-i12Pro-BR</t>
  </si>
  <si>
    <t>HODA-SP-HELP-i12Pro-CLR</t>
  </si>
  <si>
    <t>HODA-SP-HELP-i12Pro-MAT</t>
  </si>
  <si>
    <t>HODA-SP-HELP-i12Pro-PVC</t>
  </si>
  <si>
    <t>HODA-SP-HELP-i12ProMax-BR</t>
  </si>
  <si>
    <t>HODA-SP-HELP-i12ProMax-CLR</t>
  </si>
  <si>
    <t>HODA-SP-HELP-i12ProMax-MAT</t>
  </si>
  <si>
    <t>HODA-SP-HELP-i12ProMax-PVC</t>
  </si>
  <si>
    <t>HODA-SP-HELP-i13-CLR</t>
  </si>
  <si>
    <t>HODA-SP-HELP-i13-MAT</t>
  </si>
  <si>
    <t>HODA-SP-HELP-i13Mini-CLR</t>
  </si>
  <si>
    <t>HODA-SP-HELP-i13Mini-MAT</t>
  </si>
  <si>
    <t>HODA-SP-HELP-i13Pro-CLR</t>
  </si>
  <si>
    <t>HODA-SP-HELP-i13Pro-MAT</t>
  </si>
  <si>
    <t>HODA-SP-HELP-i13ProMax-CLR</t>
  </si>
  <si>
    <t>HODA-SP-HELP-i13ProMax-MAT</t>
  </si>
  <si>
    <t>HODA-SP-HELP-i14-CLR</t>
  </si>
  <si>
    <t>HODA-SP-HELP-i14-MAT</t>
  </si>
  <si>
    <t>HODA-SP-HELP-i14Plus-CLR</t>
  </si>
  <si>
    <t>HODA-SP-HELP-i14Plus-MAT</t>
  </si>
  <si>
    <t>HODA-SP-HELP-i14Pro-CLR</t>
  </si>
  <si>
    <t>HODA-SP-HELP-i14Pro-MAT</t>
  </si>
  <si>
    <t>HODA-SP-HELP-i14ProMax-CLR</t>
  </si>
  <si>
    <t>HODA-SP-HELP-i14ProMax-MAT</t>
  </si>
  <si>
    <t>HODA-SP-HELP-i15-CLR</t>
  </si>
  <si>
    <t>HODA-SP-HELP-i15-MAT</t>
  </si>
  <si>
    <t>HODA-SP-HELP-i15Plus-CLR</t>
  </si>
  <si>
    <t>HODA-SP-HELP-i15Plus-MAT</t>
  </si>
  <si>
    <t>HODA-SP-HELP-i15Pro-CLR</t>
  </si>
  <si>
    <t>HODA-SP-HELP-i15Pro-MAT</t>
  </si>
  <si>
    <t>HODA-SP-HELP-i15ProMax-CLR</t>
  </si>
  <si>
    <t>HODA-SP-HELP-i15ProMax-MAT</t>
  </si>
  <si>
    <t>HODA-SP-i12-BR</t>
  </si>
  <si>
    <t>HODA-SP-i12-CLR</t>
  </si>
  <si>
    <t>HODA-SP-i12-MAT</t>
  </si>
  <si>
    <t>HODA-SP-i12-PVC</t>
  </si>
  <si>
    <t>HODA-SP-i12Mini-BR</t>
  </si>
  <si>
    <t>HODA-SP-i12Mini-CLR</t>
  </si>
  <si>
    <t>HODA-SP-i12Mini-MAT</t>
  </si>
  <si>
    <t>HODA-SP-i12Mini-PVC</t>
  </si>
  <si>
    <t>HODA-SP-i12Pro-BR</t>
  </si>
  <si>
    <t>HODA-SP-i12Pro-CLR</t>
  </si>
  <si>
    <t>HODA-SP-i12Pro-MAT</t>
  </si>
  <si>
    <t>HODA-SP-i12Pro-PVC</t>
  </si>
  <si>
    <t>HODA-SP-i12ProMax-BR</t>
  </si>
  <si>
    <t>HODA-SP-i12ProMax-CLR</t>
  </si>
  <si>
    <t>HODA-SP-i12ProMax-MAT</t>
  </si>
  <si>
    <t>HODA-SP-i12ProMax-PVC</t>
  </si>
  <si>
    <t>HODA-SP-i13-CLR</t>
  </si>
  <si>
    <t>HODA-SP-i13-MAT</t>
  </si>
  <si>
    <t>HODA-SP-i13-PVC</t>
  </si>
  <si>
    <t>HODA-SP-i13Mini-CLR</t>
  </si>
  <si>
    <t>HODA-SP-i13Mini-MAT</t>
  </si>
  <si>
    <t>HODA-SP-i13Mini-PVC</t>
  </si>
  <si>
    <t>HODA-SP-i13Pro-CLR</t>
  </si>
  <si>
    <t>HODA-SP-i13Pro-MAT</t>
  </si>
  <si>
    <t>HODA-SP-i13Pro-PVC</t>
  </si>
  <si>
    <t>HODA-SP-i13ProMax-CLR</t>
  </si>
  <si>
    <t>HODA-SP-i13ProMax-MAT</t>
  </si>
  <si>
    <t>HODA-SP-i14-CLR</t>
  </si>
  <si>
    <t>HODA-SP-i14-MAT</t>
  </si>
  <si>
    <t>HODA-SP-i14-PVC</t>
  </si>
  <si>
    <t>HODA-SP-i14Plus-CLR</t>
  </si>
  <si>
    <t>HODA-SP-i14Plus-MAT</t>
  </si>
  <si>
    <t>HODA-WAC-EXT-40-CLR</t>
  </si>
  <si>
    <t>HODA-WAC-EXT-44-CLR</t>
  </si>
  <si>
    <t>HODA-WAC-ROGH(C)-41-BLK</t>
  </si>
  <si>
    <t>HODA-WAC-ROGH(C)-41-BLU</t>
  </si>
  <si>
    <t>HODA-WAC-ROGH(C)-41-MAT</t>
  </si>
  <si>
    <t>HODA-WAC-ROGH(C)-42/44-BLK</t>
  </si>
  <si>
    <t>HODA-WAC-ROGH(C)-42/44-BLU</t>
  </si>
  <si>
    <t>HODA-WAC-ROGH(C)-42/44-LIB</t>
  </si>
  <si>
    <t>HODA-WAC-ROGH(C)-42/44-MAT</t>
  </si>
  <si>
    <t>HODA-WAC-ROGH(C)-42/44-PNK</t>
  </si>
  <si>
    <t>HODA-WAC-ROGH(C)-45-BLK</t>
  </si>
  <si>
    <t>HODA-WAC-ROGH(C)-45-BLU</t>
  </si>
  <si>
    <t>HODA-WAC-ROGH(C)-45-LIB</t>
  </si>
  <si>
    <t>HODA-WAC-ROGH(C)-45-MAT</t>
  </si>
  <si>
    <t>HODA-WAC-ROGH(C)-45-PNK</t>
  </si>
  <si>
    <t>IPKY-PC-MJ-i15-TP</t>
  </si>
  <si>
    <t>IPKY-PC-MJ-i15-TPBLK</t>
  </si>
  <si>
    <t>IPKY-PC-MJ-i15-TPBLU</t>
  </si>
  <si>
    <t>IPKY-PC-MJ-i15Plus-TP</t>
  </si>
  <si>
    <t>IPKY-PC-MJ-i15Plus-TPBLK</t>
  </si>
  <si>
    <t>IPKY-PC-MJ-i15Plus-TPBLU</t>
  </si>
  <si>
    <t>IPKY-PC-MJ-i15Pro-TP</t>
  </si>
  <si>
    <t>IPKY-PC-MJ-i15Pro-TPBLK</t>
  </si>
  <si>
    <t>IPKY-PC-MJ-i15Pro-TPBLU</t>
  </si>
  <si>
    <t>IPKY-PC-MJ-i15ProMax-TP</t>
  </si>
  <si>
    <t>IPKY-PC-MJ-i15ProMax-TPBLK</t>
  </si>
  <si>
    <t>IPKY-PC-MJ-i15ProMax-TPBLU</t>
  </si>
  <si>
    <t>JJT-FILM-5A+-MB-PVC/MAT</t>
  </si>
  <si>
    <t>JJT-FILM-5A+-TBL-MAT</t>
  </si>
  <si>
    <t>JJT-SP-MAGIC-APP-40/41mm</t>
  </si>
  <si>
    <t>JJT-SP-MAGIC-APP-42mm</t>
  </si>
  <si>
    <t>JJT-SP-MAGIC-APP-44/45mm</t>
  </si>
  <si>
    <t>JJT-SP-MAGIC-APP-46mm</t>
  </si>
  <si>
    <t>JJT-SP-MAGIC-APP-49mm</t>
  </si>
  <si>
    <t>JJT-SP-STO(MP)-S24Ultra-CLR</t>
  </si>
  <si>
    <t>JJT-SP-STO(MP)-S24Ultra-PVC</t>
  </si>
  <si>
    <t>JJT-SP-STO(MP)-S25Ultra-CLR</t>
  </si>
  <si>
    <t>JJT-SP-STO(MP)-iP14-CLR</t>
  </si>
  <si>
    <t>JJT-SP-STO(MP)-iP14-PVC</t>
  </si>
  <si>
    <t>JJT-SP-STO(MP)-iP14Pro-CLR</t>
  </si>
  <si>
    <t>JJT-SP-STO(MP)-iP14Pro-PVC</t>
  </si>
  <si>
    <t>JJT-SP-STO(MP)-iP14ProMax-CLR</t>
  </si>
  <si>
    <t>JJT-SP-STO(MP)-iP14ProMax-PVC</t>
  </si>
  <si>
    <t>JJT-SP-STO(MP)-iP15-CLR</t>
  </si>
  <si>
    <t>JJT-SP-STO(MP)-iP15-PVC</t>
  </si>
  <si>
    <t>JJT-SP-STO(MP)-iP15Plus-CLR</t>
  </si>
  <si>
    <t>JJT-SP-STO(MP)-iP15Pro-CLR</t>
  </si>
  <si>
    <t>JJT-SP-STO(MP)-iP15Pro-PVC</t>
  </si>
  <si>
    <t>JJT-SP-STO(MP)-iP15ProMax-CLR</t>
  </si>
  <si>
    <t>JJT-SP-STO(MP)-iP15ProMax-PVC</t>
  </si>
  <si>
    <t>JJT-SP-STO(MP)-iP16Pro-CLR</t>
  </si>
  <si>
    <t>JJT-SP-STO(MP)-iP16ProMax-CLR</t>
  </si>
  <si>
    <t>JJT-SP-STO(WT)-APP-49mm</t>
  </si>
  <si>
    <t>JJT-SP-STO(WT)-GT3Pro-46mm</t>
  </si>
  <si>
    <t>JJT-SP-STO(WT)-GT4-41mm</t>
  </si>
  <si>
    <t>JJT-SP-STO(WT)-S6-40mm</t>
  </si>
  <si>
    <t>JJT-SP-STO(WT)-S6-43mm</t>
  </si>
  <si>
    <t>JJT-SP-STO(WT)-S6-44mm</t>
  </si>
  <si>
    <t>JJT-SP-STO(WT)-S6-47mm</t>
  </si>
  <si>
    <t>JJT-SP-STO(WT)-S7-40mm</t>
  </si>
  <si>
    <t>JJT-SP-STO(WT)-S7-44mm</t>
  </si>
  <si>
    <t>JJT-SP-STO(WT)-S7-47mm</t>
  </si>
  <si>
    <t>JJT-SP-STO(WT)-SAM-40/44mm</t>
  </si>
  <si>
    <t>JJT-SP-WTF(6)-APP-42mm</t>
  </si>
  <si>
    <t>JJT-SP-WTF(6)-APP-46mm</t>
  </si>
  <si>
    <t>JJT-SP-WTF(6)-APP-49mm</t>
  </si>
  <si>
    <t>JJT-SP-WTF(6)-HUA-Watch4</t>
  </si>
  <si>
    <t>JJT-SP-WTF(6)-HUA-Watch4Pro</t>
  </si>
  <si>
    <t>JS-WAC-W1-40/41-BLK</t>
  </si>
  <si>
    <t>JS-WAC-W1-40/41-DRK/BLU</t>
  </si>
  <si>
    <t>JS-WAC-W1-40/41-GRN</t>
  </si>
  <si>
    <t>JS-WAC-W1-40/41-LIG/BLU</t>
  </si>
  <si>
    <t>JS-WAC-W1-40/41-STA</t>
  </si>
  <si>
    <t>JS-WAC-W1-40/41-TPR</t>
  </si>
  <si>
    <t>JS-WAC-W1-44/45-BLK</t>
  </si>
  <si>
    <t>JS-WAC-W1-44/45-DRK/BLU</t>
  </si>
  <si>
    <t>JS-WAC-W1-44/45-GRN</t>
  </si>
  <si>
    <t>JS-WAC-W1-44/45-LIG/BLU</t>
  </si>
  <si>
    <t>JS-WAC-W1-44/45-STA</t>
  </si>
  <si>
    <t>JS-WAC-W1-44/45-TPR</t>
  </si>
  <si>
    <t>JS-WAC-W2-49mm-BLK</t>
  </si>
  <si>
    <t>JS-WAC-W2-49mm-DRK/BLU</t>
  </si>
  <si>
    <t>JS-WAC-W2-49mm-GRN</t>
  </si>
  <si>
    <t>JS-WAC-W2-49mm-STA</t>
  </si>
  <si>
    <t>KDZ-PC-CAMB-i11-BLK</t>
  </si>
  <si>
    <t>KDZ-PC-CAMB-i13ProMax-BLK</t>
  </si>
  <si>
    <t>KDZ-PC-CAMB-i14-BLK</t>
  </si>
  <si>
    <t>KDZ-PC-CAMB-i14-TTN</t>
  </si>
  <si>
    <t>KDZ-PC-CAMB-i14Pro-BLK</t>
  </si>
  <si>
    <t>KDZ-PC-CAMB-i14Pro-TTN</t>
  </si>
  <si>
    <t>KDZ-PC-CAMB-i14ProMax-BLK</t>
  </si>
  <si>
    <t>KDZ-PC-CAMB-i14ProMax-TTN</t>
  </si>
  <si>
    <t>KDZ-PC-CAMB-i15-BLK</t>
  </si>
  <si>
    <t>KDZ-PC-CAMB-i15-TTN</t>
  </si>
  <si>
    <t>KDZ-PC-CAMB-i15Plus-BLK</t>
  </si>
  <si>
    <t>KDZ-PC-CAMB-i15Plus-TTN</t>
  </si>
  <si>
    <t>KDZ-PC-CAMB-i15Pro-BLK</t>
  </si>
  <si>
    <t>KDZ-PC-CAMB-i15Pro-TTN</t>
  </si>
  <si>
    <t>KDZ-PC-CAMB-i15ProMax-BLK</t>
  </si>
  <si>
    <t>KDZ-PC-CAMB-i15ProMax-TTN</t>
  </si>
  <si>
    <t>KDZ-PC-CAMB-i16-BLK</t>
  </si>
  <si>
    <t>KDZ-PC-CAMB-i16Plus-BLK</t>
  </si>
  <si>
    <t>KDZ-PC-CAMB-i16Pro-BLK</t>
  </si>
  <si>
    <t>KDZ-PC-CAMB-i16Pro-TTN</t>
  </si>
  <si>
    <t>KDZ-PC-CAMB-i16ProMax-BLK</t>
  </si>
  <si>
    <t>KDZ-PC-CAMB-i16ProMax-TTN</t>
  </si>
  <si>
    <t>KDZ-PC-CSTAND-i14-BLK</t>
  </si>
  <si>
    <t>KDZ-PC-CSTAND-i14-TTN</t>
  </si>
  <si>
    <t>KDZ-PC-CSTAND-i14Pro-BLK</t>
  </si>
  <si>
    <t>KDZ-PC-CSTAND-i14Pro-TTN</t>
  </si>
  <si>
    <t>KDZ-PC-CSTAND-i14ProMax-BLK</t>
  </si>
  <si>
    <t>KDZ-PC-CSTAND-i14ProMax-TTN</t>
  </si>
  <si>
    <t>KDZ-PC-CSTAND-i15-BLK</t>
  </si>
  <si>
    <t>KDZ-PC-CSTAND-i15-TTN</t>
  </si>
  <si>
    <t>KDZ-PC-CSTAND-i15Plus-BLK</t>
  </si>
  <si>
    <t>KDZ-PC-CSTAND-i15Plus-TTN</t>
  </si>
  <si>
    <t>KDZ-PC-CSTAND-i15Pro-BLK</t>
  </si>
  <si>
    <t>KDZ-PC-CSTAND-i15Pro-TTN</t>
  </si>
  <si>
    <t>KDZ-PC-CSTAND-i15ProMax-BLK</t>
  </si>
  <si>
    <t>KDZ-PC-CSTAND-i15ProMax-TTN</t>
  </si>
  <si>
    <t>KDZ-PC-CSTAND-i16-BLK</t>
  </si>
  <si>
    <t>KDZ-PC-CSTAND-i16-TTN</t>
  </si>
  <si>
    <t>KDZ-PC-CSTAND-i16Plus-BLK</t>
  </si>
  <si>
    <t>KDZ-PC-CSTAND-i16Plus-TTN</t>
  </si>
  <si>
    <t>KDZ-PC-CSTAND-i16Pro-BLK</t>
  </si>
  <si>
    <t>KDZ-PC-CSTAND-i16Pro-TTN</t>
  </si>
  <si>
    <t>KDZ-PC-CSTAND-i16ProMax-BLK</t>
  </si>
  <si>
    <t>KDZ-PC-CSTAND-i16ProMax-TTN</t>
  </si>
  <si>
    <t>KDZ-PC-DDR-S23Ultra-BLK</t>
  </si>
  <si>
    <t>KDZ-PC-DDR-S23Ultra-GRY</t>
  </si>
  <si>
    <t>KDZ-PC-DDR-S23Ultra-ORG</t>
  </si>
  <si>
    <t>KDZ-PC-DDR-S24Ultra-BLK</t>
  </si>
  <si>
    <t>KDZ-PC-DDR-S24Ultra-GRY</t>
  </si>
  <si>
    <t>KDZ-PC-DDR-S24Ultra-ORG</t>
  </si>
  <si>
    <t>KDZ-PC-DDR-S25Plus-GRY</t>
  </si>
  <si>
    <t>KDZ-PC-DDR-S25Ultra-BLK</t>
  </si>
  <si>
    <t>KDZ-PC-DDR-S25Ultra-GRY</t>
  </si>
  <si>
    <t>KDZ-PC-DDR-i14-BLK</t>
  </si>
  <si>
    <t>KDZ-PC-DDR-i14-GRY</t>
  </si>
  <si>
    <t>KDZ-PC-DDR-i14-ORG</t>
  </si>
  <si>
    <t>KDZ-PC-DDR-i14Pro-BLK</t>
  </si>
  <si>
    <t>KDZ-PC-DDR-i14Pro-GRY</t>
  </si>
  <si>
    <t>KDZ-PC-DDR-i14Pro-ORG</t>
  </si>
  <si>
    <t>KDZ-PC-DDR-i14ProMax-BLK</t>
  </si>
  <si>
    <t>KDZ-PC-DDR-i14ProMax-GRY</t>
  </si>
  <si>
    <t>KDZ-PC-DDR-i14ProMax-ORG</t>
  </si>
  <si>
    <t>KDZ-PC-DDR-i15-BLK</t>
  </si>
  <si>
    <t>KDZ-PC-DDR-i15-GRY</t>
  </si>
  <si>
    <t>KDZ-PC-DDR-i15-ORG</t>
  </si>
  <si>
    <t>KDZ-PC-DDR-i15Plus-BLK</t>
  </si>
  <si>
    <t>KDZ-PC-DDR-i15Plus-GRY</t>
  </si>
  <si>
    <t>KDZ-PC-DDR-i15Plus-ORG</t>
  </si>
  <si>
    <t>KDZ-PC-DDR-i15Pro-BLK</t>
  </si>
  <si>
    <t>KDZ-PC-DDR-i15Pro-GRY</t>
  </si>
  <si>
    <t>KDZ-PC-DDR-i15Pro-ORG</t>
  </si>
  <si>
    <t>KDZ-PC-DDR-i15ProMax-BLK</t>
  </si>
  <si>
    <t>KDZ-PC-DDR-i15ProMax-GRY</t>
  </si>
  <si>
    <t>KDZ-PC-DDR-i15ProMax-ORG</t>
  </si>
  <si>
    <t>KDZ-PC-DDR-i16-BLK</t>
  </si>
  <si>
    <t>KDZ-PC-DDR-i16Plus-BLK</t>
  </si>
  <si>
    <t>KDZ-PC-DDR-i16Pro-BLK</t>
  </si>
  <si>
    <t>KDZ-PC-DDR-i16ProMax-BLK</t>
  </si>
  <si>
    <t>KDZ-PC-ELT-ZFlip6-BLK</t>
  </si>
  <si>
    <t>KDZ-PC-FHC-ZFlip6-BLK</t>
  </si>
  <si>
    <t>KDZ-PC-FHC-ZFlip6-PNK</t>
  </si>
  <si>
    <t>KDZ-PC-FHC-ZFlip6-PRP</t>
  </si>
  <si>
    <t>KDZ-PC-FSTAN-ZFold6-BLK</t>
  </si>
  <si>
    <t>KDZ-PC-FSTAN-ZFold6-PRP</t>
  </si>
  <si>
    <t>KDZ-PC-H2IN1-ZFlip6-BLK</t>
  </si>
  <si>
    <t>KDZ-PC-H2IN1-ZFlip6-PNK</t>
  </si>
  <si>
    <t>KDZ-PC-H2IN1-ZFlip6-PRP</t>
  </si>
  <si>
    <t>KDZ-PC-HCLR(MS)-ZFlip6-CLR</t>
  </si>
  <si>
    <t>KDZ-PC-HCLR-ZFlip6-CLR</t>
  </si>
  <si>
    <t>KDZ-PC-HYBF-ZFlip6-BLK</t>
  </si>
  <si>
    <t>KDZ-PC-HYBF-ZFlip6-CLR</t>
  </si>
  <si>
    <t>KDZ-PC-HYBF-ZFlip6-PRP</t>
  </si>
  <si>
    <t>KDZ-PC-LUG-ZFlip6-CLR</t>
  </si>
  <si>
    <t>KDZ-PC-LUG-ZFlip6-GRA</t>
  </si>
  <si>
    <t>KDZ-PC-SGP-ZFlip6-BLK</t>
  </si>
  <si>
    <t>KDZ-PC-SHINE-Pixel10/10Pro-TPR</t>
  </si>
  <si>
    <t>KDZ-PC-SHINE-Pixel10ProXL-TPR</t>
  </si>
  <si>
    <t>KDZ-PC-STAN-Pixel10/10Pro-BLK</t>
  </si>
  <si>
    <t>KDZ-PC-STAN-Pixel10/10Pro-TPR</t>
  </si>
  <si>
    <t>KDZ-PC-STAN-Pixel10ProXL-BLK</t>
  </si>
  <si>
    <t>KDZ-PC-STAN-Pixel9A-BLK</t>
  </si>
  <si>
    <t>KDZ-PC-STAN-Pixel9A-TPR</t>
  </si>
  <si>
    <t>KDZ-PC-STAN-S23Plus-BLK</t>
  </si>
  <si>
    <t>KDZ-PC-STAN-S23Ultra-BLK</t>
  </si>
  <si>
    <t>KDZ-PC-STAN-S24Plus-BLK</t>
  </si>
  <si>
    <t>KDZ-PC-STAN-S24Plus-TPR</t>
  </si>
  <si>
    <t>KDZ-PC-STAN-S24Ultra-BLK</t>
  </si>
  <si>
    <t>KDZ-PC-STAN-S24Ultra-TPR</t>
  </si>
  <si>
    <t>KDZ-PC-STAN-S25Plus-BLK</t>
  </si>
  <si>
    <t>KDZ-PC-STAN-S25Plus-TPR</t>
  </si>
  <si>
    <t>KDZ-PC-STAN-S25Ultra-BLK</t>
  </si>
  <si>
    <t>KDZ-PC-STAN-S25Ultra-TPR</t>
  </si>
  <si>
    <t>KDZ-PC-STAN-S26Plus-BLK</t>
  </si>
  <si>
    <t>KDZ-PC-STAN-S26Plus-TPR</t>
  </si>
  <si>
    <t>KDZ-PC-STAN-ZFlip5-BLK</t>
  </si>
  <si>
    <t>KDZ-PC-STAN-ZFlip5-TPR</t>
  </si>
  <si>
    <t>KDZ-PC-STAN-ZFlip6-BLK</t>
  </si>
  <si>
    <t>KDZ-PC-STAN-ZFlip6-TPR</t>
  </si>
  <si>
    <t>KDZ-PC-STAN-ZFlip7-BLK</t>
  </si>
  <si>
    <t>KDZ-PC-STAN-ZFlip7-TPR</t>
  </si>
  <si>
    <t>KDZ-PC-SUPH-ZFold6-BLK</t>
  </si>
  <si>
    <t>KDZ-PC-YJSTAN-S23Ultra-BLK</t>
  </si>
  <si>
    <t>KDZ-PC-YJSTAN-S23Ultra-TPR</t>
  </si>
  <si>
    <t>KDZ-PC-YJSTAN-S24Ultra-BLK</t>
  </si>
  <si>
    <t>KDZ-PC-YJSTAN-S24Ultra-TPR</t>
  </si>
  <si>
    <t>KDZ-PC-YJSTAN-S25Plus-BLK</t>
  </si>
  <si>
    <t>KDZ-PC-YJSTAN-S25Plus-TPR</t>
  </si>
  <si>
    <t>KDZ-PC-YJSTAN-S25Ultra-BLK</t>
  </si>
  <si>
    <t>KDZ-PC-YJSTAN-S25Ultra-TPR</t>
  </si>
  <si>
    <t>KLTC-IC-TRI-TabS7-BLK</t>
  </si>
  <si>
    <t>KLTC-IC-TRI-TabS7-GRY</t>
  </si>
  <si>
    <t>KLTC-IC-TRI-TabS7-LAV</t>
  </si>
  <si>
    <t>KLTC-IC-TRI-TabS7-PNK</t>
  </si>
  <si>
    <t>KLTC-IC-TRI-TabS7FE-BLK</t>
  </si>
  <si>
    <t>KLTC-IC-TRI-TabS7FE-GRY</t>
  </si>
  <si>
    <t>KLTC-IC-TRI-TabS7FE-LAV</t>
  </si>
  <si>
    <t>KLTC-IC-TRI-TabS7FE-PNK</t>
  </si>
  <si>
    <t>KLTC-IC-TRI-TabS9-BLK</t>
  </si>
  <si>
    <t>KLTC-IC-TRI-TabS9-GRY</t>
  </si>
  <si>
    <t>KLTC-IC-TRI-TabS9-LAV</t>
  </si>
  <si>
    <t>KLTC-IC-TRI-TabS9-PNK</t>
  </si>
  <si>
    <t>KLTC-IC-TRI-TabS9Plus-BLK</t>
  </si>
  <si>
    <t>KLTC-IC-TRI-TabS9Plus-GRY</t>
  </si>
  <si>
    <t>KLTC-IC-TRI-TabS9Plus-LAV</t>
  </si>
  <si>
    <t>KLTC-IC-TRI-TabS9Plus-PNK</t>
  </si>
  <si>
    <t>KLTC-IC-TRI-TabS9Ultra-BLK</t>
  </si>
  <si>
    <t>KLTC-IC-TRI-TabS9Ultra-GRY</t>
  </si>
  <si>
    <t>KLTC-IC-TRI-TabS9Ultra-LAV</t>
  </si>
  <si>
    <t>KLTC-IC-TRI-TabS9Ultra-PNK</t>
  </si>
  <si>
    <t>LEEU-AAC-AP12-GRB</t>
  </si>
  <si>
    <t>LEEU-AAC-AP12-GRY</t>
  </si>
  <si>
    <t>LEEU-AAC-AP12-LAP</t>
  </si>
  <si>
    <t>LEEU-AAC-AP12-PNK</t>
  </si>
  <si>
    <t>LEEU-AAC-AP12-RED</t>
  </si>
  <si>
    <t>LEEU-AAC-AP12-WHT</t>
  </si>
  <si>
    <t>LEEU-AAC-AP12-YLW</t>
  </si>
  <si>
    <t>LEEU-AAC-APP-AVG</t>
  </si>
  <si>
    <t>LEEU-AAC-APP-BLK</t>
  </si>
  <si>
    <t>LEEU-AAC-APP-BLU</t>
  </si>
  <si>
    <t>LEEU-AAC-APP-GRB</t>
  </si>
  <si>
    <t>LEEU-AAC-APP-LAP</t>
  </si>
  <si>
    <t>LEEU-AAC-APP-MNG</t>
  </si>
  <si>
    <t>LEEU-AAC-APP-PNK</t>
  </si>
  <si>
    <t>LEEU-AAC-APP-PRP</t>
  </si>
  <si>
    <t>LEEU-AAC-APP-RED</t>
  </si>
  <si>
    <t>LEEU-AAC-APP-WHT</t>
  </si>
  <si>
    <t>LEEU-AAC-APP-YLW</t>
  </si>
  <si>
    <t>LEEU-AAC-Airpods3-BLK</t>
  </si>
  <si>
    <t>LEEU-AAC-Airpods3-DAB</t>
  </si>
  <si>
    <t>LEEU-AAC-Airpods3-LIB</t>
  </si>
  <si>
    <t>LEEU-AAC-Airpods3-LIP</t>
  </si>
  <si>
    <t>LEEU-AAC-Airpods3-PNK</t>
  </si>
  <si>
    <t>LEEU-AAC-Airpods3-RED</t>
  </si>
  <si>
    <t>LEEU-AAC-Airpods3-WHT</t>
  </si>
  <si>
    <t>LEEU-AAC-AirpodsPro2-BLK</t>
  </si>
  <si>
    <t>LEEU-AAC-AirpodsPro2-BLU</t>
  </si>
  <si>
    <t>LEEU-AAC-AirpodsPro2-PNK</t>
  </si>
  <si>
    <t>LEEU-AAC-AirpodsPro2-RED</t>
  </si>
  <si>
    <t>LEEU-AAC-AirpodsPro2-WHT</t>
  </si>
  <si>
    <t>LEEU-AAC-FBuds3-BLK</t>
  </si>
  <si>
    <t>LEEU-AAC-FBuds3-LAP</t>
  </si>
  <si>
    <t>LEEU-AAC-FBuds3-ORG</t>
  </si>
  <si>
    <t>LEEU-AAC-FBuds3-PRP</t>
  </si>
  <si>
    <t>LEEU-AAC-FBuds3-WHT</t>
  </si>
  <si>
    <t>LEEU-AAC-FBudsP-GRN</t>
  </si>
  <si>
    <t>LEEU-AAC-HOOK-AP12-BLK</t>
  </si>
  <si>
    <t>LEEU-AAC-HOOK-AP12-BLU</t>
  </si>
  <si>
    <t>LEEU-AAC-HOOK-AP12-GRN</t>
  </si>
  <si>
    <t>LEEU-AAC-HOOK-AP12-LAP</t>
  </si>
  <si>
    <t>LEEU-AAC-HOOK-AP12-RED</t>
  </si>
  <si>
    <t>LEEU-AAC-HOOK-AP12-WHT</t>
  </si>
  <si>
    <t>LEEU-AAC-HOOK-APP-AVG</t>
  </si>
  <si>
    <t>LEEU-AAC-HOOK-APP-BLK</t>
  </si>
  <si>
    <t>LEEU-AAC-HOOK-APP-BLU</t>
  </si>
  <si>
    <t>LEEU-AAC-HOOK-APP-LAP</t>
  </si>
  <si>
    <t>LEEU-AAC-HOOK-APP-MNG</t>
  </si>
  <si>
    <t>LEEU-AAC-HOOK-APP-PNK</t>
  </si>
  <si>
    <t>LEEU-AAC-HOOK-APP-RED</t>
  </si>
  <si>
    <t>LEEU-AAC-HOOK-APP-WHT</t>
  </si>
  <si>
    <t>LEEU-AAC-HOOK-APP-YLW</t>
  </si>
  <si>
    <t>LEEU-AAC-HOOK-Airpods3-BLK</t>
  </si>
  <si>
    <t>LEEU-AAC-HOOK-Airpods3-DAB</t>
  </si>
  <si>
    <t>LEEU-AAC-HOOK-Airpods3-LAP</t>
  </si>
  <si>
    <t>LEEU-AAC-HOOK-Airpods3-LIB</t>
  </si>
  <si>
    <t>LEEU-AAC-HOOK-Airpods3-PNK</t>
  </si>
  <si>
    <t>LEEU-AAC-HOOK-Airpods3-RED</t>
  </si>
  <si>
    <t>LEEU-AAC-HOOK-Airpods3-WHT</t>
  </si>
  <si>
    <t>LEEU-AAC-HOOK-AirpodsPro2-BLK</t>
  </si>
  <si>
    <t>LEEU-AAC-HOOK-AirpodsPro2-BLU</t>
  </si>
  <si>
    <t>LEEU-AAC-HOOK-AirpodsPro2-PNK</t>
  </si>
  <si>
    <t>LEEU-AAC-HOOK-AirpodsPro2-RED</t>
  </si>
  <si>
    <t>LEEU-AAC-HOOK-AirpodsPro2-WHT</t>
  </si>
  <si>
    <t>LEEU-AAC-HOOK-FBudsP-GRN</t>
  </si>
  <si>
    <t>LEEU-AAC-HOOK-FBudsP-WHT</t>
  </si>
  <si>
    <t>LEEU-AAC-INC-Lanyard-GRY</t>
  </si>
  <si>
    <t>LEEU-AAC-SEXY-AP12-LAP</t>
  </si>
  <si>
    <t>LEEU-AAC-SEXY-AP12-PNK</t>
  </si>
  <si>
    <t>LEEU-ACE-LEA-AirTag-BLK</t>
  </si>
  <si>
    <t>LEEU-ACE-LEA-AirTag-BLU</t>
  </si>
  <si>
    <t>LEEU-ACE-LEA-AirTag-BRW</t>
  </si>
  <si>
    <t>LEEU-ACE-LEA-AirTag-PNK</t>
  </si>
  <si>
    <t>LEEU-ACE-LEA-AirTag-RED</t>
  </si>
  <si>
    <t>LEEU-ACE-LEA-AirTag-YLW</t>
  </si>
  <si>
    <t>LEEU-ACE-SILI-AirTag-BLK</t>
  </si>
  <si>
    <t>LEEU-ACE-SILI-AirTag-BLU</t>
  </si>
  <si>
    <t>LEEU-ACE-SILI-AirTag-ORG</t>
  </si>
  <si>
    <t>LEEU-ACE-SILI-AirTag-WHT</t>
  </si>
  <si>
    <t>LEEU-ACE-SILI-AirTag-YLW</t>
  </si>
  <si>
    <t>LEEU-ACE-SPEAKER-3PCS-BLK</t>
  </si>
  <si>
    <t>LEEU-ACE-SPEAKER-3PCS-SLV</t>
  </si>
  <si>
    <t>LEEU-ACE-SPK-STKR-BLK</t>
  </si>
  <si>
    <t>LEEU-ACE-SPK-STKR-GLD</t>
  </si>
  <si>
    <t>LEEU-ACE-SPK-STKR-SLV</t>
  </si>
  <si>
    <t>LEEU-ACE-TPU(L)-AirTag-BLK</t>
  </si>
  <si>
    <t>LEEU-ACE-TPU(L)-AirTag-CLR</t>
  </si>
  <si>
    <t>LEEU-ACE-TPU(L)-AirTag-PRP</t>
  </si>
  <si>
    <t>LEEU-ACE-TPU(L)-AirTag-RED</t>
  </si>
  <si>
    <t>LEEU-ACE-TPU(S)-AirTag-BLK</t>
  </si>
  <si>
    <t>LEEU-ACE-TPU(S)-AirTag-BLU</t>
  </si>
  <si>
    <t>LEEU-ACE-TPU(S)-AirTag-BLU/PNK</t>
  </si>
  <si>
    <t>LEEU-ACE-TPU(S)-AirTag-CLR</t>
  </si>
  <si>
    <t>LEEU-ACE-TPU(S)-AirTag-ORG/GRN</t>
  </si>
  <si>
    <t>LEEU-ACE-TPU(S)-AirTag-PRP</t>
  </si>
  <si>
    <t>LEEU-ACE-TPU(S)-AirTag-PRP/BLU</t>
  </si>
  <si>
    <t>LEEU-CL-BC-S22</t>
  </si>
  <si>
    <t>LEEU-CL-BC-S22Ultra</t>
  </si>
  <si>
    <t>LEEU-CL-BC-S23</t>
  </si>
  <si>
    <t>LEEU-CL-BC-S23Plus</t>
  </si>
  <si>
    <t>LEEU-CL-BC-S23Ultra</t>
  </si>
  <si>
    <t>LEEU-CL-BC-S24</t>
  </si>
  <si>
    <t>LEEU-CL-BC-S24Plus</t>
  </si>
  <si>
    <t>LEEU-CL-BC-S24Ultra</t>
  </si>
  <si>
    <t>LEEU-CL-BC-ZFlip4</t>
  </si>
  <si>
    <t>LEEU-CL-BC-ZFlip5</t>
  </si>
  <si>
    <t>LEEU-CL-BC-ZFlip6</t>
  </si>
  <si>
    <t>LEEU-CL-BC-ZFold6</t>
  </si>
  <si>
    <t>LEEU-CL-BC-i12</t>
  </si>
  <si>
    <t>LEEU-CL-BC-i12Mini</t>
  </si>
  <si>
    <t>LEEU-CL-BC-i12Pro</t>
  </si>
  <si>
    <t>LEEU-CL-BC-i12ProMax</t>
  </si>
  <si>
    <t>LEEU-CL-BC-i13</t>
  </si>
  <si>
    <t>LEEU-CL-BC-i13Mini</t>
  </si>
  <si>
    <t>LEEU-CL-BC-i13Pro</t>
  </si>
  <si>
    <t>LEEU-CL-BC-i14</t>
  </si>
  <si>
    <t>LEEU-CL-BC-i14Pro</t>
  </si>
  <si>
    <t>LEEU-CL-BC-i15</t>
  </si>
  <si>
    <t>LEEU-CL-BC-i15Pro</t>
  </si>
  <si>
    <t>LEEU-CL-BC-i16</t>
  </si>
  <si>
    <t>LEEU-CL-BC-i16Pro</t>
  </si>
  <si>
    <t>LEEU-CL-HAWK-i14-BLK</t>
  </si>
  <si>
    <t>LEEU-CL-HAWK-i14-BLU</t>
  </si>
  <si>
    <t>LEEU-CL-HAWK-i14-PRP</t>
  </si>
  <si>
    <t>LEEU-CL-HAWK-i14-SLV</t>
  </si>
  <si>
    <t>LEEU-CL-HAWK-i14Pro-BLK</t>
  </si>
  <si>
    <t>LEEU-CL-HAWK-i14Pro-PRP</t>
  </si>
  <si>
    <t>LEEU-CL-HAWK-i14Pro-SLV</t>
  </si>
  <si>
    <t>LEEU-CL-HAWK-i15-BLK</t>
  </si>
  <si>
    <t>LEEU-CL-HAWK-i15-BLU</t>
  </si>
  <si>
    <t>LEEU-CL-HAWK-i15-GRN</t>
  </si>
  <si>
    <t>LEEU-CL-HAWK-i15-PNK</t>
  </si>
  <si>
    <t>LEEU-CL-HAWK-i15Pro-BLK</t>
  </si>
  <si>
    <t>LEEU-CL-HAWK-i15Pro-BLU</t>
  </si>
  <si>
    <t>LEEU-CL-HAWK-i15Pro-SLV</t>
  </si>
  <si>
    <t>LEEU-CL-HAWK-i15Pro-TTN</t>
  </si>
  <si>
    <t>LEEU-CL-Note20</t>
  </si>
  <si>
    <t>LEEU-CL-P40</t>
  </si>
  <si>
    <t>LEEU-CL-Pro11/12.9(2020)</t>
  </si>
  <si>
    <t>LEEU-CL-S20</t>
  </si>
  <si>
    <t>LEEU-CL-S20P</t>
  </si>
  <si>
    <t>LEEU-CL-S21</t>
  </si>
  <si>
    <t>LEEU-CL-S21Plus</t>
  </si>
  <si>
    <t>LEEU-CL-S21Ultra</t>
  </si>
  <si>
    <t>LEEU-CL-S22</t>
  </si>
  <si>
    <t>LEEU-CL-S22Ultra</t>
  </si>
  <si>
    <t>LEEU-CL-S23</t>
  </si>
  <si>
    <t>LEEU-CL-S23Plus</t>
  </si>
  <si>
    <t>LEEU-CL-S23Ultra</t>
  </si>
  <si>
    <t>LEEU-CL-S24</t>
  </si>
  <si>
    <t>LEEU-CL-S24Plus</t>
  </si>
  <si>
    <t>LEEU-CL-S24Ultra</t>
  </si>
  <si>
    <t>LEEU-CL-ZFlip4</t>
  </si>
  <si>
    <t>LEEU-CL-ZFlip5</t>
  </si>
  <si>
    <t>LEEU-CL-ZFlip6</t>
  </si>
  <si>
    <t>LEEU-CL-ZFold6</t>
  </si>
  <si>
    <t>LEEU-CL-i11</t>
  </si>
  <si>
    <t>LEEU-CL-i11PRO</t>
  </si>
  <si>
    <t>LEEU-CL-i12</t>
  </si>
  <si>
    <t>LEEU-CL-i12Mini</t>
  </si>
  <si>
    <t>LEEU-CL-i12Pro</t>
  </si>
  <si>
    <t>LEEU-CL-i12ProMax</t>
  </si>
  <si>
    <t>LEEU-CL-i13</t>
  </si>
  <si>
    <t>LEEU-CL-i13Mini</t>
  </si>
  <si>
    <t>LEEU-CL-i13Pro</t>
  </si>
  <si>
    <t>LEEU-CL-i13ProMax</t>
  </si>
  <si>
    <t>LEEU-CL-i14</t>
  </si>
  <si>
    <t>LEEU-CL-i14Pro</t>
  </si>
  <si>
    <t>LEEU-CL-i15</t>
  </si>
  <si>
    <t>LEEU-CL-i15Pro</t>
  </si>
  <si>
    <t>LEEU-CL-i16</t>
  </si>
  <si>
    <t>LEEU-CL-i16Pro</t>
  </si>
  <si>
    <t>LEEU-LANY-3IN1-BLK</t>
  </si>
  <si>
    <t>LEEU-LANY-3IN1-BLU</t>
  </si>
  <si>
    <t>LEEU-LANY-3IN1-COF</t>
  </si>
  <si>
    <t>LEEU-LANY-3IN1-GRN</t>
  </si>
  <si>
    <t>LEEU-LANY-3IN1-GRY</t>
  </si>
  <si>
    <t>LEEU-LANY-3IN1-HAZ</t>
  </si>
  <si>
    <t>LEEU-LANY-3IN1-KHA</t>
  </si>
  <si>
    <t>LEEU-LANY-3IN1-ORG</t>
  </si>
  <si>
    <t>LEEU-LANY-ADJ-CROS-PNK</t>
  </si>
  <si>
    <t>LEEU-LANY-ADJ-CROS-PNK/PRP</t>
  </si>
  <si>
    <t>LEEU-LANY-ADJ-CROS-RBW2</t>
  </si>
  <si>
    <t>LEEU-LANY-ADJ-DOT -BLU</t>
  </si>
  <si>
    <t>LEEU-LANY-ADJ-DOT -RBW</t>
  </si>
  <si>
    <t>LEEU-LANY-ADJ-PLN-DRK/BLU</t>
  </si>
  <si>
    <t>LEEU-LANY-ADJ-PLN-DRK/ORG</t>
  </si>
  <si>
    <t>LEEU-LANY-ADJ-PLN-INK/GRN</t>
  </si>
  <si>
    <t>LEEU-LANY-ADJ-PLN-LIG/GRN</t>
  </si>
  <si>
    <t>LEEU-LANY-ADJ-PLN-LIG/GRY</t>
  </si>
  <si>
    <t>LEEU-LANY-ADJ-PLN-LIG/PRP</t>
  </si>
  <si>
    <t>LEEU-LANY-ADJ-PLN-RS/RED</t>
  </si>
  <si>
    <t>LEEU-LANY-ADJ-PLN-TIF/BLU</t>
  </si>
  <si>
    <t>LEEU-LANY-ADJ-SPR-FLU/GRN</t>
  </si>
  <si>
    <t>LEEU-LANY-ADJ-SPR-PRP/PNK</t>
  </si>
  <si>
    <t>LEEU-LANY-ADJ-SPR-WHT/BLU</t>
  </si>
  <si>
    <t>LEEU-LANY-ADJ-SPR-WHT/PRP</t>
  </si>
  <si>
    <t>LEEU-LANY-ADJ-SPR-YLW/PRP</t>
  </si>
  <si>
    <t>LEEU-LANY-ADJ-STP-BLK/GRY</t>
  </si>
  <si>
    <t>LEEU-LANY-ADJ-STP-BLU</t>
  </si>
  <si>
    <t>LEEU-LANY-ADJ-STP-GRN</t>
  </si>
  <si>
    <t>LEEU-LANY-ADJ-STP-ORG/GRY</t>
  </si>
  <si>
    <t>LEEU-LANY-ADJ-STP-RBW3</t>
  </si>
  <si>
    <t>LEEU-LANY-ADJ-STP-RED/BLU</t>
  </si>
  <si>
    <t>LEEU-LANY-ADJ-STP-WHT/ORG</t>
  </si>
  <si>
    <t>LEEU-LANY-BEAU-B-1</t>
  </si>
  <si>
    <t>LEEU-LANY-BEAU-B-10</t>
  </si>
  <si>
    <t>LEEU-LANY-BEAU-B-11</t>
  </si>
  <si>
    <t>LEEU-LANY-BEAU-B-12</t>
  </si>
  <si>
    <t>LEEU-LANY-BEAU-B-13</t>
  </si>
  <si>
    <t>LEEU-LANY-BEAU-B-14</t>
  </si>
  <si>
    <t>LEEU-LANY-BEAU-B-15</t>
  </si>
  <si>
    <t>LEEU-LANY-BEAU-B-16</t>
  </si>
  <si>
    <t>LEEU-LANY-BEAU-B-17</t>
  </si>
  <si>
    <t>LEEU-LANY-BEAU-B-18</t>
  </si>
  <si>
    <t>LEEU-LANY-BEAU-B-19</t>
  </si>
  <si>
    <t>LEEU-LANY-BEAU-B-2</t>
  </si>
  <si>
    <t>LEEU-LANY-BEAU-B-20</t>
  </si>
  <si>
    <t>LEEU-LANY-BEAU-B-21</t>
  </si>
  <si>
    <t>LEEU-LANY-BEAU-B-22</t>
  </si>
  <si>
    <t>LEEU-LANY-BEAU-B-3</t>
  </si>
  <si>
    <t>LEEU-LANY-BEAU-B-4</t>
  </si>
  <si>
    <t>LEEU-LANY-BEAU-B-5</t>
  </si>
  <si>
    <t>LEEU-LANY-BEAU-B-6</t>
  </si>
  <si>
    <t>LEEU-LANY-BEAU-B-7</t>
  </si>
  <si>
    <t>LEEU-LANY-BEAU-B-8</t>
  </si>
  <si>
    <t>LEEU-LANY-BEAU-B-9</t>
  </si>
  <si>
    <t>LEEU-LANY-BEAU-C-1</t>
  </si>
  <si>
    <t>LEEU-LANY-BEAU-C-10</t>
  </si>
  <si>
    <t>LEEU-LANY-BEAU-C-11</t>
  </si>
  <si>
    <t>LEEU-LANY-BEAU-C-12</t>
  </si>
  <si>
    <t>LEEU-LANY-BEAU-C-13</t>
  </si>
  <si>
    <t>LEEU-LANY-BEAU-C-14</t>
  </si>
  <si>
    <t>LEEU-LANY-BEAU-C-2</t>
  </si>
  <si>
    <t>LEEU-LANY-BEAU-C-3</t>
  </si>
  <si>
    <t>LEEU-LANY-BEAU-C-4</t>
  </si>
  <si>
    <t>LEEU-LANY-BEAU-C-5</t>
  </si>
  <si>
    <t>LEEU-LANY-BEAU-C-6</t>
  </si>
  <si>
    <t>LEEU-LANY-BEAU-C-7</t>
  </si>
  <si>
    <t>LEEU-LANY-BEAU-C-8</t>
  </si>
  <si>
    <t>LEEU-LANY-BEAU-C-9</t>
  </si>
  <si>
    <t>LEEU-LANY-BEAU-D-1</t>
  </si>
  <si>
    <t>LEEU-LANY-BEAU-D-2</t>
  </si>
  <si>
    <t>LEEU-LANY-BEAU-D-3</t>
  </si>
  <si>
    <t>LEEU-LANY-CLIMB-ADJ-AGRN</t>
  </si>
  <si>
    <t>LEEU-LANY-CLIMB-ADJ-BLU</t>
  </si>
  <si>
    <t>LEEU-LANY-CLIMB-ADJ-LGRN</t>
  </si>
  <si>
    <t>LEEU-LANY-CLIMB-ADJ-RED</t>
  </si>
  <si>
    <t>LEEU-LANY-CLIMB-ADJ-TFN</t>
  </si>
  <si>
    <t>LEEU-LANY-CLIMB-CROS-BLK</t>
  </si>
  <si>
    <t>LEEU-LANY-CLIMB-CROS-BLU</t>
  </si>
  <si>
    <t>LEEU-LANY-CLIMB-CROS-GRY</t>
  </si>
  <si>
    <t>LEEU-LANY-CLIMB-CROS-INKG</t>
  </si>
  <si>
    <t>LEEU-LANY-CLIMB-CROS-LGRN</t>
  </si>
  <si>
    <t>LEEU-LANY-CLIMB-CROS-RED</t>
  </si>
  <si>
    <t>LEEU-LANY-CLIMB-CROS-TFN</t>
  </si>
  <si>
    <t>LEEU-LANY-CLIMB-HAND-AGRN</t>
  </si>
  <si>
    <t>LEEU-LANY-CLIMB-HAND-BEI</t>
  </si>
  <si>
    <t>LEEU-LANY-CLIMB-HAND-BLU</t>
  </si>
  <si>
    <t>LEEU-LANY-CLIMB-HAND-COF</t>
  </si>
  <si>
    <t>LEEU-LANY-CLIMB-HAND-GRY</t>
  </si>
  <si>
    <t>LEEU-LANY-CLIMB-HAND-INKG</t>
  </si>
  <si>
    <t>LEEU-LANY-CLIMB-HAND-KHA</t>
  </si>
  <si>
    <t>LEEU-LANY-CLIMB-HAND-LGRN</t>
  </si>
  <si>
    <t>LEEU-LANY-CLIMB-HAND-LPRP</t>
  </si>
  <si>
    <t>LEEU-LANY-CLIMB-HAND-ORG</t>
  </si>
  <si>
    <t>LEEU-LANY-CLIMB-HAND-RED</t>
  </si>
  <si>
    <t>LEEU-LANY-CLIMB-HAND-TFN</t>
  </si>
  <si>
    <t>LEEU-LANY-CLIMB-NECK-AGRN</t>
  </si>
  <si>
    <t>LEEU-LANY-CLIMB-NECK-BEI</t>
  </si>
  <si>
    <t>LEEU-LANY-CLIMB-NECK-BLU</t>
  </si>
  <si>
    <t>LEEU-LANY-CLIMB-NECK-COF</t>
  </si>
  <si>
    <t>LEEU-LANY-CLIMB-NECK-INKG</t>
  </si>
  <si>
    <t>LEEU-LANY-CLIMB-NECK-LGRN</t>
  </si>
  <si>
    <t>LEEU-LANY-CLIMB-NECK-LPRP</t>
  </si>
  <si>
    <t>LEEU-LANY-CLIMB-NECK-ORG</t>
  </si>
  <si>
    <t>LEEU-LANY-CLIMB-NECK-RED</t>
  </si>
  <si>
    <t>LEEU-LANY-CLIMB-NECK-TFN</t>
  </si>
  <si>
    <t>LEEU-LANY-FUR-ADJ-MAI</t>
  </si>
  <si>
    <t>LEEU-LANY-FUR-ADJ-PNK</t>
  </si>
  <si>
    <t>LEEU-LANY-FUR-ADJ-TUR</t>
  </si>
  <si>
    <t>LEEU-LANY-FUR-CROS-MAI</t>
  </si>
  <si>
    <t>LEEU-LANY-FUR-CROS-PNK</t>
  </si>
  <si>
    <t>LEEU-LANY-FUR-CROS-TUR</t>
  </si>
  <si>
    <t>LEEU-LANY-FUR-HAND-MAI</t>
  </si>
  <si>
    <t>LEEU-LANY-FUR-HAND-PNK</t>
  </si>
  <si>
    <t>LEEU-LANY-FUR-HAND-TUR</t>
  </si>
  <si>
    <t>LEEU-LANY-GD-BLK</t>
  </si>
  <si>
    <t>LEEU-LANY-GD-GRN</t>
  </si>
  <si>
    <t>LEEU-LANY-GD-PNK</t>
  </si>
  <si>
    <t>LEEU-LANY-GD-RED</t>
  </si>
  <si>
    <t>LEEU-LANY-GD-RICE</t>
  </si>
  <si>
    <t>LEEU-LANY-GD-WHTGRY</t>
  </si>
  <si>
    <t>LEEU-LANY-PEARL-HAND-GLD</t>
  </si>
  <si>
    <t>LEEU-LANY-PEARL-HAND-SLV</t>
  </si>
  <si>
    <t>LEEU-LANY-PK-ADJ-BEI</t>
  </si>
  <si>
    <t>LEEU-LANY-PK-ADJ-BLK</t>
  </si>
  <si>
    <t>LEEU-LANY-PK-ADJ-GRY</t>
  </si>
  <si>
    <t>LEEU-LANY-PK-ADJ-KHA</t>
  </si>
  <si>
    <t>LEEU-LANY-PK-ADJ-LPRP</t>
  </si>
  <si>
    <t>LEEU-LANY-PK-CROS-BEI</t>
  </si>
  <si>
    <t>LEEU-LANY-PK-CROS-BLK</t>
  </si>
  <si>
    <t>LEEU-LANY-PK-CROS-GRY</t>
  </si>
  <si>
    <t>LEEU-LANY-PK-CROS-KHA</t>
  </si>
  <si>
    <t>LEEU-LANY-PK-CROS-LPRP</t>
  </si>
  <si>
    <t>LEEU-LANY-PK-HAND-BEI</t>
  </si>
  <si>
    <t>LEEU-LANY-PK-HAND-BLK</t>
  </si>
  <si>
    <t>LEEU-LANY-PK-HAND-GRY</t>
  </si>
  <si>
    <t>LEEU-LANY-PK-HAND-KHA</t>
  </si>
  <si>
    <t>LEEU-LANY-PK-HAND-LPRP</t>
  </si>
  <si>
    <t>LEEU-MAC-BODY-Lanyard-BLK/BLU</t>
  </si>
  <si>
    <t>LEEU-MAC-BODY-Lanyard-BLU/ORG</t>
  </si>
  <si>
    <t>LEEU-MAC-BODY-Lanyard-FLU/GRN</t>
  </si>
  <si>
    <t>LEEU-MAC-BODY-Lanyard-GRY</t>
  </si>
  <si>
    <t>LEEU-MAC-BODY-Lanyard-ORG</t>
  </si>
  <si>
    <t>LEEU-MAC-BODY-Lanyard-PRP/PNK</t>
  </si>
  <si>
    <t>LEEU-MAC-BODY-Lanyard-PRP/YLW</t>
  </si>
  <si>
    <t>LEEU-MAC-BODY-Lanyard-WHT/BLU</t>
  </si>
  <si>
    <t>LEEU-MAC-BODY-Lanyard-WHT/PRP</t>
  </si>
  <si>
    <t>LEEU-MAC-CANDY-360/REC-AMY</t>
  </si>
  <si>
    <t>LEEU-MAC-CANDY-360/REC-BEI</t>
  </si>
  <si>
    <t>LEEU-MAC-CANDY-360/REC-BLK</t>
  </si>
  <si>
    <t>LEEU-MAC-CANDY-360/REC-BLU</t>
  </si>
  <si>
    <t>LEEU-MAC-CANDY-360/REC-DFRED</t>
  </si>
  <si>
    <t>LEEU-MAC-CANDY-360/REC-GLD</t>
  </si>
  <si>
    <t>LEEU-MAC-CANDY-360/REC-KHA</t>
  </si>
  <si>
    <t>LEEU-MAC-CANDY-360/REC-LAV/PRP</t>
  </si>
  <si>
    <t>LEEU-MAC-CANDY-360/REC-LIG/PRP</t>
  </si>
  <si>
    <t>LEEU-MAC-CANDY-360/REC-MNT/GRN</t>
  </si>
  <si>
    <t>LEEU-MAC-CANDY-360/REC-PNK</t>
  </si>
  <si>
    <t>LEEU-MAC-CANDY-360/REC-SKY</t>
  </si>
  <si>
    <t>LEEU-MAC-CANDY-360/REC-SLV/GRY</t>
  </si>
  <si>
    <t>LEEU-MAC-CANDY-360/REC-TFN</t>
  </si>
  <si>
    <t>LEEU-MAC-CANDY-360/REC-WHT</t>
  </si>
  <si>
    <t>LEEU-MAC-CANDY-360/REC-YLW</t>
  </si>
  <si>
    <t>LEEU-MAC-CANDY-360/TRI-AMY</t>
  </si>
  <si>
    <t>LEEU-MAC-CANDY-360/TRI-BEI</t>
  </si>
  <si>
    <t>LEEU-MAC-CANDY-360/TRI-BLK</t>
  </si>
  <si>
    <t>LEEU-MAC-CANDY-360/TRI-BLU</t>
  </si>
  <si>
    <t>LEEU-MAC-CANDY-360/TRI-DFRED</t>
  </si>
  <si>
    <t>LEEU-MAC-CANDY-360/TRI-GLD</t>
  </si>
  <si>
    <t>LEEU-MAC-CANDY-360/TRI-KHA</t>
  </si>
  <si>
    <t>LEEU-MAC-CANDY-360/TRI-LAV/PRP</t>
  </si>
  <si>
    <t>LEEU-MAC-CANDY-360/TRI-LIG/PRP</t>
  </si>
  <si>
    <t>LEEU-MAC-CANDY-360/TRI-MNT/GRN</t>
  </si>
  <si>
    <t>LEEU-MAC-CANDY-360/TRI-PNK</t>
  </si>
  <si>
    <t>LEEU-MAC-CANDY-360/TRI-SKY</t>
  </si>
  <si>
    <t>LEEU-MAC-CANDY-360/TRI-SLV/GRY</t>
  </si>
  <si>
    <t>LEEU-MAC-CANDY-360/TRI-TFN</t>
  </si>
  <si>
    <t>LEEU-MAC-CANDY-360/TRI-WHT</t>
  </si>
  <si>
    <t>LEEU-MAC-CANDY-360/TRI-YLW</t>
  </si>
  <si>
    <t>LEEU-MAC-CANDY-WDT-AMY</t>
  </si>
  <si>
    <t>LEEU-MAC-CANDY-WDT-BEI</t>
  </si>
  <si>
    <t>LEEU-MAC-CANDY-WDT-BLK</t>
  </si>
  <si>
    <t>LEEU-MAC-CANDY-WDT-BLU</t>
  </si>
  <si>
    <t>LEEU-MAC-CANDY-WDT-DFRED</t>
  </si>
  <si>
    <t>LEEU-MAC-CANDY-WDT-GLD</t>
  </si>
  <si>
    <t>LEEU-MAC-CANDY-WDT-KHA</t>
  </si>
  <si>
    <t>LEEU-MAC-CANDY-WDT-LAV/PRP</t>
  </si>
  <si>
    <t>LEEU-MAC-CANDY-WDT-LIG/PRP</t>
  </si>
  <si>
    <t>LEEU-MAC-CANDY-WDT-MNT/GRN</t>
  </si>
  <si>
    <t>LEEU-MAC-CANDY-WDT-PNK</t>
  </si>
  <si>
    <t>LEEU-MAC-CANDY-WDT-SKY</t>
  </si>
  <si>
    <t>LEEU-MAC-CANDY-WDT-SLV/GRY</t>
  </si>
  <si>
    <t>LEEU-MAC-CANDY-WDT-TFN</t>
  </si>
  <si>
    <t>LEEU-MAC-CANDY-WDT-WHT</t>
  </si>
  <si>
    <t>LEEU-MAC-CANDY-WDT-YLW</t>
  </si>
  <si>
    <t>LEEU-MAC-CHAIN-Lanyard-BLK/GLD</t>
  </si>
  <si>
    <t>LEEU-MAC-CHAIN-Lanyard-BLK/SLV</t>
  </si>
  <si>
    <t>LEEU-MAC-CHAIN-Lanyard-RED</t>
  </si>
  <si>
    <t>LEEU-MAC-CHAIN-Lanyard-WHT</t>
  </si>
  <si>
    <t>LEEU-MAC-HAND-Lanyard-BLK</t>
  </si>
  <si>
    <t>LEEU-MAC-HAND-Lanyard-BLK/BLU</t>
  </si>
  <si>
    <t>LEEU-MAC-HAND-Lanyard-BLU/ORG</t>
  </si>
  <si>
    <t>LEEU-MAC-HAND-Lanyard-FLU/GRN</t>
  </si>
  <si>
    <t>LEEU-MAC-HAND-Lanyard-GRY</t>
  </si>
  <si>
    <t>LEEU-MAC-HAND-Lanyard-ORG</t>
  </si>
  <si>
    <t>LEEU-MAC-HAND-Lanyard-PRP/PNK</t>
  </si>
  <si>
    <t>LEEU-MAC-HAND-Lanyard-PRP/YLW</t>
  </si>
  <si>
    <t>LEEU-MAC-HAND-Lanyard-WHT/BLU</t>
  </si>
  <si>
    <t>LEEU-MAC-HAND-Lanyard-WHT/PRP</t>
  </si>
  <si>
    <t>LEEU-MAC-NECK-Lanyard-BLK</t>
  </si>
  <si>
    <t>LEEU-MAC-NECK-Lanyard-BLK/BLU</t>
  </si>
  <si>
    <t>LEEU-MAC-NECK-Lanyard-BLU/ORG</t>
  </si>
  <si>
    <t>LEEU-MAC-NECK-Lanyard-FLU/GRN</t>
  </si>
  <si>
    <t>LEEU-MAC-NECK-Lanyard-GRY</t>
  </si>
  <si>
    <t>LEEU-MAC-NECK-Lanyard-ORG</t>
  </si>
  <si>
    <t>LEEU-MAC-NECK-Lanyard-PRP/PNK</t>
  </si>
  <si>
    <t>LEEU-MAC-NECK-Lanyard-PRP/YLW</t>
  </si>
  <si>
    <t>LEEU-MAC-NECK-Lanyard-WHT/BLU</t>
  </si>
  <si>
    <t>LEEU-MAC-NECK-Lanyard-WHT/PRP</t>
  </si>
  <si>
    <t>LEEU-MAC-STL-360Clip/REC-BLK</t>
  </si>
  <si>
    <t>LEEU-MAC-STL-360Clip/REC-GLD</t>
  </si>
  <si>
    <t>LEEU-MAC-STL-360Clip/TRI-BLK</t>
  </si>
  <si>
    <t>LEEU-MAC-STL-360Clip/TRI-GLD</t>
  </si>
  <si>
    <t>LEEU-MAC-STL-360Clip/TRI-SLV</t>
  </si>
  <si>
    <t>LEEU-MAC-STL-Clip-SLV</t>
  </si>
  <si>
    <t>LEEU-MAC-STL-DClip/REC-GLD</t>
  </si>
  <si>
    <t>LEEU-MAC-STL-DClip/REC-SLV</t>
  </si>
  <si>
    <t>LEEU-MAC-STL-DClip/TRI-GLD</t>
  </si>
  <si>
    <t>LEEU-MAC-STL-DUAL-BLK</t>
  </si>
  <si>
    <t>LEEU-MAC-STL-DUAL-GLD</t>
  </si>
  <si>
    <t>LEEU-MAC-STL-DUAL-SLV</t>
  </si>
  <si>
    <t>LEEU-MAC-STL-WClip/REC-BLK</t>
  </si>
  <si>
    <t>LEEU-MAC-STL-WClip/REC-GLD</t>
  </si>
  <si>
    <t>LEEU-MAC-STL-WClip/REC-SLV</t>
  </si>
  <si>
    <t>LEEU-MAC-STL-mini-GLD</t>
  </si>
  <si>
    <t>LEEU-MAC-STL-mini-SLV</t>
  </si>
  <si>
    <t>LEEU-PC-25MM-i15-TP</t>
  </si>
  <si>
    <t>LEEU-PC-25MM-i15Plus-TP</t>
  </si>
  <si>
    <t>LEEU-PC-25MM-i15Pro-TP</t>
  </si>
  <si>
    <t>LEEU-PC-25MM-i15ProMax-TP</t>
  </si>
  <si>
    <t>LEEU-PC-360(MS)-i14Pro-CLR/BLK</t>
  </si>
  <si>
    <t>LEEU-PC-360(MS)-i14Pro-CLR/SLV</t>
  </si>
  <si>
    <t>LEEU-PC-360(MS)-i14Pro-MTBLK</t>
  </si>
  <si>
    <t>LEEU-PC-360(MS)-i14ProMax-CLR/BLK</t>
  </si>
  <si>
    <t>LEEU-PC-360(MS)-i14ProMax-CLR/SLV</t>
  </si>
  <si>
    <t>LEEU-PC-360(MS)-i14ProMax-MTBLK</t>
  </si>
  <si>
    <t>LEEU-PC-360RING-i16-BLK</t>
  </si>
  <si>
    <t>LEEU-PC-360RING-i16-GRY</t>
  </si>
  <si>
    <t>LEEU-PC-360RING-i16Plus-BLK</t>
  </si>
  <si>
    <t>LEEU-PC-360RING-i16Plus-GRY</t>
  </si>
  <si>
    <t>LEEU-PC-360RING-i16Pro-BLK</t>
  </si>
  <si>
    <t>LEEU-PC-360RING-i16Pro-GRY</t>
  </si>
  <si>
    <t>LEEU-PC-360RING-i16ProMax-BLK</t>
  </si>
  <si>
    <t>LEEU-PC-360RING-i16ProMax-GRY</t>
  </si>
  <si>
    <t>LEEU-PC-ABAG(M)-i12-MTBLK</t>
  </si>
  <si>
    <t>LEEU-PC-ABAG(M)-i12Mini-MTBLK</t>
  </si>
  <si>
    <t>LEEU-PC-ABAG(M)-i12ProMax-MTBLK</t>
  </si>
  <si>
    <t>LEEU-PC-ABAG-Note10-TPCLR</t>
  </si>
  <si>
    <t>LEEU-PC-ABAG-Note20-TPCLR</t>
  </si>
  <si>
    <t>LEEU-PC-ABAG-Note20U-TPCLR</t>
  </si>
  <si>
    <t>LEEU-PC-ABAG-P40-TPCLR</t>
  </si>
  <si>
    <t>LEEU-PC-ABAG-S10-TPBLK</t>
  </si>
  <si>
    <t>LEEU-PC-ABAG-S10-TPCLR</t>
  </si>
  <si>
    <t>LEEU-PC-ABAG-S21Plus-TPCLR</t>
  </si>
  <si>
    <t>LEEU-PC-ABAG-S21Ultra-TPCLR</t>
  </si>
  <si>
    <t>LEEU-PC-ABAG-S22-TPCLR</t>
  </si>
  <si>
    <t>LEEU-PC-ABAG-S22Plus-TPCLR</t>
  </si>
  <si>
    <t>LEEU-PC-ABAG-S22Ultra-TPCLR</t>
  </si>
  <si>
    <t>LEEU-PC-ABAG-i11-TP</t>
  </si>
  <si>
    <t>LEEU-PC-ABAG-i11-TPBLK</t>
  </si>
  <si>
    <t>LEEU-PC-ABAG-i11Max-TP</t>
  </si>
  <si>
    <t>LEEU-PC-ABAG-i11Max-TPBLK</t>
  </si>
  <si>
    <t>LEEU-PC-ABAG-i11Pro-TP</t>
  </si>
  <si>
    <t>LEEU-PC-ABAG-i11Pro-TPBLK</t>
  </si>
  <si>
    <t>LEEU-PC-ABAG-i12-TP</t>
  </si>
  <si>
    <t>LEEU-PC-ABAG-i12-TPBLK</t>
  </si>
  <si>
    <t>LEEU-PC-ABAG-i12Mini-TPBLK</t>
  </si>
  <si>
    <t>LEEU-PC-ABAG-i12ProMax-TP</t>
  </si>
  <si>
    <t>LEEU-PC-ABAG-i12ProMax-TPBLK</t>
  </si>
  <si>
    <t>LEEU-PC-ABAG-i13-TP</t>
  </si>
  <si>
    <t>LEEU-PC-ABAG-i13-TPBLK</t>
  </si>
  <si>
    <t>LEEU-PC-ABAG-i13Mini-TP</t>
  </si>
  <si>
    <t>LEEU-PC-ABAG-i13Mini-TPBLK</t>
  </si>
  <si>
    <t>LEEU-PC-ABAG-i13Pro-TP</t>
  </si>
  <si>
    <t>LEEU-PC-ABAG-i13Pro-TPBLK</t>
  </si>
  <si>
    <t>LEEU-PC-ABAG-i13ProMax-TP</t>
  </si>
  <si>
    <t>LEEU-PC-ABAG-i13ProMax-TPBLK</t>
  </si>
  <si>
    <t>LEEU-PC-ABAG-i14-BLK</t>
  </si>
  <si>
    <t>LEEU-PC-ABAG-i14-CLR</t>
  </si>
  <si>
    <t>LEEU-PC-ABAG-i14Plus-BLK</t>
  </si>
  <si>
    <t>LEEU-PC-ABAG-i14Plus-CLR</t>
  </si>
  <si>
    <t>LEEU-PC-ABAG-i14Pro-BLK</t>
  </si>
  <si>
    <t>LEEU-PC-ABAG-i14Pro-CLR</t>
  </si>
  <si>
    <t>LEEU-PC-ABAG-i14ProMax-BLK</t>
  </si>
  <si>
    <t>LEEU-PC-ABAG-i14ProMax-CLR</t>
  </si>
  <si>
    <t>LEEU-PC-ABAG-i15-BLK</t>
  </si>
  <si>
    <t>LEEU-PC-ABAG-i15-CLR</t>
  </si>
  <si>
    <t>LEEU-PC-ABAG-i15Plus-BLK</t>
  </si>
  <si>
    <t>LEEU-PC-ABAG-i15Plus-CLR</t>
  </si>
  <si>
    <t>LEEU-PC-ABAG-i15Pro-BLK</t>
  </si>
  <si>
    <t>LEEU-PC-ABAG-i15ProMax-BLK</t>
  </si>
  <si>
    <t>LEEU-PC-ABAG-i15ProMax-CLR</t>
  </si>
  <si>
    <t>LEEU-PC-ABAG-i16-CLR</t>
  </si>
  <si>
    <t>LEEU-PC-ABAG-i16Plus-CLR</t>
  </si>
  <si>
    <t>LEEU-PC-ABAG-i16Pro-CLR</t>
  </si>
  <si>
    <t>LEEU-PC-ABAG-i16ProMax-CLR</t>
  </si>
  <si>
    <t>LEEU-PC-ABAG-i7/8Plus-TP</t>
  </si>
  <si>
    <t>LEEU-PC-ABAG-iP17-CLR</t>
  </si>
  <si>
    <t>LEEU-PC-ABAG-iP17Air-CLR</t>
  </si>
  <si>
    <t>LEEU-PC-ABAG-iP17Pro-CLR</t>
  </si>
  <si>
    <t>LEEU-PC-ABAG-iP17ProMax-CLR</t>
  </si>
  <si>
    <t>LEEU-PC-ABAG-iSE-TP</t>
  </si>
  <si>
    <t>LEEU-PC-ABAG-iSE-TPBLK</t>
  </si>
  <si>
    <t>LEEU-PC-ABAG-iXR-TP</t>
  </si>
  <si>
    <t>LEEU-PC-ABAG-iXR-TPBLK</t>
  </si>
  <si>
    <t>LEEU-PC-ABAG-iXS-RG</t>
  </si>
  <si>
    <t>LEEU-PC-ABAG-iXS-TP</t>
  </si>
  <si>
    <t>LEEU-PC-ABAG-iXS-TPBLK</t>
  </si>
  <si>
    <t>LEEU-PC-ABAG-iXsMax-TP</t>
  </si>
  <si>
    <t>LEEU-PC-ABAG-iXsMax-TPBLK</t>
  </si>
  <si>
    <t>LEEU-PC-ABAGM-i13-MTBLK</t>
  </si>
  <si>
    <t>LEEU-PC-ABAGM-i13Pro-MTBLK</t>
  </si>
  <si>
    <t>LEEU-PC-ABAGM-i13ProMax-MTBLK</t>
  </si>
  <si>
    <t>LEEU-PC-ABAGM-i14-MTBLK</t>
  </si>
  <si>
    <t>LEEU-PC-ABAGM-i14Plus-MTBLK</t>
  </si>
  <si>
    <t>LEEU-PC-ABAGM-i14Pro-MTBLK</t>
  </si>
  <si>
    <t>LEEU-PC-ABAGM-i14ProMax-MTBLK</t>
  </si>
  <si>
    <t>LEEU-PC-ACRY(M)-S24-BLK</t>
  </si>
  <si>
    <t>LEEU-PC-ACRY(M)-S24Plus-BLK</t>
  </si>
  <si>
    <t>LEEU-PC-ACRY(M)-S24Ultra-BLK</t>
  </si>
  <si>
    <t>LEEU-PC-ACRY(M)-i11-BLK</t>
  </si>
  <si>
    <t>LEEU-PC-ACRY(M)-i11-BLU</t>
  </si>
  <si>
    <t>LEEU-PC-ACRY(M)-i11-GRN</t>
  </si>
  <si>
    <t>LEEU-PC-ACRY(M)-i11-RED</t>
  </si>
  <si>
    <t>LEEU-PC-ACRY(M)-i11-TP</t>
  </si>
  <si>
    <t>LEEU-PC-ACRY(M)-i11Pro-BLK</t>
  </si>
  <si>
    <t>LEEU-PC-ACRY(M)-i11Pro-BLU</t>
  </si>
  <si>
    <t>LEEU-PC-ACRY(M)-i11Pro-GRN</t>
  </si>
  <si>
    <t>LEEU-PC-ACRY(M)-i11Pro-PNK</t>
  </si>
  <si>
    <t>LEEU-PC-ACRY(M)-i11Pro-RED</t>
  </si>
  <si>
    <t>LEEU-PC-ACRY(M)-i11Pro-TP</t>
  </si>
  <si>
    <t>LEEU-PC-ACRY(M)-i11ProMax-BLK</t>
  </si>
  <si>
    <t>LEEU-PC-ACRY(M)-i11ProMax-BLU</t>
  </si>
  <si>
    <t>LEEU-PC-ACRY(M)-i11ProMax-GRN</t>
  </si>
  <si>
    <t>LEEU-PC-ACRY(M)-i11ProMax-RED</t>
  </si>
  <si>
    <t>LEEU-PC-ACRY(M)-i11ProMax-TP</t>
  </si>
  <si>
    <t>LEEU-PC-ACRY(M)-i12-BLK</t>
  </si>
  <si>
    <t>LEEU-PC-ACRY(M)-i12-BLU</t>
  </si>
  <si>
    <t>LEEU-PC-ACRY(M)-i12-GRN</t>
  </si>
  <si>
    <t>LEEU-PC-ACRY(M)-i12-TP</t>
  </si>
  <si>
    <t>LEEU-PC-ACRY(M)-i12Mini-BLK</t>
  </si>
  <si>
    <t>LEEU-PC-ACRY(M)-i12Mini-BLU</t>
  </si>
  <si>
    <t>LEEU-PC-ACRY(M)-i12Mini-GRN</t>
  </si>
  <si>
    <t>LEEU-PC-ACRY(M)-i12Mini-TP</t>
  </si>
  <si>
    <t>LEEU-PC-ACRY(M)-i12ProMax-BLK</t>
  </si>
  <si>
    <t>LEEU-PC-ACRY(M)-i12ProMax-BLU</t>
  </si>
  <si>
    <t>LEEU-PC-ACRY(M)-i12ProMax-GRN</t>
  </si>
  <si>
    <t>LEEU-PC-ACRY(M)-i12ProMax-TP</t>
  </si>
  <si>
    <t>LEEU-PC-ACRY(M)-i13-BLK</t>
  </si>
  <si>
    <t>LEEU-PC-ACRY(M)-i13-BLU</t>
  </si>
  <si>
    <t>LEEU-PC-ACRY(M)-i13-TP</t>
  </si>
  <si>
    <t>LEEU-PC-ACRY(M)-i13Mini-BLK</t>
  </si>
  <si>
    <t>LEEU-PC-ACRY(M)-i13Mini-BLU</t>
  </si>
  <si>
    <t>LEEU-PC-ACRY(M)-i13Mini-TP</t>
  </si>
  <si>
    <t>LEEU-PC-ACRY(M)-i13Pro-BLK</t>
  </si>
  <si>
    <t>LEEU-PC-ACRY(M)-i13Pro-BLU</t>
  </si>
  <si>
    <t>LEEU-PC-ACRY(M)-i13Pro-TP</t>
  </si>
  <si>
    <t>LEEU-PC-ACRY(M)-i13ProMax-BLK</t>
  </si>
  <si>
    <t>LEEU-PC-ACRY(M)-i13ProMax-BLU</t>
  </si>
  <si>
    <t>LEEU-PC-ACRY(M)-i13ProMax-TP</t>
  </si>
  <si>
    <t>LEEU-PC-ACRY(M)-i14-BLK</t>
  </si>
  <si>
    <t>LEEU-PC-ACRY(M)-i14-BLU</t>
  </si>
  <si>
    <t>LEEU-PC-ACRY(M)-i14-CLR</t>
  </si>
  <si>
    <t>LEEU-PC-ACRY(M)-i14Plus-BLK</t>
  </si>
  <si>
    <t>LEEU-PC-ACRY(M)-i14Plus-BLU</t>
  </si>
  <si>
    <t>LEEU-PC-ACRY(M)-i14Plus-CLR</t>
  </si>
  <si>
    <t>LEEU-PC-ACRY(M)-i14Pro-BLK</t>
  </si>
  <si>
    <t>LEEU-PC-ACRY(M)-i14Pro-BLU</t>
  </si>
  <si>
    <t>LEEU-PC-ACRY(M)-i14Pro-CLR</t>
  </si>
  <si>
    <t>LEEU-PC-ACRY(M)-i14ProMax-BLK</t>
  </si>
  <si>
    <t>LEEU-PC-ACRY(M)-i14ProMax-BLU</t>
  </si>
  <si>
    <t>LEEU-PC-ACRY(M)-i14ProMax-CLR</t>
  </si>
  <si>
    <t>LEEU-PC-ACRY(M)-i7/8/SE-RED</t>
  </si>
  <si>
    <t>LEEU-PC-ACRY(M)-i7/8/SE-TP</t>
  </si>
  <si>
    <t>LEEU-PC-ACRY(M)-i7/8Plus-BLK</t>
  </si>
  <si>
    <t>LEEU-PC-ACRY(M)-i7/8Plus-BLU</t>
  </si>
  <si>
    <t>LEEU-PC-ACRY(M)-i7/8Plus-RED</t>
  </si>
  <si>
    <t>LEEU-PC-ACRY(M)-i7/8Plus-TP</t>
  </si>
  <si>
    <t>LEEU-PC-ACRY(M)-iXR-BLK</t>
  </si>
  <si>
    <t>LEEU-PC-ACRY(M)-iXR-BLU</t>
  </si>
  <si>
    <t>LEEU-PC-ACRY(M)-iXR-RED</t>
  </si>
  <si>
    <t>LEEU-PC-ACRY(M)-iXR-TP</t>
  </si>
  <si>
    <t>LEEU-PC-ACRY(M)-iXS-BLK</t>
  </si>
  <si>
    <t>LEEU-PC-ACRY(M)-iXS-TP</t>
  </si>
  <si>
    <t>LEEU-PC-ACRY(M)-iXsMax-BLK</t>
  </si>
  <si>
    <t>LEEU-PC-ACRY(M)-iXsMax-TP</t>
  </si>
  <si>
    <t>LEEU-PC-ACRY(MS)-i13-CLR</t>
  </si>
  <si>
    <t>LEEU-PC-ACRY(MS)-i13Pro-CLR</t>
  </si>
  <si>
    <t>LEEU-PC-ACRY(MS)-i13ProMax-CLR</t>
  </si>
  <si>
    <t>LEEU-PC-AMD-i12-BLK</t>
  </si>
  <si>
    <t>LEEU-PC-AMD-i12-BLU</t>
  </si>
  <si>
    <t>LEEU-PC-AMD-i12Mini-BLK</t>
  </si>
  <si>
    <t>LEEU-PC-AMD-i12Mini-BLU</t>
  </si>
  <si>
    <t>LEEU-PC-AMD-i12Pro-BLK</t>
  </si>
  <si>
    <t>LEEU-PC-AMD-i12Pro-BLU</t>
  </si>
  <si>
    <t>LEEU-PC-AMD-i12ProMax-BLK</t>
  </si>
  <si>
    <t>LEEU-PC-AMD-i12ProMax-BLU</t>
  </si>
  <si>
    <t>LEEU-PC-ARCY(M)-i15-BLK</t>
  </si>
  <si>
    <t>LEEU-PC-ARCY(M)-i15-CLR</t>
  </si>
  <si>
    <t>LEEU-PC-ARCY(M)-i15Plus-BLK</t>
  </si>
  <si>
    <t>LEEU-PC-ARCY(M)-i15Plus-CLR</t>
  </si>
  <si>
    <t>LEEU-PC-ARCY(M)-i15Pro-BLK</t>
  </si>
  <si>
    <t>LEEU-PC-ARCY(M)-i15Pro-CLR</t>
  </si>
  <si>
    <t>LEEU-PC-ARCY(M)-i15ProMax-BLK</t>
  </si>
  <si>
    <t>LEEU-PC-ARCY(M)-i15ProMax-CLR</t>
  </si>
  <si>
    <t>LEEU-PC-ARCY(M)-i16-BLK</t>
  </si>
  <si>
    <t>LEEU-PC-ARCY(M)-i16-CLR</t>
  </si>
  <si>
    <t>LEEU-PC-ARCY(M)-i16Plus-BLK</t>
  </si>
  <si>
    <t>LEEU-PC-ARCY(M)-i16Plus-CLR</t>
  </si>
  <si>
    <t>LEEU-PC-ARCY(M)-i16Pro-BLK</t>
  </si>
  <si>
    <t>LEEU-PC-ARCY(M)-i16Pro-CLR</t>
  </si>
  <si>
    <t>LEEU-PC-ARCY(M)-i16ProMax-BLK</t>
  </si>
  <si>
    <t>LEEU-PC-ARCY(M)-i16ProMax-CLR</t>
  </si>
  <si>
    <t>LEEU-PC-ARCY(MS)-i15-BLK</t>
  </si>
  <si>
    <t>LEEU-PC-ARCY(MS)-i15-MTBLK</t>
  </si>
  <si>
    <t>LEEU-PC-ARCY(MS)-i15-MTCLR</t>
  </si>
  <si>
    <t>LEEU-PC-ARCY(MS)-i15PLus-MTBLK</t>
  </si>
  <si>
    <t>LEEU-PC-ARCY(MS)-i15Plus-BLK</t>
  </si>
  <si>
    <t>LEEU-PC-ARCY(MS)-i15Plus-CLR</t>
  </si>
  <si>
    <t>LEEU-PC-ARCY(MS)-i15Plus-MTCLR</t>
  </si>
  <si>
    <t>LEEU-PC-ARCY(MS)-i15Pro-BLK</t>
  </si>
  <si>
    <t>LEEU-PC-ARCY(MS)-i15Pro-CLR</t>
  </si>
  <si>
    <t>LEEU-PC-ARCY(MS)-i15Pro-MTBLK</t>
  </si>
  <si>
    <t>LEEU-PC-ARCY(MS)-i15Pro-MTCLR</t>
  </si>
  <si>
    <t>LEEU-PC-ARCY(MS)-i15ProMax-BLK</t>
  </si>
  <si>
    <t>LEEU-PC-ARCY(MS)-i15ProMax-CLR</t>
  </si>
  <si>
    <t>LEEU-PC-ARCY(MS)-i15ProMax-MTBLK</t>
  </si>
  <si>
    <t>LEEU-PC-ARCY(MS)-i15ProMax-MTCLR</t>
  </si>
  <si>
    <t>LEEU-PC-ARCY(MS)-i16-BLK</t>
  </si>
  <si>
    <t>LEEU-PC-ARCY(MS)-i16-CLR</t>
  </si>
  <si>
    <t>LEEU-PC-ARCY(MS)-i16-MTBLK</t>
  </si>
  <si>
    <t>LEEU-PC-ARCY(MS)-i16-MTCLR</t>
  </si>
  <si>
    <t>LEEU-PC-ARCY(MS)-i16Plus-BLK</t>
  </si>
  <si>
    <t>LEEU-PC-ARCY(MS)-i16Plus-CLR</t>
  </si>
  <si>
    <t>LEEU-PC-ARCY(MS)-i16Plus-MTBLK</t>
  </si>
  <si>
    <t>LEEU-PC-ARCY(MS)-i16Plus-MTCLR</t>
  </si>
  <si>
    <t>LEEU-PC-ARCY(MS)-i16Pro-BLK</t>
  </si>
  <si>
    <t>LEEU-PC-ARCY(MS)-i16Pro-CLR</t>
  </si>
  <si>
    <t>LEEU-PC-ARCY(MS)-i16Pro-MTBLK</t>
  </si>
  <si>
    <t>LEEU-PC-ARCY(MS)-i16Pro-MTCLR</t>
  </si>
  <si>
    <t>LEEU-PC-ARCY(MS)-i16ProMax-BLK</t>
  </si>
  <si>
    <t>LEEU-PC-ARCY(MS)-i16ProMax-CLR</t>
  </si>
  <si>
    <t>LEEU-PC-ARCY(MS)-i16ProMax-MTBLK</t>
  </si>
  <si>
    <t>LEEU-PC-ARCY(MS)-i16ProMax-MTCLR</t>
  </si>
  <si>
    <t>LEEU-PC-ARCY(MS)-iP17Air-CLR</t>
  </si>
  <si>
    <t>LEEU-PC-ARCY(MS)-iP17Pro-CLR</t>
  </si>
  <si>
    <t>LEEU-PC-ARCY-Mate30-GRN</t>
  </si>
  <si>
    <t>LEEU-PC-ARCY-Mate30-TP</t>
  </si>
  <si>
    <t>LEEU-PC-ARCY-S22Plus-CLR</t>
  </si>
  <si>
    <t>LEEU-PC-ARCY-i11-BLK</t>
  </si>
  <si>
    <t>LEEU-PC-ARCY-i11-BLU</t>
  </si>
  <si>
    <t>LEEU-PC-ARCY-i11-GRN</t>
  </si>
  <si>
    <t>LEEU-PC-ARCY-i11-TP</t>
  </si>
  <si>
    <t>LEEU-PC-ARCY-i11Max-BLK</t>
  </si>
  <si>
    <t>LEEU-PC-ARCY-i11Max-BLU</t>
  </si>
  <si>
    <t>LEEU-PC-ARCY-i11Max-GRN</t>
  </si>
  <si>
    <t>LEEU-PC-ARCY-i11Max-RED</t>
  </si>
  <si>
    <t>LEEU-PC-ARCY-i11Max-TP</t>
  </si>
  <si>
    <t>LEEU-PC-ARCY-i11Pro-BLK</t>
  </si>
  <si>
    <t>LEEU-PC-ARCY-i11Pro-BLU</t>
  </si>
  <si>
    <t>LEEU-PC-ARCY-i11Pro-GRN</t>
  </si>
  <si>
    <t>LEEU-PC-ARCY-i11Pro-PNK</t>
  </si>
  <si>
    <t>LEEU-PC-ARCY-i11Pro-RED</t>
  </si>
  <si>
    <t>LEEU-PC-ARCY-i11Pro-TP</t>
  </si>
  <si>
    <t>LEEU-PC-ARCY-i12-BLK</t>
  </si>
  <si>
    <t>LEEU-PC-ARCY-i12-BLU</t>
  </si>
  <si>
    <t>LEEU-PC-ARCY-i12-BLU/PUR</t>
  </si>
  <si>
    <t>LEEU-PC-ARCY-i12-GRN</t>
  </si>
  <si>
    <t>LEEU-PC-ARCY-i12-TP</t>
  </si>
  <si>
    <t>LEEU-PC-ARCY-i12Mini-BLK</t>
  </si>
  <si>
    <t>LEEU-PC-ARCY-i12Mini-BLU</t>
  </si>
  <si>
    <t>LEEU-PC-ARCY-i12Mini-BLU/PUR</t>
  </si>
  <si>
    <t>LEEU-PC-ARCY-i12Mini-GRN</t>
  </si>
  <si>
    <t>LEEU-PC-ARCY-i12Mini-RED/BLU</t>
  </si>
  <si>
    <t>LEEU-PC-ARCY-i12Mini-TP</t>
  </si>
  <si>
    <t>LEEU-PC-ARCY-i12ProMax-BLK</t>
  </si>
  <si>
    <t>LEEU-PC-ARCY-i12ProMax-BLU</t>
  </si>
  <si>
    <t>LEEU-PC-ARCY-i12ProMax-BLU/PUR</t>
  </si>
  <si>
    <t>LEEU-PC-ARCY-i12ProMax-GRN</t>
  </si>
  <si>
    <t>LEEU-PC-ARCY-i12ProMax-RED/BLU</t>
  </si>
  <si>
    <t>LEEU-PC-ARCY-i12ProMax-TP</t>
  </si>
  <si>
    <t>LEEU-PC-ARCY-i13-BLK</t>
  </si>
  <si>
    <t>LEEU-PC-ARCY-i13-BLU</t>
  </si>
  <si>
    <t>LEEU-PC-ARCY-i13-BLU/PUR</t>
  </si>
  <si>
    <t>LEEU-PC-ARCY-i13-RED/BLU</t>
  </si>
  <si>
    <t>LEEU-PC-ARCY-i13-TP</t>
  </si>
  <si>
    <t>LEEU-PC-ARCY-i13Mini-BLK</t>
  </si>
  <si>
    <t>LEEU-PC-ARCY-i13Mini-BLU</t>
  </si>
  <si>
    <t>LEEU-PC-ARCY-i13Mini-BLU/PUR</t>
  </si>
  <si>
    <t>LEEU-PC-ARCY-i13Mini-RED/BLU</t>
  </si>
  <si>
    <t>LEEU-PC-ARCY-i13Mini-TP</t>
  </si>
  <si>
    <t>LEEU-PC-ARCY-i13Pro-BLK</t>
  </si>
  <si>
    <t>LEEU-PC-ARCY-i13Pro-BLU</t>
  </si>
  <si>
    <t>LEEU-PC-ARCY-i13Pro-BLU/PUR</t>
  </si>
  <si>
    <t>LEEU-PC-ARCY-i13Pro-RED/BLU</t>
  </si>
  <si>
    <t>LEEU-PC-ARCY-i13Pro-TP</t>
  </si>
  <si>
    <t>LEEU-PC-ARCY-i13ProMax-BLK</t>
  </si>
  <si>
    <t>LEEU-PC-ARCY-i13ProMax-BLU</t>
  </si>
  <si>
    <t>LEEU-PC-ARCY-i13ProMax-BLU/PUR</t>
  </si>
  <si>
    <t>LEEU-PC-ARCY-i13ProMax-RED/BLU</t>
  </si>
  <si>
    <t>LEEU-PC-ARCY-i13ProMax-TP</t>
  </si>
  <si>
    <t>LEEU-PC-ARCY-i14-BLK</t>
  </si>
  <si>
    <t>LEEU-PC-ARCY-i14-BLU</t>
  </si>
  <si>
    <t>LEEU-PC-ARCY-i14-CLR</t>
  </si>
  <si>
    <t>LEEU-PC-ARCY-i14Plus-BLK</t>
  </si>
  <si>
    <t>LEEU-PC-ARCY-i14Plus-BLU</t>
  </si>
  <si>
    <t>LEEU-PC-ARCY-i14Pro-BLK</t>
  </si>
  <si>
    <t>LEEU-PC-ARCY-i14Pro-BLU</t>
  </si>
  <si>
    <t>LEEU-PC-ARCY-i14Pro-CLR</t>
  </si>
  <si>
    <t>LEEU-PC-ARCY-i14ProMax-BLK</t>
  </si>
  <si>
    <t>LEEU-PC-ARCY-i14ProMax-BLU</t>
  </si>
  <si>
    <t>LEEU-PC-ARCY-i14ProMax-CLR</t>
  </si>
  <si>
    <t>LEEU-PC-ARCY-i15-BLK</t>
  </si>
  <si>
    <t>LEEU-PC-ARCY-i15-CLR</t>
  </si>
  <si>
    <t>LEEU-PC-ARCY-i15Plus-BLK</t>
  </si>
  <si>
    <t>LEEU-PC-ARCY-i15Plus-CLR</t>
  </si>
  <si>
    <t>LEEU-PC-ARCY-i15Pro-BLK</t>
  </si>
  <si>
    <t>LEEU-PC-ARCY-i15Pro-CLR</t>
  </si>
  <si>
    <t>LEEU-PC-ARCY-i15ProMax-BLK</t>
  </si>
  <si>
    <t>LEEU-PC-ARCY-i15ProMax-CLR</t>
  </si>
  <si>
    <t>LEEU-PC-ARCY-i16-BLK</t>
  </si>
  <si>
    <t>LEEU-PC-ARCY-i16-CLR</t>
  </si>
  <si>
    <t>LEEU-PC-ARCY-i16Plus-BLK</t>
  </si>
  <si>
    <t>LEEU-PC-ARCY-i16Plus-CLR</t>
  </si>
  <si>
    <t>LEEU-PC-ARCY-i16Pro-BLK</t>
  </si>
  <si>
    <t>LEEU-PC-ARCY-i16Pro-CLR</t>
  </si>
  <si>
    <t>LEEU-PC-ARCY-i16ProMax-BLK</t>
  </si>
  <si>
    <t>LEEU-PC-ARCY-i16ProMax-CLR</t>
  </si>
  <si>
    <t>LEEU-PC-ARCY-i78P-BLK</t>
  </si>
  <si>
    <t>LEEU-PC-ARCY-i78P-BLU</t>
  </si>
  <si>
    <t>LEEU-PC-ARCY-i78P-RED</t>
  </si>
  <si>
    <t>LEEU-PC-ARCY-i78P-TP</t>
  </si>
  <si>
    <t>LEEU-PC-ARCY-i78P-WHT</t>
  </si>
  <si>
    <t>LEEU-PC-ARCY-iP17-CLR</t>
  </si>
  <si>
    <t>LEEU-PC-ARCY-iP17Air-CLR</t>
  </si>
  <si>
    <t>LEEU-PC-ARCY-iP17Pro-CLR</t>
  </si>
  <si>
    <t>LEEU-PC-ARCY-iP17ProMax-CLR</t>
  </si>
  <si>
    <t>LEEU-PC-ARCY-iSE-BLK</t>
  </si>
  <si>
    <t>LEEU-PC-ARCY-iSE-TP</t>
  </si>
  <si>
    <t>LEEU-PC-ARCY-iSE-WHT</t>
  </si>
  <si>
    <t>LEEU-PC-ARCY-iXR-BLK</t>
  </si>
  <si>
    <t>LEEU-PC-ARCY-iXR-CLR</t>
  </si>
  <si>
    <t>LEEU-PC-ARCY-iXR-RED</t>
  </si>
  <si>
    <t>LEEU-PC-ARCY-iXR-WHT</t>
  </si>
  <si>
    <t>LEEU-PC-ARCY-iXS-BLK</t>
  </si>
  <si>
    <t>LEEU-PC-ARCY-iXS-TP</t>
  </si>
  <si>
    <t>LEEU-PC-ARCY-iXsMax-BLK</t>
  </si>
  <si>
    <t>LEEU-PC-ARCY-iXsMax-BLU</t>
  </si>
  <si>
    <t>LEEU-PC-ARCY-iXsMax-TP</t>
  </si>
  <si>
    <t>LEEU-PC-ASD-i11ProMax-CLR</t>
  </si>
  <si>
    <t>LEEU-PC-ASD-i12-CLR</t>
  </si>
  <si>
    <t>LEEU-PC-ASD-i12Mini-CLR</t>
  </si>
  <si>
    <t>LEEU-PC-ASD-i12ProMax-CLR</t>
  </si>
  <si>
    <t>LEEU-PC-CCO-i11-BLK</t>
  </si>
  <si>
    <t>LEEU-PC-CCO-i11-GEB</t>
  </si>
  <si>
    <t>LEEU-PC-CCO-i11-MNG</t>
  </si>
  <si>
    <t>LEEU-PC-CCO-i11-PPG</t>
  </si>
  <si>
    <t>LEEU-PC-CCO-i11Pro-BLK</t>
  </si>
  <si>
    <t>LEEU-PC-CCO-i11Pro-GEB</t>
  </si>
  <si>
    <t>LEEU-PC-CCO-i11Pro-MNG</t>
  </si>
  <si>
    <t>LEEU-PC-CCO-i11Pro-PPG</t>
  </si>
  <si>
    <t>LEEU-PC-CCO-i11ProMax-BLK</t>
  </si>
  <si>
    <t>LEEU-PC-CCO-i11ProMax-GEB</t>
  </si>
  <si>
    <t>LEEU-PC-CCO-i11ProMax-PPG</t>
  </si>
  <si>
    <t>LEEU-PC-CCO-i12-BLK</t>
  </si>
  <si>
    <t>LEEU-PC-CCO-i12-GEB</t>
  </si>
  <si>
    <t>LEEU-PC-CCO-i12-MNG</t>
  </si>
  <si>
    <t>LEEU-PC-CCO-i12-PPG</t>
  </si>
  <si>
    <t>LEEU-PC-CCO-i12Mini-BLK</t>
  </si>
  <si>
    <t>LEEU-PC-CCO-i12Mini-GEB</t>
  </si>
  <si>
    <t>LEEU-PC-CCO-i12Mini-MNG</t>
  </si>
  <si>
    <t>LEEU-PC-CCO-i12Mini-PPG</t>
  </si>
  <si>
    <t>LEEU-PC-CCO-i12Pro-BLK</t>
  </si>
  <si>
    <t>LEEU-PC-CCO-i12Pro-GEB</t>
  </si>
  <si>
    <t>LEEU-PC-CCO-i12Pro-MNG</t>
  </si>
  <si>
    <t>LEEU-PC-CCO-i12Pro-PPG</t>
  </si>
  <si>
    <t>LEEU-PC-CCO-i12ProMax-BLK</t>
  </si>
  <si>
    <t>LEEU-PC-CCO-i12ProMax-GEB</t>
  </si>
  <si>
    <t>LEEU-PC-CCO-i12ProMax-MNG</t>
  </si>
  <si>
    <t>LEEU-PC-CCO-i12ProMax-PPG</t>
  </si>
  <si>
    <t>LEEU-PC-CCO-i13-BLK</t>
  </si>
  <si>
    <t>LEEU-PC-CCO-i13-GEB</t>
  </si>
  <si>
    <t>LEEU-PC-CCO-i13-MNG</t>
  </si>
  <si>
    <t>LEEU-PC-CCO-i13-PPG</t>
  </si>
  <si>
    <t>LEEU-PC-CCO-i13Mini-BLK</t>
  </si>
  <si>
    <t>LEEU-PC-CCO-i13Mini-GEB</t>
  </si>
  <si>
    <t>LEEU-PC-CCO-i13Mini-MNG</t>
  </si>
  <si>
    <t>LEEU-PC-CCO-i13Mini-PPG</t>
  </si>
  <si>
    <t>LEEU-PC-CCO-i13Pro-BLK</t>
  </si>
  <si>
    <t>LEEU-PC-CCO-i13Pro-GEB</t>
  </si>
  <si>
    <t>LEEU-PC-CCO-i13Pro-MNG</t>
  </si>
  <si>
    <t>LEEU-PC-CCO-i13Pro-PPG</t>
  </si>
  <si>
    <t>LEEU-PC-CCO-i13ProMax-BLK</t>
  </si>
  <si>
    <t>LEEU-PC-CCO-i13ProMax-MNG</t>
  </si>
  <si>
    <t>LEEU-PC-CCO-i13ProMax-PPG</t>
  </si>
  <si>
    <t>LEEU-PC-CCO-i78Plus-BLK</t>
  </si>
  <si>
    <t>LEEU-PC-CCO-i78Plus-GEB</t>
  </si>
  <si>
    <t>LEEU-PC-CCO-i78Plus-MNG</t>
  </si>
  <si>
    <t>LEEU-PC-CCO-i78Plus-PPG</t>
  </si>
  <si>
    <t>LEEU-PC-CCO-iXR-MNG</t>
  </si>
  <si>
    <t>LEEU-PC-CCO-iXR-PPG</t>
  </si>
  <si>
    <t>LEEU-PC-CCO-iXS-BLK</t>
  </si>
  <si>
    <t>LEEU-PC-CCO-iXS-GEB</t>
  </si>
  <si>
    <t>LEEU-PC-CCO-iXS-MNG</t>
  </si>
  <si>
    <t>LEEU-PC-CCO-iXS-PPG</t>
  </si>
  <si>
    <t>LEEU-PC-CCO-iXSMax-BLK</t>
  </si>
  <si>
    <t>LEEU-PC-CCO-iXSMax-GEB</t>
  </si>
  <si>
    <t>LEEU-PC-CCO-iXSMax-MNG</t>
  </si>
  <si>
    <t>LEEU-PC-CCO-iXSMax-PPG</t>
  </si>
  <si>
    <t>LEEU-PC-DMG(M)-i11Max-TP</t>
  </si>
  <si>
    <t>LEEU-PC-DMG(M)-i11Pro-TP</t>
  </si>
  <si>
    <t>LEEU-PC-DMG(M)-i12-TP</t>
  </si>
  <si>
    <t>LEEU-PC-DMG(M)-i12Mini-TP</t>
  </si>
  <si>
    <t>LEEU-PC-DMG(M)-i12ProMax-TP</t>
  </si>
  <si>
    <t>LEEU-PC-DMG(M)-i13-Mini-TP</t>
  </si>
  <si>
    <t>LEEU-PC-DMG(M)-i13-TP</t>
  </si>
  <si>
    <t>LEEU-PC-DMG(M)-i13Pro-TP</t>
  </si>
  <si>
    <t>LEEU-PC-DMG(M)-i13ProMax-TP</t>
  </si>
  <si>
    <t>LEEU-PC-DMG(M)-i14-TP</t>
  </si>
  <si>
    <t>LEEU-PC-DMG(M)-i14Plus-TP</t>
  </si>
  <si>
    <t>LEEU-PC-DMG(M)-i14Pro-TP</t>
  </si>
  <si>
    <t>LEEU-PC-DMG(M)-i14ProMax-TP</t>
  </si>
  <si>
    <t>LEEU-PC-DMG-i11-TP</t>
  </si>
  <si>
    <t>LEEU-PC-DMG-i11Max-TP</t>
  </si>
  <si>
    <t>LEEU-PC-DMG-i11Pro-TP</t>
  </si>
  <si>
    <t>LEEU-PC-DMG-i12-TP</t>
  </si>
  <si>
    <t>LEEU-PC-DMG-i12Mini-TP</t>
  </si>
  <si>
    <t>LEEU-PC-DMG-i12ProMax-TP</t>
  </si>
  <si>
    <t>LEEU-PC-DMG-i13-TP</t>
  </si>
  <si>
    <t>LEEU-PC-DMG-i13Mini-TP</t>
  </si>
  <si>
    <t>LEEU-PC-DMG-i13Pro-TP</t>
  </si>
  <si>
    <t>LEEU-PC-DMG-i13ProMax-TP</t>
  </si>
  <si>
    <t>LEEU-PC-DMG-i14-TP</t>
  </si>
  <si>
    <t>LEEU-PC-DMG-i14Plus-TP</t>
  </si>
  <si>
    <t>LEEU-PC-DMG-i14Pro-TP</t>
  </si>
  <si>
    <t>LEEU-PC-DMG-i14ProMax-TP</t>
  </si>
  <si>
    <t>LEEU-PC-DOMI-i13-BLK/BLK</t>
  </si>
  <si>
    <t>LEEU-PC-DOMI-i13-BLK/BLU</t>
  </si>
  <si>
    <t>LEEU-PC-DOMI-i13-BLK/RED</t>
  </si>
  <si>
    <t>LEEU-PC-DOMI-i13Pro-BLK/BLK</t>
  </si>
  <si>
    <t>LEEU-PC-DOMI-i13Pro-BLK/BLU</t>
  </si>
  <si>
    <t>LEEU-PC-DOMI-i13Pro-BLK/RED</t>
  </si>
  <si>
    <t>LEEU-PC-DOMI-i13ProMax-BLK/BLK</t>
  </si>
  <si>
    <t>LEEU-PC-DOMI-i13ProMax-BLK/BLU</t>
  </si>
  <si>
    <t>LEEU-PC-DORA-i14-BLK</t>
  </si>
  <si>
    <t>LEEU-PC-DORA-i14-BLU</t>
  </si>
  <si>
    <t>LEEU-PC-DORA-i14Plus-BLK</t>
  </si>
  <si>
    <t>LEEU-PC-DORA-i14Plus-BLU</t>
  </si>
  <si>
    <t>LEEU-PC-DORA-i14Pro-BLK</t>
  </si>
  <si>
    <t>LEEU-PC-DORA-i14Pro-BLU</t>
  </si>
  <si>
    <t>LEEU-PC-DORA-i14ProMax-BLK</t>
  </si>
  <si>
    <t>LEEU-PC-DORA-i14ProMax-BLU</t>
  </si>
  <si>
    <t>LEEU-PC-FASH-i11-BOY</t>
  </si>
  <si>
    <t>LEEU-PC-FASH-i11-GIR</t>
  </si>
  <si>
    <t>LEEU-PC-FASH-i11Pro-BOY</t>
  </si>
  <si>
    <t>LEEU-PC-FASH-i11Pro-GIR</t>
  </si>
  <si>
    <t>LEEU-PC-FASH-i11Pro-PUP/BLK</t>
  </si>
  <si>
    <t>LEEU-PC-FASH-i11Pro-PUP/WHT</t>
  </si>
  <si>
    <t>LEEU-PC-FASH-i11ProMax-BOY</t>
  </si>
  <si>
    <t>LEEU-PC-FASH-i11ProMax-GIR</t>
  </si>
  <si>
    <t>LEEU-PC-FASH-i11ProMax-PUP/BLK</t>
  </si>
  <si>
    <t>LEEU-PC-FASH-i11ProMax-PUP/WHT</t>
  </si>
  <si>
    <t>LEEU-PC-FASH-i12-BOY</t>
  </si>
  <si>
    <t>LEEU-PC-FASH-i12-GIR</t>
  </si>
  <si>
    <t>LEEU-PC-FASH-i12-PUP/BLK</t>
  </si>
  <si>
    <t>LEEU-PC-FASH-i12-PUP/WHT</t>
  </si>
  <si>
    <t>LEEU-PC-FASH-i12Mini-BOY</t>
  </si>
  <si>
    <t>LEEU-PC-FASH-i12Mini-PUP/WHT</t>
  </si>
  <si>
    <t>LEEU-PC-FASH-i12Pro-BOY</t>
  </si>
  <si>
    <t>LEEU-PC-FASH-i12Pro-GIR</t>
  </si>
  <si>
    <t>LEEU-PC-FASH-i12Pro-PUP/BLK</t>
  </si>
  <si>
    <t>LEEU-PC-FASH-i12Pro-PUP/WHT</t>
  </si>
  <si>
    <t>LEEU-PC-FASH-i12ProMax-BOY</t>
  </si>
  <si>
    <t>LEEU-PC-FASH-i12ProMax-GIR</t>
  </si>
  <si>
    <t>LEEU-PC-FASH-i12ProMax-PUP/BLK</t>
  </si>
  <si>
    <t>LEEU-PC-FASH-i12ProMax-PUP/WHT</t>
  </si>
  <si>
    <t>LEEU-PC-FASH-iSE-BOY</t>
  </si>
  <si>
    <t>LEEU-PC-FASH-iSE-GIR</t>
  </si>
  <si>
    <t>LEEU-PC-FASH-iSE-PUP/WHT</t>
  </si>
  <si>
    <t>LEEU-PC-FASH-iXR-BOY</t>
  </si>
  <si>
    <t>LEEU-PC-FASH-iXR-GIR</t>
  </si>
  <si>
    <t>LEEU-PC-FASH-iXS-BOY</t>
  </si>
  <si>
    <t>LEEU-PC-FASH-iXS-GIR</t>
  </si>
  <si>
    <t>LEEU-PC-FASH-iXS-PUP/BLK</t>
  </si>
  <si>
    <t>LEEU-PC-FASH-iXS-PUP/WHT</t>
  </si>
  <si>
    <t>LEEU-PC-FASH-iXSMax-BOY</t>
  </si>
  <si>
    <t>LEEU-PC-FASH-iXSMax-GIR</t>
  </si>
  <si>
    <t>LEEU-PC-FASH-iXSMax-PUP/BLK</t>
  </si>
  <si>
    <t>LEEU-PC-FASH-iXSMax-PUP/WHT</t>
  </si>
  <si>
    <t>LEEU-PC-FOUR-A54/5G-CLR</t>
  </si>
  <si>
    <t>LEEU-PC-FOUR-S23-CLR</t>
  </si>
  <si>
    <t>LEEU-PC-FOUR-S23Plus-CLR</t>
  </si>
  <si>
    <t>LEEU-PC-FOUR-S23Ultra-CLR</t>
  </si>
  <si>
    <t>LEEU-PC-FOUR-S24-CLR</t>
  </si>
  <si>
    <t>LEEU-PC-FOUR-S24Plus-CLR</t>
  </si>
  <si>
    <t>LEEU-PC-FOUR-S24Ultra-CLR</t>
  </si>
  <si>
    <t>LEEU-PC-FOUR-ZFlip3-CLR</t>
  </si>
  <si>
    <t>LEEU-PC-FOUR-ZFlip4-CLR</t>
  </si>
  <si>
    <t>LEEU-PC-FOUR-ZFlip5-CLR</t>
  </si>
  <si>
    <t>LEEU-PC-FOUR-i15-CLR</t>
  </si>
  <si>
    <t>LEEU-PC-FOUR-i15Plus-CLR</t>
  </si>
  <si>
    <t>LEEU-PC-FOUR-i15Pro-CLR</t>
  </si>
  <si>
    <t>LEEU-PC-FOUR-i15ProMax-CLR</t>
  </si>
  <si>
    <t>LEEU-PC-FTS-i12-BLK</t>
  </si>
  <si>
    <t>LEEU-PC-FTS-i12-GRN</t>
  </si>
  <si>
    <t>LEEU-PC-FTS-i12-PNK</t>
  </si>
  <si>
    <t>LEEU-PC-FTS-i12-WHT</t>
  </si>
  <si>
    <t>LEEU-PC-FTS-i12Pro-BLK</t>
  </si>
  <si>
    <t>LEEU-PC-FTS-i12Pro-GRN</t>
  </si>
  <si>
    <t>LEEU-PC-FTS-i12Pro-PNK</t>
  </si>
  <si>
    <t>LEEU-PC-FTS-i12Pro-WHT</t>
  </si>
  <si>
    <t>LEEU-PC-FTS-i12ProMax-BLK</t>
  </si>
  <si>
    <t>LEEU-PC-FTS-i12ProMax-GRN</t>
  </si>
  <si>
    <t>LEEU-PC-FTS-i12ProMax-PNK</t>
  </si>
  <si>
    <t>LEEU-PC-FTS-i12ProMax-WHT</t>
  </si>
  <si>
    <t>LEEU-PC-FTS-i13-BLK</t>
  </si>
  <si>
    <t>LEEU-PC-FTS-i13-GRN</t>
  </si>
  <si>
    <t>LEEU-PC-FTS-i13-WHT</t>
  </si>
  <si>
    <t>LEEU-PC-FTS-i13Pro-BLK</t>
  </si>
  <si>
    <t>LEEU-PC-FTS-i13Pro-GRN</t>
  </si>
  <si>
    <t>LEEU-PC-FTS-i13Pro-PNK</t>
  </si>
  <si>
    <t>LEEU-PC-FTS-i13Pro-WHT</t>
  </si>
  <si>
    <t>LEEU-PC-FTS-i13ProMax-BLK</t>
  </si>
  <si>
    <t>LEEU-PC-FTS-i13ProMax-GRN</t>
  </si>
  <si>
    <t>LEEU-PC-FTS-i13ProMax-WHT</t>
  </si>
  <si>
    <t>LEEU-PC-LION-P40-BLK</t>
  </si>
  <si>
    <t>LEEU-PC-LION-P40-BLU</t>
  </si>
  <si>
    <t>LEEU-PC-LION-P40-TP</t>
  </si>
  <si>
    <t>LEEU-PC-LION-i11Max-BLU</t>
  </si>
  <si>
    <t>LEEU-PC-LION-i11Max-TP</t>
  </si>
  <si>
    <t>LEEU-PC-LION-i11Pro-BLU</t>
  </si>
  <si>
    <t>LEEU-PC-LION-i11Pro-TP</t>
  </si>
  <si>
    <t>LEEU-PC-LION-i12Pro-BLK</t>
  </si>
  <si>
    <t>LEEU-PC-LION-i12Pro-BLU</t>
  </si>
  <si>
    <t>LEEU-PC-LION-i12ProMax-BLK</t>
  </si>
  <si>
    <t>LEEU-PC-LION-i12ProMax-BLU</t>
  </si>
  <si>
    <t>LEEU-PC-LION-i13ProMax-BLK</t>
  </si>
  <si>
    <t>LEEU-PC-RING-i16-BLK</t>
  </si>
  <si>
    <t>LEEU-PC-RING-i16-GRY</t>
  </si>
  <si>
    <t>LEEU-PC-RING-i16Plus-BLK</t>
  </si>
  <si>
    <t>LEEU-PC-RING-i16Plus-GRY</t>
  </si>
  <si>
    <t>LEEU-PC-RING-i16Pro-BLK</t>
  </si>
  <si>
    <t>LEEU-PC-RING-i16Pro-GRY</t>
  </si>
  <si>
    <t>LEEU-PC-RING-i16ProMax-BLK</t>
  </si>
  <si>
    <t>LEEU-PC-RING-i16ProMax-GRY</t>
  </si>
  <si>
    <t>LEEU-PC-ROFIRE-P40-TP</t>
  </si>
  <si>
    <t>LEEU-PC-ROFIRE-i11PRO-TP</t>
  </si>
  <si>
    <t>LEEU-PC-ROFIRE-i13-CLR</t>
  </si>
  <si>
    <t>LEEU-PC-ROFIRE-i13Pro-CLR</t>
  </si>
  <si>
    <t>LEEU-PC-ROFIRE-i13ProMax-CLR</t>
  </si>
  <si>
    <t>LEEU-PC-ROFIRE-i14-CLR</t>
  </si>
  <si>
    <t>LEEU-PC-ROFIRE-i14Plus-CLR</t>
  </si>
  <si>
    <t>LEEU-PC-ROFIRE-i14Pro-CLR</t>
  </si>
  <si>
    <t>LEEU-PC-SLIM-i11-BLK</t>
  </si>
  <si>
    <t>LEEU-PC-SLIM-i11-TP</t>
  </si>
  <si>
    <t>LEEU-PC-SLIM-i11Pro-BLK</t>
  </si>
  <si>
    <t>LEEU-PC-SLIM-i11Pro-TP</t>
  </si>
  <si>
    <t>LEEU-PC-SLIM-i11ProMax-BLK</t>
  </si>
  <si>
    <t>LEEU-PC-SLIM-i11ProMax-TP</t>
  </si>
  <si>
    <t>LEEU-PC-SLIM-i12-BLK</t>
  </si>
  <si>
    <t>LEEU-PC-SLIM-i12-TP</t>
  </si>
  <si>
    <t>LEEU-PC-SLIM-i12Mini-BLK</t>
  </si>
  <si>
    <t>LEEU-PC-SLIM-i12Mini-TP</t>
  </si>
  <si>
    <t>LEEU-PC-SLIM-i12ProMax-BLK</t>
  </si>
  <si>
    <t>LEEU-PC-SLIM-i12ProMax-TP</t>
  </si>
  <si>
    <t>LEEU-PC-SLIM-i13-BLK</t>
  </si>
  <si>
    <t>LEEU-PC-SLIM-i13-TP</t>
  </si>
  <si>
    <t>LEEU-PC-SLIM-i13Pro-BLK</t>
  </si>
  <si>
    <t>LEEU-PC-SLIM-i13Pro-TP</t>
  </si>
  <si>
    <t>LEEU-PC-SLIM-i13ProMax-BLK</t>
  </si>
  <si>
    <t>LEEU-PC-SLIM-i13ProMax-TP</t>
  </si>
  <si>
    <t>LEEU-PC-SLIM-i14-BLK</t>
  </si>
  <si>
    <t>LEEU-PC-SLIM-i14-TP</t>
  </si>
  <si>
    <t>LEEU-PC-SLIM-i14Plus-BLK</t>
  </si>
  <si>
    <t>LEEU-PC-SLIM-i14Plus-TP</t>
  </si>
  <si>
    <t>LEEU-PC-SLIM-i14Pro-BLK</t>
  </si>
  <si>
    <t>LEEU-PC-SLIM-i14Pro-TP</t>
  </si>
  <si>
    <t>LEEU-PC-SLIM-i14ProMax-BLK</t>
  </si>
  <si>
    <t>LEEU-PC-SLIM-i14ProMax-TP</t>
  </si>
  <si>
    <t>LEEU-PC-WOLF(M)-P40-BLK</t>
  </si>
  <si>
    <t>LEEU-PC-WOLF(M)-P40-BLU</t>
  </si>
  <si>
    <t>LEEU-PC-WOLF(M)-P40-GRY</t>
  </si>
  <si>
    <t>LEEU-PC-WOLF(M)-P40-TP</t>
  </si>
  <si>
    <t>LEEU-PC-WOLF(M)-i11-BLK</t>
  </si>
  <si>
    <t>LEEU-PC-WOLF(M)-i11-BLU</t>
  </si>
  <si>
    <t>LEEU-PC-WOLF(M)-i11-MNG</t>
  </si>
  <si>
    <t>LEEU-PC-WOLF(M)-i11-TP</t>
  </si>
  <si>
    <t>LEEU-PC-WOLF(M)-i11Max-BLK</t>
  </si>
  <si>
    <t>LEEU-PC-WOLF(M)-i11Max-BLU</t>
  </si>
  <si>
    <t>LEEU-PC-WOLF(M)-i11Max-MNG</t>
  </si>
  <si>
    <t>LEEU-PC-WOLF(M)-i11Max-TP</t>
  </si>
  <si>
    <t>LEEU-PC-WOLF(M)-i11Pro-BLK</t>
  </si>
  <si>
    <t>LEEU-PC-WOLF(M)-i11Pro-BLU</t>
  </si>
  <si>
    <t>LEEU-PC-WOLF(M)-i11Pro-MNG</t>
  </si>
  <si>
    <t>LEEU-PC-WOLF(M)-i11Pro-TP</t>
  </si>
  <si>
    <t>LEEU-PC-WOLF(M)-i12-BLK</t>
  </si>
  <si>
    <t>LEEU-PC-WOLF(M)-i12-BLU</t>
  </si>
  <si>
    <t>LEEU-PC-WOLF(M)-i12-CLR</t>
  </si>
  <si>
    <t>LEEU-PC-WOLF(M)-i12Mini-BLK</t>
  </si>
  <si>
    <t>LEEU-PC-WOLF(M)-i12Mini-CLR</t>
  </si>
  <si>
    <t>LEEU-PC-WOLF(M)-i12Pro-BLK</t>
  </si>
  <si>
    <t>LEEU-PC-WOLF(M)-i12Pro-BLU</t>
  </si>
  <si>
    <t>LEEU-PC-WOLF(M)-i12Pro-CLR</t>
  </si>
  <si>
    <t>LEEU-PC-WOLF(M)-i12ProMax-BLU</t>
  </si>
  <si>
    <t>LEEU-PC-WOLF(M)-i12ProMax-CLR</t>
  </si>
  <si>
    <t>LEEU-PC-WOLF(M)-i13Pro-BLK</t>
  </si>
  <si>
    <t>LEEU-PC-WOLF(M)-i13Pro-BLU</t>
  </si>
  <si>
    <t>LEEU-PC-WOLF(M)-i13Pro-CLR</t>
  </si>
  <si>
    <t>LEEU-PC-WOLF(M)-i13ProMax-BLK</t>
  </si>
  <si>
    <t>LEEU-PC-WOLF(M)-i14-BLK</t>
  </si>
  <si>
    <t>LEEU-PC-WOLF(M)-i14-BLU</t>
  </si>
  <si>
    <t>LEEU-PC-WOLF(M)-i14-CLR</t>
  </si>
  <si>
    <t>LEEU-PC-WOLF(M)-i14Plus-BLK</t>
  </si>
  <si>
    <t>LEEU-PC-WOLF(M)-i14Plus-BLU</t>
  </si>
  <si>
    <t>LEEU-PC-WOLF(M)-i14Plus-CLR</t>
  </si>
  <si>
    <t>LEEU-PC-WOLF(M)-i14Pro-BLU</t>
  </si>
  <si>
    <t>LEEU-PC-WOLF(M)-i14Pro-CLR</t>
  </si>
  <si>
    <t>LEEU-PC-WOLF(M)-i14ProMax-BLK</t>
  </si>
  <si>
    <t>LEEU-PC-WOLF(M)-i14ProMax-BLU</t>
  </si>
  <si>
    <t>LEEU-PC-WOLF(M)-i14ProMax-CLR</t>
  </si>
  <si>
    <t>LEEU-PC-WOLF-P40-RED</t>
  </si>
  <si>
    <t>LEEU-PC-WOLF-i11PRO-BLK</t>
  </si>
  <si>
    <t>LEEU-PC-WOLF-i11PRO-GLD</t>
  </si>
  <si>
    <t>LEEU-PC-WOLF-i11PRO-SLV</t>
  </si>
  <si>
    <t>LEEU-PC-WOLF-i12-BLK</t>
  </si>
  <si>
    <t>LEEU-PC-WOLF-i12-BLU</t>
  </si>
  <si>
    <t>LEEU-PC-WOLF-i12-CLR</t>
  </si>
  <si>
    <t>LEEU-PC-WOLF-i12Mini-BLK</t>
  </si>
  <si>
    <t>LEEU-PC-WOLF-i12Mini-CLR</t>
  </si>
  <si>
    <t>LEEU-PC-WOLF-i12Pro-BLK</t>
  </si>
  <si>
    <t>LEEU-PC-WOLF-i12Pro-BLU</t>
  </si>
  <si>
    <t>LEEU-PC-WOLF-i12Pro-CLR</t>
  </si>
  <si>
    <t>LEEU-PC-WOLF-i12ProMax-BLK</t>
  </si>
  <si>
    <t>LEEU-PC-WOLF-i12ProMax-BLU</t>
  </si>
  <si>
    <t>LEEU-PC-WOLF-i13-BLK</t>
  </si>
  <si>
    <t>LEEU-PC-WOLF-i13-BLU</t>
  </si>
  <si>
    <t>LEEU-PC-WOLF-i13-CLR</t>
  </si>
  <si>
    <t>LEEU-PC-WOLF-i13Pro-BLK</t>
  </si>
  <si>
    <t>LEEU-PC-WOLF-i13Pro-BLU</t>
  </si>
  <si>
    <t>LEEU-PC-WOLF-i13ProMax-BLK</t>
  </si>
  <si>
    <t>LEEU-PC-WOLF-i13ProMax-BLU</t>
  </si>
  <si>
    <t>LEEU-PC-WOLF-i13ProMax-CLR</t>
  </si>
  <si>
    <t>LEEU-SP-3D-Mate30</t>
  </si>
  <si>
    <t>LEEU-SP-3D-P40</t>
  </si>
  <si>
    <t>LEEU-SP-3D-P40Pro</t>
  </si>
  <si>
    <t>LEEU-SP-3D-i12-BLK</t>
  </si>
  <si>
    <t>LEEU-SP-3D-i12-PVC</t>
  </si>
  <si>
    <t>LEEU-SP-3D-i12Mini-BLK</t>
  </si>
  <si>
    <t>LEEU-SP-3D-i12Mini-PVC</t>
  </si>
  <si>
    <t>LEEU-SP-3D-i12ProMax-BLK</t>
  </si>
  <si>
    <t>LEEU-SP-3D-i12ProMax-PVC</t>
  </si>
  <si>
    <t>LEEU-SP-3D-i13-BLK</t>
  </si>
  <si>
    <t>LEEU-SP-3D-i13-PVC</t>
  </si>
  <si>
    <t>LEEU-SP-3D-i13ProMax-BLK</t>
  </si>
  <si>
    <t>LEEU-SP-3D-i13ProMax-PVC</t>
  </si>
  <si>
    <t>LEEU-SP-3D-i14Pro-BLK</t>
  </si>
  <si>
    <t>LEEU-SP-3D-i14Pro-PVC</t>
  </si>
  <si>
    <t>LEEU-SP-3D-i14ProMax-BLK</t>
  </si>
  <si>
    <t>LEEU-SP-3D-i14ProMax-PVC</t>
  </si>
  <si>
    <t>LEEU-SP-3D-i15-BLK</t>
  </si>
  <si>
    <t>LEEU-SP-3D-i15Plus-BLK</t>
  </si>
  <si>
    <t>LEEU-SP-3D-i78P-BLK</t>
  </si>
  <si>
    <t>LEEU-SP-3D-i78P-WHT</t>
  </si>
  <si>
    <t>LEEU-SP-3D-iSE-BLK</t>
  </si>
  <si>
    <t>LEEU-SP-3D-iSE-WHT</t>
  </si>
  <si>
    <t>LEEU-SP-3D-iXR-BLK</t>
  </si>
  <si>
    <t>LEEU-SP-3D-iXR-PVC</t>
  </si>
  <si>
    <t>LEEU-SP-3D-iXS-PVC</t>
  </si>
  <si>
    <t>LEEU-SP-3D-iXSMax-BLK</t>
  </si>
  <si>
    <t>LEEU-SP-3D-iXsMax-PVC</t>
  </si>
  <si>
    <t>LGEN-PC-CRY-i12-TP</t>
  </si>
  <si>
    <t>LGEN-PC-CRY-i12Mini-TP</t>
  </si>
  <si>
    <t>LGEN-PC-CRY-i12Pro-TP</t>
  </si>
  <si>
    <t>LGEN-PC-CRY-i12ProMax-TP</t>
  </si>
  <si>
    <t>LGEN-PC-CUSH(DX)-i12-BLU</t>
  </si>
  <si>
    <t>LGEN-PC-CUSH(DX)-i12-RED</t>
  </si>
  <si>
    <t>LGEN-PC-CUSH(DX)-i12-TP</t>
  </si>
  <si>
    <t>LGEN-PC-CUSH(DX)-i12-TPBLK</t>
  </si>
  <si>
    <t>LGEN-PC-CUSH(DX)-i12Mini-BLU</t>
  </si>
  <si>
    <t>LGEN-PC-CUSH(DX)-i12Mini-RED</t>
  </si>
  <si>
    <t>LGEN-PC-CUSH(DX)-i12Mini-TP</t>
  </si>
  <si>
    <t>LGEN-PC-CUSH(DX)-i12Mini-TPBLK</t>
  </si>
  <si>
    <t>LGEN-PC-CUSH(DX)-i12Pro-BLU</t>
  </si>
  <si>
    <t>LGEN-PC-CUSH(DX)-i12Pro-RED</t>
  </si>
  <si>
    <t>LGEN-PC-CUSH(DX)-i12Pro-TP</t>
  </si>
  <si>
    <t>LGEN-PC-CUSH(DX)-i12Pro-TPBLK</t>
  </si>
  <si>
    <t>LGEN-PC-CUSH(DX)-i12ProMax-RED</t>
  </si>
  <si>
    <t>LGEN-PC-CUSH-i12-TP</t>
  </si>
  <si>
    <t>LGEN-PC-CUSH-i12-TPBLK</t>
  </si>
  <si>
    <t>LGEN-PC-CUSH-i12Mini-RAIN</t>
  </si>
  <si>
    <t>LGEN-PC-CUSH-i12Mini-TP</t>
  </si>
  <si>
    <t>LGEN-PC-CUSH-i12Mini-TPBLK</t>
  </si>
  <si>
    <t>LGEN-PC-CUSH-i12Pro-TP</t>
  </si>
  <si>
    <t>LGEN-PC-CUSH-i12Pro-TPBLK</t>
  </si>
  <si>
    <t>LGEN-PC-CUSH-i12ProMax-TP</t>
  </si>
  <si>
    <t>LUS-PC-C2(MS)-i15Pro-BLK</t>
  </si>
  <si>
    <t>LUS-PC-C2(MS)-i15Pro-WHT</t>
  </si>
  <si>
    <t>LUS-PC-C2(MS)-i15ProMax-BLK</t>
  </si>
  <si>
    <t>LUS-PC-C2(MS)-i15ProMax-WHT</t>
  </si>
  <si>
    <t>LUS-PC-C2(MS)-i16-BLK</t>
  </si>
  <si>
    <t>LUS-PC-C2(MS)-i16-PNK</t>
  </si>
  <si>
    <t>LUS-PC-C2(MS)-i16-WHT</t>
  </si>
  <si>
    <t>LUS-PC-C2(MS)-i16Plus-BLK</t>
  </si>
  <si>
    <t>LUS-PC-C2(MS)-i16Plus-PNK</t>
  </si>
  <si>
    <t>LUS-PC-C2(MS)-i16Plus-WHT</t>
  </si>
  <si>
    <t>LUS-PC-C2(MS)-i16Pro-BLK</t>
  </si>
  <si>
    <t>LUS-PC-C2(MS)-i16Pro-PNK</t>
  </si>
  <si>
    <t>LUS-PC-C2(MS)-i16Pro-PRP</t>
  </si>
  <si>
    <t>LUS-PC-C2(MS)-i16Pro-WHT</t>
  </si>
  <si>
    <t>LUS-PC-C2(MS)-i16ProMax-BLK</t>
  </si>
  <si>
    <t>LUS-PC-C2(MS)-i16ProMax-PNK</t>
  </si>
  <si>
    <t>LUS-PC-C2(MS)-i16ProMax-PRP</t>
  </si>
  <si>
    <t>LUS-PC-C2(MS)-i16ProMax-WHT</t>
  </si>
  <si>
    <t>LUS-PC-G(STAND)-S24Ultra-TP</t>
  </si>
  <si>
    <t>LUS-PC-G(STAND)-S25Edge-TP</t>
  </si>
  <si>
    <t>LUS-PC-G(STAND)-S25Plus-TP</t>
  </si>
  <si>
    <t>LUS-PC-G(STAND)-S25Ultra-TP</t>
  </si>
  <si>
    <t>LUS-PC-G(STAND)-i15Pro-BLK</t>
  </si>
  <si>
    <t>LUS-PC-G(STAND)-i15Pro-WHT</t>
  </si>
  <si>
    <t>LUS-PC-G(STAND)-i15ProMax-BLK</t>
  </si>
  <si>
    <t>LUS-PC-G(STAND)-i15ProMax-WHT</t>
  </si>
  <si>
    <t>LUS-PC-G(STAND)-i16-BLK</t>
  </si>
  <si>
    <t>LUS-PC-G(STAND)-i16-PRP</t>
  </si>
  <si>
    <t>LUS-PC-G(STAND)-i16-WHT</t>
  </si>
  <si>
    <t>LUS-PC-G(STAND)-i16Plus-BLK</t>
  </si>
  <si>
    <t>LUS-PC-G(STAND)-i16Plus-PRP</t>
  </si>
  <si>
    <t>LUS-PC-G(STAND)-i16Plus-WHT</t>
  </si>
  <si>
    <t>LUS-PC-G(STAND)-i16Pro-BLK</t>
  </si>
  <si>
    <t>LUS-PC-G(STAND)-i16Pro-BLU</t>
  </si>
  <si>
    <t>LUS-PC-G(STAND)-i16Pro-PRP</t>
  </si>
  <si>
    <t>LUS-PC-G(STAND)-i16Pro-WHT</t>
  </si>
  <si>
    <t>LUS-PC-G(STAND)-i16ProMax-BLK</t>
  </si>
  <si>
    <t>LUS-PC-G(STAND)-i16ProMax-BLU</t>
  </si>
  <si>
    <t>LUS-PC-G(STAND)-i16ProMax-PRP</t>
  </si>
  <si>
    <t>LUS-PC-G(STAND)-i16ProMax-WHT</t>
  </si>
  <si>
    <t>LUS-PC-G(STAND)-iP16E-TP</t>
  </si>
  <si>
    <t>LUS-PC-J1-i14Pro-WHT</t>
  </si>
  <si>
    <t>LUS-PC-J1-i14ProMax-WHT</t>
  </si>
  <si>
    <t>LUS-PC-J1-i15Pro-WHT</t>
  </si>
  <si>
    <t>LUS-PC-J1-i15ProMax-WHT</t>
  </si>
  <si>
    <t>LUS-PC-J1-i16-BLK</t>
  </si>
  <si>
    <t>LUS-PC-J1-i16-WHT</t>
  </si>
  <si>
    <t>LUS-PC-J1-i16Plus-BLK</t>
  </si>
  <si>
    <t>LUS-PC-J1-i16Plus-WHT</t>
  </si>
  <si>
    <t>LUS-PC-J1-i16Pro-BLK</t>
  </si>
  <si>
    <t>LUS-PC-J1-i16Pro-BLU</t>
  </si>
  <si>
    <t>LUS-PC-J1-i16Pro-WHT</t>
  </si>
  <si>
    <t>LUS-PC-J1-i16ProMax-BLK</t>
  </si>
  <si>
    <t>LUS-PC-J1-i16ProMax-BLU</t>
  </si>
  <si>
    <t>LUS-PC-J1-i16ProMax-WHT</t>
  </si>
  <si>
    <t>LUS-PC-SIL(STAND)-i15Pro-BLK</t>
  </si>
  <si>
    <t>LUS-PC-SIL(STAND)-i15Pro-PNK</t>
  </si>
  <si>
    <t>LUS-PC-SIL(STAND)-i15Pro-WHT</t>
  </si>
  <si>
    <t>LUS-PC-SIL(STAND)-i15ProMax-BLK</t>
  </si>
  <si>
    <t>LUS-PC-SIL(STAND)-i15ProMax-PNK</t>
  </si>
  <si>
    <t>LUS-PC-SIL(STAND)-i15ProMax-WHT</t>
  </si>
  <si>
    <t>LUS-PC-SIL(STAND)-i16-BLK</t>
  </si>
  <si>
    <t>LUS-PC-SIL(STAND)-i16-PNK</t>
  </si>
  <si>
    <t>LUS-PC-SIL(STAND)-i16-WHT</t>
  </si>
  <si>
    <t>LUS-PC-SIL(STAND)-i16Plus-BLK</t>
  </si>
  <si>
    <t>LUS-PC-SIL(STAND)-i16Plus-PNK</t>
  </si>
  <si>
    <t>LUS-PC-SIL(STAND)-i16Plus-WHT</t>
  </si>
  <si>
    <t>LUS-PC-SIL(STAND)-i16Pro-BLK</t>
  </si>
  <si>
    <t>LUS-PC-SIL(STAND)-i16Pro-PNK</t>
  </si>
  <si>
    <t>LUS-PC-SIL(STAND)-i16Pro-WHT</t>
  </si>
  <si>
    <t>LUS-PC-SIL(STAND)-i16ProMax-BLK</t>
  </si>
  <si>
    <t>LUS-PC-SIL(STAND)-i16ProMax-PNK</t>
  </si>
  <si>
    <t>LUS-PC-SIL(STAND)-i16ProMax-WHT</t>
  </si>
  <si>
    <t>LUS-PC-YD(MS)-S23Plus-WHT</t>
  </si>
  <si>
    <t>LUS-PC-YD(MS)-S24Plus-WHT</t>
  </si>
  <si>
    <t>LUS-PC-YD(MS)-S24Ultra-BLK</t>
  </si>
  <si>
    <t>LUS-PC-YD(MS)-S24Ultra-WHT</t>
  </si>
  <si>
    <t>LUS-PC-YD(MS)-S25Edge-BLK</t>
  </si>
  <si>
    <t>LUS-PC-YD(MS)-S25Edge-WHT</t>
  </si>
  <si>
    <t>LUS-PC-YD(MS)-S25Plus-BLK</t>
  </si>
  <si>
    <t>LUS-PC-YD(MS)-S25Plus-WHT</t>
  </si>
  <si>
    <t>LUS-PC-YD(MS)-S25Ultra-WHT</t>
  </si>
  <si>
    <t>LUS-PC-YD(STAND)-S24FE-BLK</t>
  </si>
  <si>
    <t>LUS-PC-YD(STAND)-S24FE-WHT</t>
  </si>
  <si>
    <t>LUS-PC-YD(STAND)-S24Ultra-BLK</t>
  </si>
  <si>
    <t>LUS-PC-YD(STAND)-S24Ultra-WHT</t>
  </si>
  <si>
    <t>LUS-PC-YD(STAND)-S25Edge-BLK</t>
  </si>
  <si>
    <t>LUS-PC-YD(STAND)-S25Edge-WHT</t>
  </si>
  <si>
    <t>LUS-PC-YD(STAND)-S25Plus-BLK</t>
  </si>
  <si>
    <t>LUS-PC-YD(STAND)-S25Ultra-BLK</t>
  </si>
  <si>
    <t>LUS-PC-YD(STAND)-S25Ultra-WHT</t>
  </si>
  <si>
    <t>MK-ACE-023-Stand-BLU</t>
  </si>
  <si>
    <t>MK-ACE-023-Stand-GRY</t>
  </si>
  <si>
    <t>MK-ACE-023-Stand-PRP</t>
  </si>
  <si>
    <t>MK-ACE-023-Stand-SLV</t>
  </si>
  <si>
    <t>MK-ACE-026-Stand-BLU</t>
  </si>
  <si>
    <t>MK-ACE-026-Stand-GRY</t>
  </si>
  <si>
    <t>MK-ACE-026-Stand-PRP</t>
  </si>
  <si>
    <t>MK-ACE-026-Stand-SLV</t>
  </si>
  <si>
    <t>ML-MOUNT-ML171-BLK</t>
  </si>
  <si>
    <t>ML-MOUNT-ML172-BLK</t>
  </si>
  <si>
    <t>ML-MOUNT-ML178-BLK</t>
  </si>
  <si>
    <t>ML-MOUNT-ML189-BLK</t>
  </si>
  <si>
    <t>ML-MOUNT-ML199-BLK</t>
  </si>
  <si>
    <t>ML-MOUNT-ML200-BLK</t>
  </si>
  <si>
    <t>ML-MOUNT-ML203-BLK</t>
  </si>
  <si>
    <t>ML-MOUNT-ML204-BLK</t>
  </si>
  <si>
    <t>MOFT-STD-MOVAS-MS027-BLK</t>
  </si>
  <si>
    <t>MOFT-STD-MOVAS-MS027-GRN</t>
  </si>
  <si>
    <t>MOFT-STD-MOVAS-MS027-GRY</t>
  </si>
  <si>
    <t>MONA-BAG-MMDGW-POUCH-BAG1</t>
  </si>
  <si>
    <t>MONA-BAG-SHTBH-POUCH-BAG1</t>
  </si>
  <si>
    <t>MONA-CC-MCJY-Card-CC2</t>
  </si>
  <si>
    <t>MONA-CC-MHPY-Card-CC1</t>
  </si>
  <si>
    <t>MONA-CC-MMDGW-Card-CC4</t>
  </si>
  <si>
    <t>MONA-CC-SHTBH-Card-CC3</t>
  </si>
  <si>
    <t>MONA-DC-MCJY-NSwitch-DC2</t>
  </si>
  <si>
    <t>MONA-DC-MCJY-NSwitchOled-DC2</t>
  </si>
  <si>
    <t>MONA-DC-MHPY-NSwitch-DC1</t>
  </si>
  <si>
    <t>MONA-DC-MHPY-NSwitchOled-DC1</t>
  </si>
  <si>
    <t>MONA-DC-MMDGW-NSwitch-DC4</t>
  </si>
  <si>
    <t>MONA-DC-MMDGW-NSwitchOled-DC4</t>
  </si>
  <si>
    <t>MONA-DC-SHTBH-NSwitch-DC3</t>
  </si>
  <si>
    <t>MONA-DC-SHTBH-NSwitchOled-DC3</t>
  </si>
  <si>
    <t>MONA-SC-MCJY-NSwitch-SC2</t>
  </si>
  <si>
    <t>MONA-SC-MCJY-NSwitchOled-SC2</t>
  </si>
  <si>
    <t>MONA-SC-MHPY-NSwitch-SC1</t>
  </si>
  <si>
    <t>MONA-SC-MHPY-NSwitchOled-SC1</t>
  </si>
  <si>
    <t>MONA-SC-MMDGW-NSwitch-SC4</t>
  </si>
  <si>
    <t>MONA-SC-MMDGW-NSwitchOled-SC4</t>
  </si>
  <si>
    <t>MONA-SC-SHTBH-NSwitch-SC3</t>
  </si>
  <si>
    <t>MONA-SC-SHTBH-NSwitchOled-SC3</t>
  </si>
  <si>
    <t>MXX-WTF-1+8-BR</t>
  </si>
  <si>
    <t>MXX-WTF-1+8-CLR</t>
  </si>
  <si>
    <t>MXX-WTF-1+8-MAT</t>
  </si>
  <si>
    <t>MXX-WTF-1+8-PVC</t>
  </si>
  <si>
    <t>MXX-WTF-1+8Pro-BR</t>
  </si>
  <si>
    <t>MXX-WTF-1+8Pro-CLR</t>
  </si>
  <si>
    <t>MXX-WTF-1+8Pro-MAT</t>
  </si>
  <si>
    <t>MXX-WTF-1+8T-BR</t>
  </si>
  <si>
    <t>MXX-WTF-1+8T-CLR</t>
  </si>
  <si>
    <t>MXX-WTF-1+8T-MAT</t>
  </si>
  <si>
    <t>MXX-WTF-1+8T-PVC</t>
  </si>
  <si>
    <t>MXX-WTF-1+9Pro-BR</t>
  </si>
  <si>
    <t>MXX-WTF-1+9Pro-CLR</t>
  </si>
  <si>
    <t>MXX-WTF-1+9Pro-MAT</t>
  </si>
  <si>
    <t>MXX-WTF-1+9Pro-PVC</t>
  </si>
  <si>
    <t>MXX-WTF-9.7(17)-BR</t>
  </si>
  <si>
    <t>MXX-WTF-9.7(17)-CLR</t>
  </si>
  <si>
    <t>MXX-WTF-AP/WATCH-38mm-CLR</t>
  </si>
  <si>
    <t>MXX-WTF-AP/WATCH-40mm-CLR</t>
  </si>
  <si>
    <t>MXX-WTF-AP/WATCH-41mm-CLR</t>
  </si>
  <si>
    <t>MXX-WTF-AP/WATCH-42mm-CLR</t>
  </si>
  <si>
    <t>MXX-WTF-AP/WATCH-44mm-CLR</t>
  </si>
  <si>
    <t>MXX-WTF-AP/WATCH-45mm-CLR</t>
  </si>
  <si>
    <t>MXX-WTF-AP/WATCH-46mm-CLR</t>
  </si>
  <si>
    <t>MXX-WTF-AP/WATCH-49mm-CLR</t>
  </si>
  <si>
    <t>MXX-WTF-Air3/10.5-BR</t>
  </si>
  <si>
    <t>MXX-WTF-Air3/10.5-CLR</t>
  </si>
  <si>
    <t>MXX-WTF-Air4/10.9-BR</t>
  </si>
  <si>
    <t>MXX-WTF-Air4/10.9-CLR</t>
  </si>
  <si>
    <t>MXX-WTF-Honor50-BR</t>
  </si>
  <si>
    <t>MXX-WTF-Honor50-CLR</t>
  </si>
  <si>
    <t>MXX-WTF-Honor50-MAT</t>
  </si>
  <si>
    <t>MXX-WTF-Honor50Pro-BR</t>
  </si>
  <si>
    <t>MXX-WTF-Honor50Pro-CLR</t>
  </si>
  <si>
    <t>MXX-WTF-Honor50Pro-MAT</t>
  </si>
  <si>
    <t>MXX-WTF-Honor70-BR</t>
  </si>
  <si>
    <t>MXX-WTF-Honor70-CLR</t>
  </si>
  <si>
    <t>MXX-WTF-Honor70-MAT</t>
  </si>
  <si>
    <t>MXX-WTF-MPad11-BR</t>
  </si>
  <si>
    <t>MXX-WTF-MPad11-CLR</t>
  </si>
  <si>
    <t>MXX-WTF-MPadPro12.6-BR</t>
  </si>
  <si>
    <t>MXX-WTF-MPadPro12.6-CLR</t>
  </si>
  <si>
    <t>MXX-WTF-Magic4Pro-BR</t>
  </si>
  <si>
    <t>MXX-WTF-Magic4Pro-CLR</t>
  </si>
  <si>
    <t>MXX-WTF-Mi10T-BR</t>
  </si>
  <si>
    <t>MXX-WTF-Mi10T-CLR</t>
  </si>
  <si>
    <t>MXX-WTF-Mi10T-MAT</t>
  </si>
  <si>
    <t>MXX-WTF-Mi11-BR</t>
  </si>
  <si>
    <t>MXX-WTF-Mi11-CLR</t>
  </si>
  <si>
    <t>MXX-WTF-Mi11-MAT</t>
  </si>
  <si>
    <t>MXX-WTF-Mi11Lite-CLR</t>
  </si>
  <si>
    <t>MXX-WTF-Mi11Lite-MAT</t>
  </si>
  <si>
    <t>MXX-WTF-Mini4-BR</t>
  </si>
  <si>
    <t>MXX-WTF-Mini4-CLR</t>
  </si>
  <si>
    <t>MXX-WTF-Mini6-BR</t>
  </si>
  <si>
    <t>MXX-WTF-Mini6-CLR</t>
  </si>
  <si>
    <t>MXX-WTF-Note20-BR</t>
  </si>
  <si>
    <t>MXX-WTF-Note20-CLR</t>
  </si>
  <si>
    <t>MXX-WTF-Note20-MAT</t>
  </si>
  <si>
    <t>MXX-WTF-Note20-PVC</t>
  </si>
  <si>
    <t>MXX-WTF-Note20U-BR</t>
  </si>
  <si>
    <t>MXX-WTF-Note20U-CLR</t>
  </si>
  <si>
    <t>MXX-WTF-Note20U-MAT</t>
  </si>
  <si>
    <t>MXX-WTF-Note20Ultra-PVC</t>
  </si>
  <si>
    <t>MXX-WTF-OnePlus12-BR</t>
  </si>
  <si>
    <t>MXX-WTF-OnePlus12-CLR</t>
  </si>
  <si>
    <t>MXX-WTF-OnePlus12-MAT</t>
  </si>
  <si>
    <t>MXX-WTF-OnePlus12-PVC</t>
  </si>
  <si>
    <t>MXX-WTF-Pro12.9(18)-BR</t>
  </si>
  <si>
    <t>MXX-WTF-Pro12.9(18)-CLR</t>
  </si>
  <si>
    <t>MXX-WTF-S20U-MAT</t>
  </si>
  <si>
    <t>MXX-WTF-S20Ultra-BR</t>
  </si>
  <si>
    <t>MXX-WTF-S20Ultra-CLR</t>
  </si>
  <si>
    <t>MXX-WTF-S20Ultra-PVC</t>
  </si>
  <si>
    <t>MXX-WTF-S21-BR</t>
  </si>
  <si>
    <t>MXX-WTF-S21-CLR</t>
  </si>
  <si>
    <t>MXX-WTF-S21-MAT</t>
  </si>
  <si>
    <t>MXX-WTF-S21-PVC</t>
  </si>
  <si>
    <t>MXX-WTF-S21FE-CLR</t>
  </si>
  <si>
    <t>MXX-WTF-S21FE-MAT</t>
  </si>
  <si>
    <t>MXX-WTF-S21Plus-BR</t>
  </si>
  <si>
    <t>MXX-WTF-S21Plus-CLR</t>
  </si>
  <si>
    <t>MXX-WTF-S21Plus-MAT</t>
  </si>
  <si>
    <t>MXX-WTF-S21Plus-PVC</t>
  </si>
  <si>
    <t>MXX-WTF-S21Ultra-BR</t>
  </si>
  <si>
    <t>MXX-WTF-S21Ultra-CLR</t>
  </si>
  <si>
    <t>MXX-WTF-S21Ultra-MAT</t>
  </si>
  <si>
    <t>MXX-WTF-S21Ultra-PVC</t>
  </si>
  <si>
    <t>MXX-WTF-S22-BR</t>
  </si>
  <si>
    <t>MXX-WTF-S22-CLR</t>
  </si>
  <si>
    <t>MXX-WTF-S22-MAT</t>
  </si>
  <si>
    <t>MXX-WTF-S22-PVC</t>
  </si>
  <si>
    <t>MXX-WTF-S22Plus-BR</t>
  </si>
  <si>
    <t>MXX-WTF-S22Plus-CLR</t>
  </si>
  <si>
    <t>MXX-WTF-S22Plus-MAT</t>
  </si>
  <si>
    <t>MXX-WTF-S22Plus-PVC</t>
  </si>
  <si>
    <t>MXX-WTF-S22Ultra-BR</t>
  </si>
  <si>
    <t>MXX-WTF-S22Ultra-CLR</t>
  </si>
  <si>
    <t>MXX-WTF-S22Ultra-MAT</t>
  </si>
  <si>
    <t>MXX-WTF-S22Ultra-PVC</t>
  </si>
  <si>
    <t>MXX-WTF-S23Ultra-PVC</t>
  </si>
  <si>
    <t>MXX-WTF-S24-CLR</t>
  </si>
  <si>
    <t>MXX-WTF-S24-PVC</t>
  </si>
  <si>
    <t>MXX-WTF-S24Plus-CLR</t>
  </si>
  <si>
    <t>MXX-WTF-S24Plus-PVC</t>
  </si>
  <si>
    <t>MXX-WTF-S24Ultra-CLR</t>
  </si>
  <si>
    <t>MXX-WTF-S24Ultra-PVC</t>
  </si>
  <si>
    <t>MXX-WTF-S25Ultra-CLR</t>
  </si>
  <si>
    <t>MXX-WTF-S25Ultra-PVC</t>
  </si>
  <si>
    <t>MXX-WTF-TabA8/10.5-CLR</t>
  </si>
  <si>
    <t>MXX-WTF-TabS6Lite-CLR</t>
  </si>
  <si>
    <t>MXX-WTF-TabS7-CLR</t>
  </si>
  <si>
    <t>MXX-WTF-TabS7FE-CLR</t>
  </si>
  <si>
    <t>MXX-WTF-XM12-BR</t>
  </si>
  <si>
    <t>MXX-WTF-XM12-CLR</t>
  </si>
  <si>
    <t>MXX-WTF-XM12-MAT</t>
  </si>
  <si>
    <t>MXX-WTF-XM12Pro-BR</t>
  </si>
  <si>
    <t>MXX-WTF-XM12Pro-CLR</t>
  </si>
  <si>
    <t>MXX-WTF-XM12Pro-MAT</t>
  </si>
  <si>
    <t>MXX-WTF-XM12T-BR</t>
  </si>
  <si>
    <t>MXX-WTF-XM12T-MAT</t>
  </si>
  <si>
    <t>MXX-WTF-XM12TPro-BR</t>
  </si>
  <si>
    <t>MXX-WTF-XM12TPro-MAT</t>
  </si>
  <si>
    <t>MXX-WTF-XM13-BR</t>
  </si>
  <si>
    <t>MXX-WTF-XM13-CLR</t>
  </si>
  <si>
    <t>MXX-WTF-XM13-MAT</t>
  </si>
  <si>
    <t>MXX-WTF-XM13-PVC</t>
  </si>
  <si>
    <t>MXX-WTF-XM13Pro-BR</t>
  </si>
  <si>
    <t>MXX-WTF-XM13Pro-CLR</t>
  </si>
  <si>
    <t>MXX-WTF-XM13Pro-MAT</t>
  </si>
  <si>
    <t>MXX-WTF-XM13Pro-PVC</t>
  </si>
  <si>
    <t>MXX-WTF-i11-PVC</t>
  </si>
  <si>
    <t>MXX-WTF-i11MAX-PVC</t>
  </si>
  <si>
    <t>MXX-WTF-i11Pro-PVC</t>
  </si>
  <si>
    <t>MXX-WTF-i12-BR</t>
  </si>
  <si>
    <t>MXX-WTF-i12-CLR</t>
  </si>
  <si>
    <t>MXX-WTF-i12-MAT</t>
  </si>
  <si>
    <t>MXX-WTF-i12-PVC</t>
  </si>
  <si>
    <t>MXX-WTF-i12Mini-BR</t>
  </si>
  <si>
    <t>MXX-WTF-i12Mini-CLR</t>
  </si>
  <si>
    <t>MXX-WTF-i12Mini-MAT</t>
  </si>
  <si>
    <t>MXX-WTF-i12Mini-PVC</t>
  </si>
  <si>
    <t>MXX-WTF-i12ProMax-BR</t>
  </si>
  <si>
    <t>MXX-WTF-i12ProMax-CLR</t>
  </si>
  <si>
    <t>MXX-WTF-i12ProMax-MAT</t>
  </si>
  <si>
    <t>MXX-WTF-i12ProMax-PVC</t>
  </si>
  <si>
    <t>MXX-WTF-i13-BR</t>
  </si>
  <si>
    <t>MXX-WTF-i13-CLR</t>
  </si>
  <si>
    <t>MXX-WTF-i13-MAT</t>
  </si>
  <si>
    <t>MXX-WTF-i13-PVC</t>
  </si>
  <si>
    <t>MXX-WTF-i13Mini-BR</t>
  </si>
  <si>
    <t>MXX-WTF-i13Mini-CLR</t>
  </si>
  <si>
    <t>MXX-WTF-i13Mini-MAT</t>
  </si>
  <si>
    <t>MXX-WTF-i13Mini-PVC</t>
  </si>
  <si>
    <t>MXX-WTF-i13ProMax-BR</t>
  </si>
  <si>
    <t>MXX-WTF-i13ProMax-CLR</t>
  </si>
  <si>
    <t>MXX-WTF-i13ProMax-MAT</t>
  </si>
  <si>
    <t>MXX-WTF-i13ProMax-PVC</t>
  </si>
  <si>
    <t>MXX-WTF-i14Pro-BR</t>
  </si>
  <si>
    <t>MXX-WTF-i14Pro-CLR</t>
  </si>
  <si>
    <t>MXX-WTF-i14Pro-MAT</t>
  </si>
  <si>
    <t>MXX-WTF-i14Pro-PVC</t>
  </si>
  <si>
    <t>MXX-WTF-i14ProMax-BR</t>
  </si>
  <si>
    <t>MXX-WTF-i14ProMax-CLR</t>
  </si>
  <si>
    <t>MXX-WTF-i14ProMax-MAT</t>
  </si>
  <si>
    <t>MXX-WTF-i14ProMax-PVC</t>
  </si>
  <si>
    <t>MXX-WTF-iP15-CLR</t>
  </si>
  <si>
    <t>MXX-WTF-iP15-MAT</t>
  </si>
  <si>
    <t>MXX-WTF-iP15-PVC</t>
  </si>
  <si>
    <t>MXX-WTF-iP16-CLR</t>
  </si>
  <si>
    <t>MXX-WTF-iP16-MAT</t>
  </si>
  <si>
    <t>MXX-WTF-iP16-PVC</t>
  </si>
  <si>
    <t>MXX-WTF-iP16Plus-CLR</t>
  </si>
  <si>
    <t>MXX-WTF-iP16Plus-MAT</t>
  </si>
  <si>
    <t>MXX-WTF-iP16Plus-PVC</t>
  </si>
  <si>
    <t>MXX-WTF-iP16ProMax-CLR</t>
  </si>
  <si>
    <t>MXX-WTF-iP16ProMax-PVC</t>
  </si>
  <si>
    <t>MXX-WTF-iPad10/10.9-BR</t>
  </si>
  <si>
    <t>MXX-WTF-iPad10/10.9-CLR</t>
  </si>
  <si>
    <t>MXX-WTF-iPad7/10.2-BR</t>
  </si>
  <si>
    <t>MXX-WTF-iPad7/10.2-CLR</t>
  </si>
  <si>
    <t>MXX-WTF-iSE-PVC</t>
  </si>
  <si>
    <t>MXX-WTF-iXR/11-BR</t>
  </si>
  <si>
    <t>MXX-WTF-iXR/11-CLR</t>
  </si>
  <si>
    <t>MXX-WTF-iXR/11-MAT</t>
  </si>
  <si>
    <t>MXX-WTF-iXS/11Pro-BR</t>
  </si>
  <si>
    <t>MXX-WTF-iXS/11Pro-CLR</t>
  </si>
  <si>
    <t>MXX-WTF-iXS/11Pro-MAT</t>
  </si>
  <si>
    <t>MXX-WTF-iXsMax/11Max-BR</t>
  </si>
  <si>
    <t>MXX-WTF-iXsMax/11Max-CLR</t>
  </si>
  <si>
    <t>MXX-WTF-iXsMax/11Max-MAT</t>
  </si>
  <si>
    <t>NILK-AAC-HIGH-Stand-BLK</t>
  </si>
  <si>
    <t>NILK-AAC-HIGH-Stand-SLV</t>
  </si>
  <si>
    <t>NILK-ACE-BOUN-Airpods1/2-BLK</t>
  </si>
  <si>
    <t>NILK-ACE-BOUN-Airpods1/2-BLU</t>
  </si>
  <si>
    <t>NILK-ACE-BOUN-Airpods1/2-GRN</t>
  </si>
  <si>
    <t>NILK-ACE-BOUN-Airpods1/2-YLW</t>
  </si>
  <si>
    <t>NILK-ACE-BOUN-Airpods3-BLK</t>
  </si>
  <si>
    <t>NILK-ACE-BOUN-Airpods3-BLU</t>
  </si>
  <si>
    <t>NILK-ACE-BOUN-Airpods3-GRN</t>
  </si>
  <si>
    <t>NILK-ACE-BOUN-Airpods3-YLW</t>
  </si>
  <si>
    <t>NILK-ACE-BOUN-AirpodsPro-BLU</t>
  </si>
  <si>
    <t>NILK-ACE-BOUN-AirpodsPro-GRN</t>
  </si>
  <si>
    <t>NILK-ACE-SNAP-Sticker-BLK/1PC</t>
  </si>
  <si>
    <t>NILK-ACE-SNAP-Sticker-BLK/2PC</t>
  </si>
  <si>
    <t>NILK-ACE-SNAP-Sticker-BLU/1PC</t>
  </si>
  <si>
    <t>NILK-ACE-SNAP-Sticker-BLU/2PC</t>
  </si>
  <si>
    <t>NILK-ACE-SNAP-Sticker-GRN/1PC</t>
  </si>
  <si>
    <t>NILK-ACE-SNAP-Sticker-GRN/2PC</t>
  </si>
  <si>
    <t>NILK-ACE-SNAP-Sticker-PRP/1PC</t>
  </si>
  <si>
    <t>NILK-ACE-SNAP-Sticker-PRP/2PC</t>
  </si>
  <si>
    <t>NILK-IAC-PRO-Desk-GRY</t>
  </si>
  <si>
    <t>NILK-IAC-PRO-Desk-SLV</t>
  </si>
  <si>
    <t>NILK-IC-BCOM(BLIT)-Air4/5-BLK</t>
  </si>
  <si>
    <t>NILK-IC-BCOM(BLIT)-Pro11(2024)</t>
  </si>
  <si>
    <t>NILK-IC-BCOM(BLIT)-Pro12.9-BLK</t>
  </si>
  <si>
    <t>NILK-IC-BCOM(BLIT)-Pro13(2024)</t>
  </si>
  <si>
    <t>NILK-IC-BCOM(BLIT)-TabS7FE-BLK</t>
  </si>
  <si>
    <t>NILK-IC-BCOM(BLIT)-TabS9</t>
  </si>
  <si>
    <t>NILK-IC-BCOM(BLIT)-TabS9FEPlus</t>
  </si>
  <si>
    <t>NILK-IC-BCOM(BLIT)-TabS9Plus</t>
  </si>
  <si>
    <t>NILK-IC-BCOM(BLIT)-iPad10(10.9)-BLK</t>
  </si>
  <si>
    <t>NILK-IC-BCOM(BLIT)-iPad789-BLK</t>
  </si>
  <si>
    <t>NILK-IC-BCOM-Air4/10.9-BLK</t>
  </si>
  <si>
    <t>NILK-IC-BCOM-Pro12.9(20)-BLK</t>
  </si>
  <si>
    <t>NILK-IC-BCOM-TabS7FE-BLK</t>
  </si>
  <si>
    <t>NILK-IC-BCOM-TabS8-BLK</t>
  </si>
  <si>
    <t>NILK-IC-BCOM-iPad10/10.9-BLK</t>
  </si>
  <si>
    <t>NILK-IC-BCOM-iPad7/10.2-BLK</t>
  </si>
  <si>
    <t>NILK-IC-BEVEL-Air4/10.9-BLK</t>
  </si>
  <si>
    <t>NILK-IC-BEVEL-Air4/10.9-GRN</t>
  </si>
  <si>
    <t>NILK-IC-BEVEL-Mini6-BLK</t>
  </si>
  <si>
    <t>NILK-IC-BEVEL-Mini6-BLU</t>
  </si>
  <si>
    <t>NILK-IC-BEVEL-Mini6-GRN</t>
  </si>
  <si>
    <t>NILK-IC-BEVEL-Pro11(20)-BLK</t>
  </si>
  <si>
    <t>NILK-IC-BEVEL-Pro11(20)-BLU</t>
  </si>
  <si>
    <t>NILK-IC-BEVEL-Pro11(20)-GRN</t>
  </si>
  <si>
    <t>NILK-IC-BEVEL-iPad7/10.2-BLK</t>
  </si>
  <si>
    <t>NILK-IC-BEVEL-iPad7/10.2-GRN</t>
  </si>
  <si>
    <t>NILK-IC-BUM(P)-Air4/10.9-BLK</t>
  </si>
  <si>
    <t>NILK-IC-BUM(P)-Air4/10.9-BLU</t>
  </si>
  <si>
    <t>NILK-IC-BUM(P)-Mini6-BLK</t>
  </si>
  <si>
    <t>NILK-IC-BUM(P)-Mini6-BLU</t>
  </si>
  <si>
    <t>NILK-IC-BUM(P)-Mini6-GRY</t>
  </si>
  <si>
    <t>NILK-IC-BUM(P)-Pro11(2024)</t>
  </si>
  <si>
    <t>NILK-IC-BUM(P)-Pro12.9(20)-BLK</t>
  </si>
  <si>
    <t>NILK-IC-BUM(P)-Pro12.9(20)-BLU</t>
  </si>
  <si>
    <t>NILK-IC-BUM(P)-TabS7Plus-BLK</t>
  </si>
  <si>
    <t>NILK-IC-BUM(P)-TabS7Plus-BLU</t>
  </si>
  <si>
    <t>NILK-IC-BUM(P)-TabS8-BLK</t>
  </si>
  <si>
    <t>NILK-IC-BUM(P)-TabS8-BLU</t>
  </si>
  <si>
    <t>NILK-IC-BUM(P)-XMPad5-BLK</t>
  </si>
  <si>
    <t>NILK-IC-BUM(P)-XMPad6/Pro-BLK</t>
  </si>
  <si>
    <t>NILK-IC-BUM(P)-XMPad6/Pro-BLU</t>
  </si>
  <si>
    <t>NILK-IC-BUM(P)-iPad10/10.9-BLK</t>
  </si>
  <si>
    <t>NILK-IC-BUM(P)-iPad10/10.9-BLU</t>
  </si>
  <si>
    <t>NILK-IC-BUM(P)-iPad7/10.2-BLK</t>
  </si>
  <si>
    <t>NILK-IC-BUM(P)-iPad7/10.2-BLU</t>
  </si>
  <si>
    <t>NILK-MAC-VEG-Sticker-BRI/BRW</t>
  </si>
  <si>
    <t>NILK-MAC-VEG-Sticker-CYA/PRP</t>
  </si>
  <si>
    <t>NILK-MAC-VEG-Sticker-ELE/BLK</t>
  </si>
  <si>
    <t>NILK-MAC-VEG-Sticker-MID/BLU</t>
  </si>
  <si>
    <t>NILK-PC-ADV-i13-BLK</t>
  </si>
  <si>
    <t>NILK-PC-CAM-Mi11Lite-BLK</t>
  </si>
  <si>
    <t>NILK-PC-CAM-Mi11Lite-BLU</t>
  </si>
  <si>
    <t>NILK-PC-CAM-Realme8/4G-BLK</t>
  </si>
  <si>
    <t>NILK-PC-CAM-Realme8/4G-BLU</t>
  </si>
  <si>
    <t>NILK-PC-CAMP(MS)-i13-BLK</t>
  </si>
  <si>
    <t>NILK-PC-CAMP(MS)-i13-BLU</t>
  </si>
  <si>
    <t>NILK-PC-CAMP(MS)-i13Pro-BLU</t>
  </si>
  <si>
    <t>NILK-PC-CAMP-Mi11-BLK</t>
  </si>
  <si>
    <t>NILK-PC-CAMP-Mi11-BLU</t>
  </si>
  <si>
    <t>NILK-PC-CAMP-S20-BLK</t>
  </si>
  <si>
    <t>NILK-PC-CAMP-S21-BLK</t>
  </si>
  <si>
    <t>NILK-PC-CAMP-S21-BLU</t>
  </si>
  <si>
    <t>NILK-PC-CAMP-S21FE-BLK</t>
  </si>
  <si>
    <t>NILK-PC-CAMP-S21FE-BLU</t>
  </si>
  <si>
    <t>NILK-PC-CAMP-S21Plus-BLK</t>
  </si>
  <si>
    <t>NILK-PC-CAMP-S21Plus-BLU</t>
  </si>
  <si>
    <t>NILK-PC-CAMP-S21Ultra-BLK</t>
  </si>
  <si>
    <t>NILK-PC-CAMP-S21Ultra-BLU</t>
  </si>
  <si>
    <t>NILK-PC-CAMP-S22-BLK</t>
  </si>
  <si>
    <t>NILK-PC-CAMP-S22-GRN</t>
  </si>
  <si>
    <t>NILK-PC-CAMP-S22Plus-BLK</t>
  </si>
  <si>
    <t>NILK-PC-CAMP-S22Plus-GRN</t>
  </si>
  <si>
    <t>NILK-PC-CAMP-S22Ultra-BLK</t>
  </si>
  <si>
    <t>NILK-PC-CAMP-S22Ultra-GRN</t>
  </si>
  <si>
    <t>NILK-PC-CAMP-i13-BLU</t>
  </si>
  <si>
    <t>NILK-PC-CAMP-i13-GRN</t>
  </si>
  <si>
    <t>NILK-PC-CSI(MS)-i12-GRN</t>
  </si>
  <si>
    <t>NILK-PC-CSI(MS)-i13-BLU</t>
  </si>
  <si>
    <t>NILK-PC-CSI(MS)-i13-GRN</t>
  </si>
  <si>
    <t>NILK-PC-CSI(MS)-i13Pro-BLK</t>
  </si>
  <si>
    <t>NILK-PC-CSI(MS)-i13Pro-GRN</t>
  </si>
  <si>
    <t>NILK-PC-CSI(MS)-i13Pro-PRP</t>
  </si>
  <si>
    <t>NILK-PC-CSI(MS)-i13ProMax-BLK</t>
  </si>
  <si>
    <t>NILK-PC-CSI(MS)-i13ProMax-GRN</t>
  </si>
  <si>
    <t>NILK-PC-CSI(MS)-i13ProMax-PRP</t>
  </si>
  <si>
    <t>NILK-PC-CSI-S22Ultra-MID/BLU</t>
  </si>
  <si>
    <t>NILK-PC-CSI-i12-GRN</t>
  </si>
  <si>
    <t>NILK-PC-CSI-i13-BLK</t>
  </si>
  <si>
    <t>NILK-PC-CSI-i13-BLU</t>
  </si>
  <si>
    <t>NILK-PC-CSI-i13-GRN</t>
  </si>
  <si>
    <t>NILK-PC-CSI-i13-PRP</t>
  </si>
  <si>
    <t>NILK-PC-CSI-i13Pro-BLK</t>
  </si>
  <si>
    <t>NILK-PC-CSI-i13Pro-BLU</t>
  </si>
  <si>
    <t>NILK-PC-CSI-i13Pro-GRN</t>
  </si>
  <si>
    <t>NILK-PC-CSI-i13Pro-PRP</t>
  </si>
  <si>
    <t>NILK-PC-CSI-i13ProMax-BLK</t>
  </si>
  <si>
    <t>NILK-PC-CSI-i13ProMax-BLU</t>
  </si>
  <si>
    <t>NILK-PC-CSI-i13ProMax-GRN</t>
  </si>
  <si>
    <t>NILK-PC-CSI-i13ProMax-PRP</t>
  </si>
  <si>
    <t>NILK-PC-PUR(MS)-i12ProMax-RED</t>
  </si>
  <si>
    <t>NILK-PC-PUR-i12Mini-RED</t>
  </si>
  <si>
    <t>NILK-PC-PUR-i12ProMax-RED</t>
  </si>
  <si>
    <t>NILK-PC-QINL-ZFold3-BLK</t>
  </si>
  <si>
    <t>NILK-PC-QINL-ZFold3-EXU/GRN</t>
  </si>
  <si>
    <t>NILK-SP-2IN1-i13-CLR</t>
  </si>
  <si>
    <t>NILK-SP-2IN1-i13Mini-CLR</t>
  </si>
  <si>
    <t>NILK-SP-2IN1-i13ProMax-CLR</t>
  </si>
  <si>
    <t>NILK-SP-H+-Air4/10.9-CLR</t>
  </si>
  <si>
    <t>NILK-SP-H+-MPad11(21)-CLR</t>
  </si>
  <si>
    <t>NILK-SP-H+-MPadPro12.6(21)-CLR</t>
  </si>
  <si>
    <t>NILK-SP-H+-Mini6-CLR</t>
  </si>
  <si>
    <t>NILK-SP-H+-Pro12.9(18)-CLR</t>
  </si>
  <si>
    <t>NILK-SP-H+-TabS7FE-CLR</t>
  </si>
  <si>
    <t>NILK-SP-H+-TabS8-CLR</t>
  </si>
  <si>
    <t>NILK-SP-H+-XMPad5-CLR</t>
  </si>
  <si>
    <t>NILK-SP-H+-iPad9/10.2-CLR</t>
  </si>
  <si>
    <t>NILK-SP-H-i13-CLR</t>
  </si>
  <si>
    <t>NILK-SP-i12-CLR</t>
  </si>
  <si>
    <t>NILK-SP-i12-MAT</t>
  </si>
  <si>
    <t>NILK-SP-i12-PVC</t>
  </si>
  <si>
    <t>NILK-SP-i12Mini-CLR</t>
  </si>
  <si>
    <t>NILK-SP-i12Mini-MAT</t>
  </si>
  <si>
    <t>NILK-SP-i12Mini-PVC</t>
  </si>
  <si>
    <t>NILK-SP-i12ProMax-CLR</t>
  </si>
  <si>
    <t>NILK-SP-i12ProMax-MAT</t>
  </si>
  <si>
    <t>NILK-SP-i12ProMax-PVC</t>
  </si>
  <si>
    <t>NILK-SP-i13-MAT</t>
  </si>
  <si>
    <t>NILK-SP-i13Mini-PVC</t>
  </si>
  <si>
    <t>NILK-SP-i13ProMax-MAT</t>
  </si>
  <si>
    <t>NILK-WAC-CBUM-40mm-GRN</t>
  </si>
  <si>
    <t>NILK-WTF-Air2(9.7)-MAT</t>
  </si>
  <si>
    <t>NILK-WTF-Air3(10.5)-MAT</t>
  </si>
  <si>
    <t>NILK-WTF-Air4(10.9)-MAT</t>
  </si>
  <si>
    <t>NILK-WTF-Mini45-MAT</t>
  </si>
  <si>
    <t>NILK-WTF-Pro12.9(20)-MAT</t>
  </si>
  <si>
    <t>NILK-WTF-iPad7(10.2)-MAT</t>
  </si>
  <si>
    <t>OEM-BIKE-FL206-MOUNT-BLK</t>
  </si>
  <si>
    <t>OEM-CL-CAMS-ZFlip4-CLR</t>
  </si>
  <si>
    <t>OEM-CL-CAMS-ZFlip5-CLR</t>
  </si>
  <si>
    <t>OEM-CL-CAMS-ZFlip6-CLR</t>
  </si>
  <si>
    <t>OEM-CL-HAWK-Air11/13-BLK</t>
  </si>
  <si>
    <t>OEM-CL-HAWK-Air11/13-RBW</t>
  </si>
  <si>
    <t>OEM-CL-HAWK-Air11/13-SLV</t>
  </si>
  <si>
    <t>OEM-CL-HAWK-Pro11/13-BLK</t>
  </si>
  <si>
    <t>OEM-CL-HAWK-Pro11/13-RBW</t>
  </si>
  <si>
    <t>OEM-CL-HAWK-Pro11/13-SLV</t>
  </si>
  <si>
    <t>OEM-CL-HAWK-S22Ultra-BLK</t>
  </si>
  <si>
    <t>OEM-CL-HAWK-S22Ultra-CLR</t>
  </si>
  <si>
    <t>OEM-CL-HAWK-S22Ultra-GRN</t>
  </si>
  <si>
    <t>OEM-CL-HAWK-S22Ultra-RBW</t>
  </si>
  <si>
    <t>OEM-CL-HAWK-S22Ultra-SLV</t>
  </si>
  <si>
    <t>OEM-CL-HAWK-S23-BLK</t>
  </si>
  <si>
    <t>OEM-CL-HAWK-S23-GRN</t>
  </si>
  <si>
    <t>OEM-CL-HAWK-S23-PRP</t>
  </si>
  <si>
    <t>OEM-CL-HAWK-S23-RBW</t>
  </si>
  <si>
    <t>OEM-CL-HAWK-S23-SLV</t>
  </si>
  <si>
    <t>OEM-CL-HAWK-S23Ultra-BLK</t>
  </si>
  <si>
    <t>OEM-CL-HAWK-S23Ultra-GRN</t>
  </si>
  <si>
    <t>OEM-CL-HAWK-S23Ultra-PRP</t>
  </si>
  <si>
    <t>OEM-CL-HAWK-S23Ultra-RBW</t>
  </si>
  <si>
    <t>OEM-CL-HAWK-S23Ultra-RED</t>
  </si>
  <si>
    <t>OEM-CL-HAWK-S23Ultra-SLV</t>
  </si>
  <si>
    <t>OEM-CL-HAWK-S24-BLK</t>
  </si>
  <si>
    <t>OEM-CL-HAWK-S24-GRY</t>
  </si>
  <si>
    <t>OEM-CL-HAWK-S24-PRP</t>
  </si>
  <si>
    <t>OEM-CL-HAWK-S24-RBW</t>
  </si>
  <si>
    <t>OEM-CL-HAWK-S24-SLV</t>
  </si>
  <si>
    <t>OEM-CL-HAWK-S24Plus-BLK</t>
  </si>
  <si>
    <t>OEM-CL-HAWK-S24Plus-GRY</t>
  </si>
  <si>
    <t>OEM-CL-HAWK-S24Plus-PRP</t>
  </si>
  <si>
    <t>OEM-CL-HAWK-S24Plus-RBW</t>
  </si>
  <si>
    <t>OEM-CL-HAWK-S24Plus-SLV</t>
  </si>
  <si>
    <t>OEM-CL-HAWK-S24Ultra-BLK</t>
  </si>
  <si>
    <t>OEM-CL-HAWK-S24Ultra-PRP</t>
  </si>
  <si>
    <t>OEM-CL-HAWK-S24Ultra-RBW</t>
  </si>
  <si>
    <t>OEM-CL-HAWK-S24Ultra-SLV</t>
  </si>
  <si>
    <t>OEM-CL-HAWK-ZFlip4-BLK</t>
  </si>
  <si>
    <t>OEM-CL-HAWK-ZFlip4-BLU</t>
  </si>
  <si>
    <t>OEM-CL-HAWK-ZFlip4-GLD</t>
  </si>
  <si>
    <t>OEM-CL-HAWK-ZFlip4-GRA/GRY</t>
  </si>
  <si>
    <t>OEM-CL-HAWK-ZFlip4-GRN</t>
  </si>
  <si>
    <t>OEM-CL-HAWK-ZFlip4-PRP</t>
  </si>
  <si>
    <t>OEM-CL-HAWK-ZFlip4-RBW</t>
  </si>
  <si>
    <t>OEM-CL-HAWK-ZFlip4-SLV</t>
  </si>
  <si>
    <t>OEM-CL-HAWK-ZFlip6-BLK</t>
  </si>
  <si>
    <t>OEM-CL-HAWK-ZFlip6-GRN</t>
  </si>
  <si>
    <t>OEM-CL-HAWK-ZFlip6-PRP</t>
  </si>
  <si>
    <t>OEM-CL-HAWK-ZFold4-BLK</t>
  </si>
  <si>
    <t>OEM-CL-HAWK-ZFold4-GLD</t>
  </si>
  <si>
    <t>OEM-CL-HAWK-ZFold4-GRA/GRY</t>
  </si>
  <si>
    <t>OEM-CL-HAWK-ZFold4-GRN</t>
  </si>
  <si>
    <t>OEM-CL-HAWK-ZFold4-SLV</t>
  </si>
  <si>
    <t>OEM-CL-HAWK-ZFold5-BLK</t>
  </si>
  <si>
    <t>OEM-CL-HAWK-ZFold5-BLU</t>
  </si>
  <si>
    <t>OEM-CL-HAWK-ZFold5-GLD</t>
  </si>
  <si>
    <t>OEM-CL-HAWK-ZFold5-RBW</t>
  </si>
  <si>
    <t>OEM-CL-HAWK-ZFold5-SLV</t>
  </si>
  <si>
    <t>OEM-CL-HAWK-ZFold6-BLK</t>
  </si>
  <si>
    <t>OEM-CL-HAWK-ZFold6-SLV</t>
  </si>
  <si>
    <t>OEM-CL-NOM-Pro11-CLR</t>
  </si>
  <si>
    <t>OEM-CL-NOM-Pro11/13-CLR</t>
  </si>
  <si>
    <t>OEM-CL-SILK-S22-BLK</t>
  </si>
  <si>
    <t>OEM-CL-SILK-S22Ultra-BLK</t>
  </si>
  <si>
    <t>OEM-CL-SILK-S23-BLK</t>
  </si>
  <si>
    <t>OEM-CL-SILK-S23Ultra-BLK</t>
  </si>
  <si>
    <t>OEM-CL-SILK-S24-BLK</t>
  </si>
  <si>
    <t>OEM-CL-SILK-S24Plus-BLK</t>
  </si>
  <si>
    <t>OEM-CL-SILK-S24Ultra-BLK</t>
  </si>
  <si>
    <t>OEM-CL-SILK-ZFlip3-BLK</t>
  </si>
  <si>
    <t>OEM-CL-SILK-ZFlip4-BLK</t>
  </si>
  <si>
    <t>OEM-CL-SILK-ZFlip5-BLK</t>
  </si>
  <si>
    <t>OEM-CL-SILK-ZFlip6-BLK</t>
  </si>
  <si>
    <t>OEM-CL-SILK-ZFold3-BLK</t>
  </si>
  <si>
    <t>OEM-CL-SILK-ZFold4-BLK</t>
  </si>
  <si>
    <t>OEM-CL-SILK-ZFold5-BLK</t>
  </si>
  <si>
    <t>OEM-CL-SILK-ZFold6-BLK</t>
  </si>
  <si>
    <t>OEM-CL-SNS-ZFlip4-BLK</t>
  </si>
  <si>
    <t>OEM-CL-SNS-ZFlip5-BLK</t>
  </si>
  <si>
    <t>OEM-CL-SNS-ZFlip6-BLK</t>
  </si>
  <si>
    <t>OEM-CL-YITI-S23-CLR</t>
  </si>
  <si>
    <t>OEM-CL-YITI-S23Ultra-CLR</t>
  </si>
  <si>
    <t>OEM-CL-YITI-S24-CLR</t>
  </si>
  <si>
    <t>OEM-CL-YITI-S24Plus-CLR</t>
  </si>
  <si>
    <t>OEM-CL-YITI-S24Ultra-CLR</t>
  </si>
  <si>
    <t>OEM-CL-YITI-ZFlip3-CLR</t>
  </si>
  <si>
    <t>OEM-CL-YITI-ZFlip4-CLR</t>
  </si>
  <si>
    <t>OEM-CL-YITI-ZFlip5-CLR</t>
  </si>
  <si>
    <t>OEM-CL-YITI-ZFlip6-CLR</t>
  </si>
  <si>
    <t>OEM-CL-YITI-ZFold3-CLR</t>
  </si>
  <si>
    <t>OEM-CL-YITI-ZFold4-CLR</t>
  </si>
  <si>
    <t>OEM-CL-YITI-ZFold5-CLR</t>
  </si>
  <si>
    <t>OEM-CL-YITI-ZFold6-CLR</t>
  </si>
  <si>
    <t>OEM-PC-CUBE-i11-BLK</t>
  </si>
  <si>
    <t>OEM-PC-CUBE-i11-LAV</t>
  </si>
  <si>
    <t>OEM-PC-CUBE-i11-MNG</t>
  </si>
  <si>
    <t>OEM-PC-CUBE-i11Max-BLK</t>
  </si>
  <si>
    <t>OEM-PC-CUBE-i11Max-LAV</t>
  </si>
  <si>
    <t>OEM-PC-CUBE-i11Max-MNG</t>
  </si>
  <si>
    <t>OEM-PC-CUBE-i11Pro-BLK</t>
  </si>
  <si>
    <t>OEM-PC-CUBE-i11Pro-LAV</t>
  </si>
  <si>
    <t>OEM-PC-CUBE-i11Pro-MNG</t>
  </si>
  <si>
    <t>OEM-PC-CUBE-i12-BLK</t>
  </si>
  <si>
    <t>OEM-PC-CUBE-i12-BLU</t>
  </si>
  <si>
    <t>OEM-PC-CUBE-i12-LAV</t>
  </si>
  <si>
    <t>OEM-PC-CUBE-i12-MNG</t>
  </si>
  <si>
    <t>OEM-PC-CUBE-i12Mini-BLK</t>
  </si>
  <si>
    <t>OEM-PC-CUBE-i12Mini-MNG</t>
  </si>
  <si>
    <t>OEM-PC-CUBE-i12Pro-BLK</t>
  </si>
  <si>
    <t>OEM-PC-CUBE-i12Pro-BLU</t>
  </si>
  <si>
    <t>OEM-PC-CUBE-i12Pro-LAV</t>
  </si>
  <si>
    <t>OEM-PC-CUBE-i12Pro-MNG</t>
  </si>
  <si>
    <t>OEM-PC-CUBE-i12ProMax-BLK</t>
  </si>
  <si>
    <t>OEM-PC-CUBE-i12ProMax-BLU</t>
  </si>
  <si>
    <t>OEM-PC-CUBE-i12ProMax-LAV</t>
  </si>
  <si>
    <t>OEM-PC-CUBE-i12ProMax-MNG</t>
  </si>
  <si>
    <t>OEM-PC-CUBE-i13-BLK</t>
  </si>
  <si>
    <t>OEM-PC-CUBE-i13-BLU</t>
  </si>
  <si>
    <t>OEM-PC-CUBE-i13-LAV</t>
  </si>
  <si>
    <t>OEM-PC-CUBE-i13-MNG</t>
  </si>
  <si>
    <t>OEM-PC-CUBE-i13Mini-BLK</t>
  </si>
  <si>
    <t>OEM-PC-CUBE-i13Mini-MNG</t>
  </si>
  <si>
    <t>OEM-PC-CUBE-i13Pro-BLK</t>
  </si>
  <si>
    <t>OEM-PC-CUBE-i13Pro-BLU</t>
  </si>
  <si>
    <t>OEM-PC-CUBE-i13Pro-LAV</t>
  </si>
  <si>
    <t>OEM-PC-CUBE-i13Pro-MNG</t>
  </si>
  <si>
    <t>OEM-PC-CUBE-i13ProMax-BLK</t>
  </si>
  <si>
    <t>OEM-PC-CUBE-i13ProMax-BLU</t>
  </si>
  <si>
    <t>OEM-PC-CUBE-i13ProMax-LAV</t>
  </si>
  <si>
    <t>OEM-PC-CUBE-i13ProMax-MNG</t>
  </si>
  <si>
    <t>OEM-PC-CUBE-i14Pro-BLK</t>
  </si>
  <si>
    <t>OEM-PC-CUBE-i14Pro-PRP</t>
  </si>
  <si>
    <t>OEM-PC-CUBE-i14ProMax-BLK</t>
  </si>
  <si>
    <t>OEM-PC-CUBE-i14ProMax-PRP</t>
  </si>
  <si>
    <t>OEM-PC-CUBE-iXR-BLK</t>
  </si>
  <si>
    <t>OEM-PC-CUBE-iXS-BLK</t>
  </si>
  <si>
    <t>OEM-PC-CUBE-iXSMax-BLK</t>
  </si>
  <si>
    <t>OEM-PC-PCTPU-Switch(OL)-BLU</t>
  </si>
  <si>
    <t>OEM-PC-SILI(C)-Switch-YLW</t>
  </si>
  <si>
    <t>OEM-PC-SILI(T)-SwitchLite-YLW</t>
  </si>
  <si>
    <t>OEM-PC-TPU-ROGALLY-BLK</t>
  </si>
  <si>
    <t>OEM-PC-TPU-ROGALLY-WHT</t>
  </si>
  <si>
    <t>OEM-SP-ARC-Air4/10.9-CLR</t>
  </si>
  <si>
    <t>OEM-SP-ARC-Air6-CLR</t>
  </si>
  <si>
    <t>OEM-SP-ARC-HnorPad8-CLR</t>
  </si>
  <si>
    <t>OEM-SP-ARC-HonorX8-CLR</t>
  </si>
  <si>
    <t>OEM-SP-ARC-HonorX8Lite-CLR</t>
  </si>
  <si>
    <t>OEM-SP-ARC-HonorX9-CLR</t>
  </si>
  <si>
    <t>OEM-SP-ARC-MPad10.4(22)-CLR</t>
  </si>
  <si>
    <t>OEM-SP-ARC-MPad11(21)-CLR</t>
  </si>
  <si>
    <t>OEM-SP-ARC-MPad11Pro(22)-CLR</t>
  </si>
  <si>
    <t>OEM-SP-ARC-MPadPro12.6(21)-CLR</t>
  </si>
  <si>
    <t>OEM-SP-ARC-MPadPro12.6(22)-CLR</t>
  </si>
  <si>
    <t>OEM-SP-ARC-MPadSE22-CLR</t>
  </si>
  <si>
    <t>OEM-SP-ARC-MPadT10-CLR</t>
  </si>
  <si>
    <t>OEM-SP-ARC-Mini4-CLR</t>
  </si>
  <si>
    <t>OEM-SP-ARC-Mini6-CLR</t>
  </si>
  <si>
    <t>OEM-SP-ARC-Pro10.5-CLR</t>
  </si>
  <si>
    <t>OEM-SP-ARC-Pro11(2024)-CLR</t>
  </si>
  <si>
    <t>OEM-SP-ARC-Pro12.9(18)-CLR</t>
  </si>
  <si>
    <t>OEM-SP-ARC-RPadMini-CLR</t>
  </si>
  <si>
    <t>OEM-SP-ARC-RmiPad-CLR</t>
  </si>
  <si>
    <t>OEM-SP-ARC-S/A9-CLR</t>
  </si>
  <si>
    <t>OEM-SP-ARC-S/A9Plus-CLR</t>
  </si>
  <si>
    <t>OEM-SP-ARC-Switch-CLR</t>
  </si>
  <si>
    <t>OEM-SP-ARC-SwitchLite-CLR</t>
  </si>
  <si>
    <t>OEM-SP-ARC-TabA7-CLR</t>
  </si>
  <si>
    <t>OEM-SP-ARC-TabA7Lite-CLR</t>
  </si>
  <si>
    <t>OEM-SP-ARC-TabA8(21)-CLR</t>
  </si>
  <si>
    <t>OEM-SP-ARC-TabS6-CLR</t>
  </si>
  <si>
    <t>OEM-SP-ARC-TabS6Lite-CLR</t>
  </si>
  <si>
    <t>OEM-SP-ARC-TabS7-CLR</t>
  </si>
  <si>
    <t>OEM-SP-ARC-TabS8Ultra-CLR</t>
  </si>
  <si>
    <t>OEM-SP-ARC-XMPad5-CLR</t>
  </si>
  <si>
    <t>OEM-SP-ARC-XMPad6-CLR</t>
  </si>
  <si>
    <t>OEM-SP-ARC-iPad10/10.9-CLR</t>
  </si>
  <si>
    <t>OEM-SP-ARC-iPad7/10.2-CLR</t>
  </si>
  <si>
    <t>OEM-SP-ARC-iPad9.7(17)-CLR</t>
  </si>
  <si>
    <t>OEM1-PC-BLUE-FindX8-BLK</t>
  </si>
  <si>
    <t>OEM1-PC-BLUE-FindX8-WHT</t>
  </si>
  <si>
    <t>OEM1-PC-BLUE-FindX8Pro-BLK</t>
  </si>
  <si>
    <t>OEM1-PC-BLUE-FindX8Pro-WHT</t>
  </si>
  <si>
    <t>OEM1-PC-BLUE-IQOO13-BLK</t>
  </si>
  <si>
    <t>OEM1-PC-BLUE-IQOO13-WHT</t>
  </si>
  <si>
    <t>OEM1-PC-BLUE-Magic7Pro-BLK</t>
  </si>
  <si>
    <t>OEM1-PC-BLUE-Magic7Pro-WHT</t>
  </si>
  <si>
    <t>OEM1-PC-BLUE-OnePlus13-BLK</t>
  </si>
  <si>
    <t>OEM1-PC-BLUE-OnePlus13-WHT</t>
  </si>
  <si>
    <t>OEM1-PC-BLUE-S25Ultra-BLK</t>
  </si>
  <si>
    <t>OEM1-PC-BLUE-S25Ultra-WHT</t>
  </si>
  <si>
    <t>OEM1-PC-BLUE-X200-BLK</t>
  </si>
  <si>
    <t>OEM1-PC-BLUE-X200-WHT</t>
  </si>
  <si>
    <t>OEM1-PC-BLUE-X200Pro-BLK</t>
  </si>
  <si>
    <t>OEM1-PC-BLUE-X200Pro-WHT</t>
  </si>
  <si>
    <t>OEM1-PC-BLUE-XM15-BLK</t>
  </si>
  <si>
    <t>OEM1-PC-BLUE-XM15-WHT</t>
  </si>
  <si>
    <t>OEM1-PC-BLUE-XM15Ultra-BLK</t>
  </si>
  <si>
    <t>OEM1-PC-BLUE-XM15Ultra-WHT</t>
  </si>
  <si>
    <t>OEM1-PC-PU(MS)-IQOO13-GRY</t>
  </si>
  <si>
    <t>OEM1-PC-PU(MS)-Magic7Pro-BLK</t>
  </si>
  <si>
    <t>OEM1-PC-PU(MS)-Magic7Pro-GRY</t>
  </si>
  <si>
    <t>OEM1-PC-PU(MS)-X200-BLK</t>
  </si>
  <si>
    <t>OEM1-PC-PU(MS)-X200-GRY</t>
  </si>
  <si>
    <t>OEM1-PC-PU(MS)-X200Pro-BLK</t>
  </si>
  <si>
    <t>OEM1-PC-PU(MS)-X200Pro-GRY</t>
  </si>
  <si>
    <t>OEM1-PC-PU(MS)-XM15-BLK</t>
  </si>
  <si>
    <t>OEM1-PC-PU(MS)-XM15Ultra-BLK</t>
  </si>
  <si>
    <t>OEM1-PC-PU(MS)-XM15Ultra-GRY</t>
  </si>
  <si>
    <t>OEM1-PC-PU-IQOO13-BLK</t>
  </si>
  <si>
    <t>OEM1-PC-PU-IQOO13-GRY</t>
  </si>
  <si>
    <t>OEM1-PC-PU-Magic7Pro-GRY</t>
  </si>
  <si>
    <t>OEM1-PC-PU-Pixel9/9Pro-BLK</t>
  </si>
  <si>
    <t>OEM1-PC-PU-Pixel9/9Pro-GRY</t>
  </si>
  <si>
    <t>OEM1-PC-PU-Pixel9A-BLK</t>
  </si>
  <si>
    <t>OEM1-PC-PU-Pixel9A-GRY</t>
  </si>
  <si>
    <t>OEM1-PC-PU-Pixel9PROXL-BLK</t>
  </si>
  <si>
    <t>OEM1-PC-PU-Pixel9PROXL-GRY</t>
  </si>
  <si>
    <t>OEM1-PC-PU-X200-BLK</t>
  </si>
  <si>
    <t>OEM1-PC-PU-X200-GRY</t>
  </si>
  <si>
    <t>OEM1-PC-PU-X200Pro-BLK</t>
  </si>
  <si>
    <t>OEM1-PC-PU-X200Pro-GRY</t>
  </si>
  <si>
    <t>OEM1-PC-PU-XM15-BLK</t>
  </si>
  <si>
    <t>OEM1-PC-PU-XM15-GRY</t>
  </si>
  <si>
    <t>OEM1-PC-PU-XM15Ultra-BLK</t>
  </si>
  <si>
    <t>OEM1-PC-PU-XM15Ultra-GRY</t>
  </si>
  <si>
    <t>PBOT-AAC-TH1-Airpods3-BLK</t>
  </si>
  <si>
    <t>PBOT-AAC-TH1-Airpods3-BLU</t>
  </si>
  <si>
    <t>PBOT-AAC-TH1-Airpods3-GRY/RBW</t>
  </si>
  <si>
    <t>PBOT-AAC-TH1-Airpods3-RED</t>
  </si>
  <si>
    <t>PBOT-AAC-TH1-AirpodsPro-BLK</t>
  </si>
  <si>
    <t>PBOT-AAC-TH1-AirpodsPro-BLU</t>
  </si>
  <si>
    <t>PBOT-AAC-TH1-AirpodsPro-GRY/RBW</t>
  </si>
  <si>
    <t>PBOT-AAC-TH1-AirpodsPro-RED</t>
  </si>
  <si>
    <t>PBOT-AAC-TH1-AirpodsPro2-BLK</t>
  </si>
  <si>
    <t>PBOT-AAC-TH1-AirpodsPro2-GRY/RBW</t>
  </si>
  <si>
    <t>PBOT-AAC-TH1-AirpodsPro2-RED</t>
  </si>
  <si>
    <t>PBOT-IC-TH1-Air4/10.9-BLK</t>
  </si>
  <si>
    <t>PBOT-IC-TH1-Air4/10.9-BLU</t>
  </si>
  <si>
    <t>PBOT-IC-TH1-Air4/10.9-RED</t>
  </si>
  <si>
    <t>PBOT-IC-TH1-Air5/10.9-BLK</t>
  </si>
  <si>
    <t>PBOT-IC-TH1-Air5/10.9-BLU</t>
  </si>
  <si>
    <t>PBOT-IC-TH1-Air5/10.9-RED</t>
  </si>
  <si>
    <t>PBOT-IC-TH1-iPad7/10.2-BLK</t>
  </si>
  <si>
    <t>PBOT-IC-TH1-iPad7/10.2-BLU</t>
  </si>
  <si>
    <t>PBOT-IC-TH1-iPad7/10.2-RED</t>
  </si>
  <si>
    <t>PBOT-IC-TH1-iPad8/10.2-BLK</t>
  </si>
  <si>
    <t>PBOT-IC-TH1-iPad8/10.2-BLU</t>
  </si>
  <si>
    <t>PBOT-IC-TH1-iPad8/10.2-RED</t>
  </si>
  <si>
    <t>PBOT-IC-TH1-iPad9/10.2-BLK</t>
  </si>
  <si>
    <t>PBOT-IC-TH1-iPad9/10.2-BLU</t>
  </si>
  <si>
    <t>PBOT-IC-TH1-iPad9/10.2-RED</t>
  </si>
  <si>
    <t>PBOT-PAC-BIKE-Mount-BLK</t>
  </si>
  <si>
    <t>PBOT-PAC-LAZY-Stand-BLK</t>
  </si>
  <si>
    <t>PBOT-PAC-LAZY-Stand-BLU</t>
  </si>
  <si>
    <t>PBOT-PAC-LAZY-Stand-SLV</t>
  </si>
  <si>
    <t>PBOT-PC-TH1-S-A33/5G-BLK</t>
  </si>
  <si>
    <t>PBOT-PC-TH1-S-A33/5G-BLU</t>
  </si>
  <si>
    <t>PBOT-PC-TH1-S-A33/5G-RBW</t>
  </si>
  <si>
    <t>PBOT-PC-TH1-S-A33/5G-RED</t>
  </si>
  <si>
    <t>PBOT-PC-TH1-S-A53/5G-BLK</t>
  </si>
  <si>
    <t>PBOT-PC-TH1-S-A53/5G-BLU</t>
  </si>
  <si>
    <t>PBOT-PC-TH1-S-A53/5G-RBW</t>
  </si>
  <si>
    <t>PBOT-PC-TH1-S-A53/5G-RED</t>
  </si>
  <si>
    <t>PBOT-PC-TH1-S-A73/5G-BLK</t>
  </si>
  <si>
    <t>PBOT-PC-TH1-S-A73/5G-BLU</t>
  </si>
  <si>
    <t>PBOT-PC-TH1-S-A73/5G-RBW</t>
  </si>
  <si>
    <t>PBOT-PC-TH1-S-A73/5G-RED</t>
  </si>
  <si>
    <t>PBOT-PC-TH1-S22-BLK</t>
  </si>
  <si>
    <t>PBOT-PC-TH1-S22-BLK/GRY</t>
  </si>
  <si>
    <t>PBOT-PC-TH1-S22-BLU</t>
  </si>
  <si>
    <t>PBOT-PC-TH1-S22-RBW</t>
  </si>
  <si>
    <t>PBOT-PC-TH1-S22-RED</t>
  </si>
  <si>
    <t>PBOT-PC-TH1-S22Plus-BLK</t>
  </si>
  <si>
    <t>PBOT-PC-TH1-S22Plus-BLK/GRY</t>
  </si>
  <si>
    <t>PBOT-PC-TH1-S22Plus-BLU</t>
  </si>
  <si>
    <t>PBOT-PC-TH1-S22Plus-RBW</t>
  </si>
  <si>
    <t>PBOT-PC-TH1-S22Plus-RED</t>
  </si>
  <si>
    <t>PBOT-PC-TH1-S22Ultra-BLK</t>
  </si>
  <si>
    <t>PBOT-PC-TH1-S22Ultra-BLK/GRY</t>
  </si>
  <si>
    <t>PBOT-PC-TH1-S22Ultra-BLU</t>
  </si>
  <si>
    <t>PBOT-PC-TH1-S22Ultra-RBW</t>
  </si>
  <si>
    <t>PBOT-PC-TH1-S22Ultra-RED</t>
  </si>
  <si>
    <t>PBOT-PC-TH1-S23Ultra-BLK</t>
  </si>
  <si>
    <t>PBOT-PC-TH1-S23Ultra-RBW</t>
  </si>
  <si>
    <t>PBOT-PC-TH1-i12-BLK</t>
  </si>
  <si>
    <t>PBOT-PC-TH1-i12-BLK/GRY</t>
  </si>
  <si>
    <t>PBOT-PC-TH1-i12-BLU</t>
  </si>
  <si>
    <t>PBOT-PC-TH1-i12-RBW</t>
  </si>
  <si>
    <t>PBOT-PC-TH1-i12-RED</t>
  </si>
  <si>
    <t>PBOT-PC-TH1-i12Pro-BLK</t>
  </si>
  <si>
    <t>PBOT-PC-TH1-i12Pro-BLK/GRY</t>
  </si>
  <si>
    <t>PBOT-PC-TH1-i12Pro-BLU</t>
  </si>
  <si>
    <t>PBOT-PC-TH1-i12Pro-RBW</t>
  </si>
  <si>
    <t>PBOT-PC-TH1-i12Pro-RED</t>
  </si>
  <si>
    <t>PBOT-PC-TH1-i12ProMax-BLK</t>
  </si>
  <si>
    <t>PBOT-PC-TH1-i12ProMax-BLK/GRY</t>
  </si>
  <si>
    <t>PBOT-PC-TH1-i12ProMax-BLU</t>
  </si>
  <si>
    <t>PBOT-PC-TH1-i12ProMax-RBW</t>
  </si>
  <si>
    <t>PBOT-PC-TH1-i12ProMax-RED</t>
  </si>
  <si>
    <t>PBOT-PC-TH1-i13-BLK</t>
  </si>
  <si>
    <t>PBOT-PC-TH1-i13-BLK/GRY</t>
  </si>
  <si>
    <t>PBOT-PC-TH1-i13-BLU</t>
  </si>
  <si>
    <t>PBOT-PC-TH1-i13-RBW</t>
  </si>
  <si>
    <t>PBOT-PC-TH1-i13-RED</t>
  </si>
  <si>
    <t>PBOT-PC-TH1-i13Pro-BLK</t>
  </si>
  <si>
    <t>PBOT-PC-TH1-i13Pro-BLK/GRY</t>
  </si>
  <si>
    <t>PBOT-PC-TH1-i13Pro-BLU</t>
  </si>
  <si>
    <t>PBOT-PC-TH1-i13Pro-RBW</t>
  </si>
  <si>
    <t>PBOT-PC-TH1-i13Pro-RED</t>
  </si>
  <si>
    <t>PBOT-PC-TH1-i13ProMax-BLK</t>
  </si>
  <si>
    <t>PBOT-PC-TH1-i13ProMax-BLK/GRY</t>
  </si>
  <si>
    <t>PBOT-PC-TH1-i13ProMax-BLU</t>
  </si>
  <si>
    <t>PBOT-PC-TH1-i13ProMax-RBW</t>
  </si>
  <si>
    <t>PBOT-PC-TH1-i13ProMax-RED</t>
  </si>
  <si>
    <t>PBOT-PC-TH1-iSE(22)-BLK</t>
  </si>
  <si>
    <t>PBOT-PC-TH1-iSE(22)-BLK/GRY</t>
  </si>
  <si>
    <t>PBOT-PC-TH1-iSE(22)-BLU</t>
  </si>
  <si>
    <t>PBOT-PC-TH1-iSE(22)-RBW</t>
  </si>
  <si>
    <t>PBOT-PC-TH1-iSE(22)-RED</t>
  </si>
  <si>
    <t>PBOT-PC-TH1-iSE-BLK</t>
  </si>
  <si>
    <t>PBOT-PC-TH1-iSE-BLK/GRY</t>
  </si>
  <si>
    <t>PBOT-PC-TH1-iSE-BLU</t>
  </si>
  <si>
    <t>PBOT-PC-TH1-iSE-RBW</t>
  </si>
  <si>
    <t>PBOT-PC-TH1-iSE-RED</t>
  </si>
  <si>
    <t>PBOT-WAC-TH1-40mm-BLK</t>
  </si>
  <si>
    <t>PBOT-WAC-TH1-40mm-RBW</t>
  </si>
  <si>
    <t>PBOT-WAC-TH1-40mm-RED</t>
  </si>
  <si>
    <t>PBOT-WAC-TH1-40mm-RG</t>
  </si>
  <si>
    <t>PBOT-WAC-TH1-41mm-BLK</t>
  </si>
  <si>
    <t>PBOT-WAC-TH1-41mm-RBW</t>
  </si>
  <si>
    <t>PBOT-WAC-TH1-41mm-RED</t>
  </si>
  <si>
    <t>PBOT-WAC-TH1-41mm-RG</t>
  </si>
  <si>
    <t>PBOT-WAC-TH1-44mm-BLK</t>
  </si>
  <si>
    <t>PBOT-WAC-TH1-44mm-BLK/GRY</t>
  </si>
  <si>
    <t>PBOT-WAC-TH1-44mm-BLU</t>
  </si>
  <si>
    <t>PBOT-WAC-TH1-44mm-RBW</t>
  </si>
  <si>
    <t>PBOT-WAC-TH1-44mm-RED</t>
  </si>
  <si>
    <t>PBOT-WAC-TH1-44mm-RG</t>
  </si>
  <si>
    <t>PBOT-WAC-TH1-45mm-BLK</t>
  </si>
  <si>
    <t>PBOT-WAC-TH1-45mm-BLK/GRY</t>
  </si>
  <si>
    <t>PBOT-WAC-TH1-45mm-BLU</t>
  </si>
  <si>
    <t>PBOT-WAC-TH1-45mm-RBW</t>
  </si>
  <si>
    <t>PBOT-WAC-TH1-45mm-RED</t>
  </si>
  <si>
    <t>PBOT-WAC-TH1-45mm-RG</t>
  </si>
  <si>
    <t>PBOT-WAC-TH1-49mm-BLK</t>
  </si>
  <si>
    <t>PBOT-WAC-TH1-49mm-BLK/GRY</t>
  </si>
  <si>
    <t>PBOT-WAC-TH1-49mm-RBW</t>
  </si>
  <si>
    <t>PBOT-WAC-TH1-49mm-RED</t>
  </si>
  <si>
    <t>PBOT-WAC-TH1-49mm-RG</t>
  </si>
  <si>
    <t>PBOT-WAC-TH2-40/41mm-BLK</t>
  </si>
  <si>
    <t>PBOT-WAC-TH2-40/41mm-BLU</t>
  </si>
  <si>
    <t>PBOT-WAC-TH2-40/41mm-GRY</t>
  </si>
  <si>
    <t>PBOT-WAC-TH2-40/41mm-PRP</t>
  </si>
  <si>
    <t>PBOT-WAC-TH2-44mm-BLK</t>
  </si>
  <si>
    <t>PBOT-WAC-TH2-44mm-BLU</t>
  </si>
  <si>
    <t>PBOT-WAC-TH2-44mm-GRY</t>
  </si>
  <si>
    <t>PBOT-WAC-TH2-44mm-PRP</t>
  </si>
  <si>
    <t>PBOT-WAC-TH2-45mm-BLK</t>
  </si>
  <si>
    <t>PBOT-WAC-TH2-45mm-BLU</t>
  </si>
  <si>
    <t>PBOT-WAC-TH2-45mm-GRY</t>
  </si>
  <si>
    <t>PBOT-WAC-TH2-45mm-PRP</t>
  </si>
  <si>
    <t>PBOT-WAC-TH2-49mm-BLK</t>
  </si>
  <si>
    <t>PBOT-WAC-TH2-49mm-BLU</t>
  </si>
  <si>
    <t>PBOT-WAC-TH2-49mm-GRY</t>
  </si>
  <si>
    <t>PBOT-WAC-TH2-49mm-PRP</t>
  </si>
  <si>
    <t>PBOT-WAC-TH3-40/41mm-BLK</t>
  </si>
  <si>
    <t>PBOT-WAC-TH3-40/41mm-GRY/BLK</t>
  </si>
  <si>
    <t>PBOT-WAC-TH3-40/41mm-RBW</t>
  </si>
  <si>
    <t>PBOT-WAC-TH3-40/41mm-RG</t>
  </si>
  <si>
    <t>PBOT-WAC-TH3-44mm-BLK</t>
  </si>
  <si>
    <t>PBOT-WAC-TH3-44mm-GRY/BLK</t>
  </si>
  <si>
    <t>PBOT-WAC-TH3-44mm-RBW</t>
  </si>
  <si>
    <t>PBOT-WAC-TH3-44mm-RG</t>
  </si>
  <si>
    <t>PBOT-WAC-TH3-45mm-BLK</t>
  </si>
  <si>
    <t>PBOT-WAC-TH3-45mm-GRY/BLK</t>
  </si>
  <si>
    <t>PBOT-WAC-TH3-45mm-RBW</t>
  </si>
  <si>
    <t>PBOT-WAC-TH3-45mm-RG</t>
  </si>
  <si>
    <t>PBOT-WAC-TH3-49mm-BLK</t>
  </si>
  <si>
    <t>PBOT-WAC-TH3-49mm-GRY/BLK</t>
  </si>
  <si>
    <t>PBOT-WAC-TH3-49mm-RBW</t>
  </si>
  <si>
    <t>PBOT-WAC-TH3-49mm-RG</t>
  </si>
  <si>
    <t>PGO-PC-K8-i15-BLK</t>
  </si>
  <si>
    <t>PGO-PC-K8-i15-BLU</t>
  </si>
  <si>
    <t>PGO-PC-K8-i15Plus-BLK</t>
  </si>
  <si>
    <t>PGO-PC-K8-i15Plus-BLU</t>
  </si>
  <si>
    <t>PGO-PC-K8-i15Pro-BLK</t>
  </si>
  <si>
    <t>PGO-PC-K8-i15ProMax-BLK</t>
  </si>
  <si>
    <t>PGO-PC-K8-i15ProMax-BLU</t>
  </si>
  <si>
    <t>PLM-LC-POPE-Air/13-TP/BLK</t>
  </si>
  <si>
    <t>PLM-LC-POPE-Air/13-TP/CLR</t>
  </si>
  <si>
    <t>PLM-LC-POPE-Air/13.6-TP/BLK</t>
  </si>
  <si>
    <t>PLM-LC-POPE-Air/13.6-TP/CLR</t>
  </si>
  <si>
    <t>PLM-LC-POPE-Air/15-TP/BLK</t>
  </si>
  <si>
    <t>PLM-LC-POPE-Air/15-TP/CLR</t>
  </si>
  <si>
    <t>PLM-LC-POPE-D14-TP/CLR</t>
  </si>
  <si>
    <t>PLM-LC-POPE-Pro/13-TP/BLK</t>
  </si>
  <si>
    <t>PLM-LC-POPE-Pro/13-TP/CLR</t>
  </si>
  <si>
    <t>PLM-LC-POPE-Pro/14-TP/BLK</t>
  </si>
  <si>
    <t>PLM-LC-POPE-Pro/14-TP/CLR</t>
  </si>
  <si>
    <t>PLM-LC-POPE-Pro/16-TP/BLK</t>
  </si>
  <si>
    <t>PLM-LC-POPE-Pro/16-TP/CLR</t>
  </si>
  <si>
    <t>PSG-IC-AUR2-Air11(2024)-BLK</t>
  </si>
  <si>
    <t>PSG-IC-AUR2-Air11(2024)-LAV</t>
  </si>
  <si>
    <t>PSG-IC-AUR2-Air11(2024)-PNK</t>
  </si>
  <si>
    <t>PSG-IC-AUR2-Air13(2024)-BLK</t>
  </si>
  <si>
    <t>PSG-IC-AUR2-Air13(2024)-LAV</t>
  </si>
  <si>
    <t>PSG-IC-AUR2-Air13(2024)-PNK</t>
  </si>
  <si>
    <t>PSG-IC-AUR2-Mini6-BLK</t>
  </si>
  <si>
    <t>PSG-IC-AUR2-Mini6-LAV</t>
  </si>
  <si>
    <t>PSG-IC-AUR2-Mini6-PNK</t>
  </si>
  <si>
    <t>PSG-IC-AUR2-Pro11(20)-BLK</t>
  </si>
  <si>
    <t>PSG-IC-AUR2-Pro11(20)-LAV</t>
  </si>
  <si>
    <t>PSG-IC-AUR2-Pro11(20)-PNK</t>
  </si>
  <si>
    <t>PSG-IC-AUR2-Pro11(2024)-BLK</t>
  </si>
  <si>
    <t>PSG-IC-AUR2-Pro11(2024)-LAV</t>
  </si>
  <si>
    <t>PSG-IC-AUR2-Pro11(2024)-PNK</t>
  </si>
  <si>
    <t>PSG-IC-AUR2-Pro13(2024)-BLK</t>
  </si>
  <si>
    <t>PSG-IC-AUR2-Pro13(2024)-LAV</t>
  </si>
  <si>
    <t>PSG-IC-AUR2-Pro13(2024)-PNK</t>
  </si>
  <si>
    <t>PSG-IC-AUR2-iPad10(10.9)-BLK</t>
  </si>
  <si>
    <t>PSG-IC-AUR2-iPad10(10.9)-LAV</t>
  </si>
  <si>
    <t>PSG-IC-AUR2-iPad10(10.9)-PNK</t>
  </si>
  <si>
    <t>PSG-IC-AUR2-iPad10.2-BLK</t>
  </si>
  <si>
    <t>PSG-IC-AUR2-iPad10.2-LAV</t>
  </si>
  <si>
    <t>PSG-IC-AUR2-iPad10.2-PNK</t>
  </si>
  <si>
    <t>PSG-IC-G1-TabS10FEPlus-BLK</t>
  </si>
  <si>
    <t>PSG-IC-G1-TabS10FEPlus-LAV</t>
  </si>
  <si>
    <t>PSG-IC-G1-TabS10FEPlus-PNK</t>
  </si>
  <si>
    <t>PSG-IC-G1-TabS7/S8-BLK</t>
  </si>
  <si>
    <t>PSG-IC-G1-TabS7/S8-LAV</t>
  </si>
  <si>
    <t>PSG-IC-G1-TabS7/S8-PNK</t>
  </si>
  <si>
    <t>PSG-IC-G1-TabS7FE-BLK</t>
  </si>
  <si>
    <t>PSG-IC-G1-TabS7FE-LAV</t>
  </si>
  <si>
    <t>PSG-IC-G1-TabS7FE-PNK</t>
  </si>
  <si>
    <t>PSG-IC-G1-TabS9-BLK</t>
  </si>
  <si>
    <t>PSG-IC-G1-TabS9-LAV</t>
  </si>
  <si>
    <t>PSG-IC-G1-TabS9-PNK</t>
  </si>
  <si>
    <t>PSG-IC-G1-TabS9Plus-BLK</t>
  </si>
  <si>
    <t>PSG-IC-G1-TabS9Plus-LAV</t>
  </si>
  <si>
    <t>PSG-IC-G1-TabS9Plus-PNK</t>
  </si>
  <si>
    <t>PSG-IC-G1-TabS9Ultra-BLK</t>
  </si>
  <si>
    <t>PSG-IC-G1-TabS9Ultra-PNK</t>
  </si>
  <si>
    <t>PSG-IC-G2-Air11(2024)-BLK</t>
  </si>
  <si>
    <t>PSG-IC-G2-Air11(2024)-LAV</t>
  </si>
  <si>
    <t>PSG-IC-G2-Air11(2024)-PNK</t>
  </si>
  <si>
    <t>PSG-IC-G2-Air13(2024)-BLK</t>
  </si>
  <si>
    <t>PSG-IC-G2-Air13(2024)-LAV</t>
  </si>
  <si>
    <t>PSG-IC-G2-Air13(2024)-PNK</t>
  </si>
  <si>
    <t>PSG-IC-G2-Pro11(20)-BLK</t>
  </si>
  <si>
    <t>PSG-IC-G2-Pro11(20)-LAV</t>
  </si>
  <si>
    <t>PSG-IC-G2-Pro11(20)-PNK</t>
  </si>
  <si>
    <t>PSG-IC-G2-Pro11(2024)-BLK</t>
  </si>
  <si>
    <t>PSG-IC-G2-Pro11(2024)-LAV</t>
  </si>
  <si>
    <t>PSG-IC-G2-Pro11(2024)-PNK</t>
  </si>
  <si>
    <t>PSG-IC-G2-Pro13(2024)-BLK</t>
  </si>
  <si>
    <t>PSG-IC-G2-Pro13(2024)-LAV</t>
  </si>
  <si>
    <t>PSG-IC-G2-Pro13(2024)-PNK</t>
  </si>
  <si>
    <t>PSG-IC-G2-iPad10(10.9)-BLK</t>
  </si>
  <si>
    <t>PSG-IC-G2-iPad10(10.9)-LAV</t>
  </si>
  <si>
    <t>PSG-IC-G2-iPad10(10.9)-PNK</t>
  </si>
  <si>
    <t>PSG-IC-G2-iPad10.2-BLK</t>
  </si>
  <si>
    <t>PSG-IC-G2-iPad10.2-LAV</t>
  </si>
  <si>
    <t>PSG-IC-G2-iPad10.2-PNK</t>
  </si>
  <si>
    <t>PSG-IC-LAC-Bag/14inch-BLK</t>
  </si>
  <si>
    <t>PSG-IC-LAC-Bag/14inch-BLU</t>
  </si>
  <si>
    <t>PSG-IC-LAC-Bag/14inch-BRW</t>
  </si>
  <si>
    <t>PSG-IC-LAC-Bag/16inch-BLK</t>
  </si>
  <si>
    <t>PSG-IC-LAC-Bag/16inch-BLU</t>
  </si>
  <si>
    <t>PSG-IC-LAC-Bag/16inch-BRW</t>
  </si>
  <si>
    <t>PSG-IC-MAG4-Air11(2024)-BLK</t>
  </si>
  <si>
    <t>PSG-IC-MAG4-Air11(2024)-BLU</t>
  </si>
  <si>
    <t>PSG-IC-MAG4-Air11(2024)-LAV</t>
  </si>
  <si>
    <t>PSG-IC-MAG4-Air11(2024)-PNK</t>
  </si>
  <si>
    <t>PSG-IC-MAG4-Air13(2024)-BLK</t>
  </si>
  <si>
    <t>PSG-IC-MAG4-Air13(2024)-BLU</t>
  </si>
  <si>
    <t>PSG-IC-MAG4-Air13(2024)-LAV</t>
  </si>
  <si>
    <t>PSG-IC-MAG4-Air13(2024)-PNK</t>
  </si>
  <si>
    <t>PSG-IC-MAG4-Mini6-BLK</t>
  </si>
  <si>
    <t>PSG-IC-MAG4-Mini6-LAV</t>
  </si>
  <si>
    <t>PSG-IC-MAG4-Pro11(20)-BLK</t>
  </si>
  <si>
    <t>PSG-IC-MAG4-Pro11(20)-BLU</t>
  </si>
  <si>
    <t>PSG-IC-MAG4-Pro11(20)-LAV</t>
  </si>
  <si>
    <t>PSG-IC-MAG4-Pro11(20)-PNK</t>
  </si>
  <si>
    <t>PSG-IC-MAG4-Pro11(2024)-BLK</t>
  </si>
  <si>
    <t>PSG-IC-MAG4-Pro11(2024)-BLU</t>
  </si>
  <si>
    <t>PSG-IC-MAG4-Pro11(2024)-LAV</t>
  </si>
  <si>
    <t>PSG-IC-MAG4-Pro11(2024)-PNK</t>
  </si>
  <si>
    <t>PSG-IC-MAG4-Pro13(2024)-BLK</t>
  </si>
  <si>
    <t>PSG-IC-MAG4-Pro13(2024)-BLU</t>
  </si>
  <si>
    <t>PSG-IC-MAG4-Pro13(2024)-LAV</t>
  </si>
  <si>
    <t>PSG-IC-MAG4-Pro13(2024)-PNK</t>
  </si>
  <si>
    <t>PSG-IC-MAG4-iPad10(10.9)-BLK</t>
  </si>
  <si>
    <t>PSG-IC-MAG4-iPad10(10.9)-BLU</t>
  </si>
  <si>
    <t>PSG-IC-MAG4-iPad10(10.9)-LAV</t>
  </si>
  <si>
    <t>PSG-IC-MAG4-iPad10(10.9)-PNK</t>
  </si>
  <si>
    <t>PSG-IC-PU-S/A9-BLK</t>
  </si>
  <si>
    <t>PSG-IC-PU-S/A9-LAV</t>
  </si>
  <si>
    <t>PSG-IC-PU-S/A9-PNK</t>
  </si>
  <si>
    <t>PSG-IC-PU-S/A9Plus-BLK</t>
  </si>
  <si>
    <t>PSG-IC-PU-S/A9Plus-LAV</t>
  </si>
  <si>
    <t>PSG-IC-PU-S/A9Plus-PNK</t>
  </si>
  <si>
    <t>PSG-IC-PU-TabS10FEPlus-BLK</t>
  </si>
  <si>
    <t>PSG-IC-PU-TabS10FEPlus-LAV</t>
  </si>
  <si>
    <t>PSG-IC-PU-TabS10FEPlus-PNK</t>
  </si>
  <si>
    <t>PSG-IC-PU-TabS6Lite-BLK</t>
  </si>
  <si>
    <t>PSG-IC-PU-TabS6Lite-LAV</t>
  </si>
  <si>
    <t>PSG-IC-PU-TabS6Lite-PNK</t>
  </si>
  <si>
    <t>PSG-IC-PU-TabS7/S8-BLK</t>
  </si>
  <si>
    <t>PSG-IC-PU-TabS7/S8-LAV</t>
  </si>
  <si>
    <t>PSG-IC-PU-TabS7FE-BLK</t>
  </si>
  <si>
    <t>PSG-IC-PU-TabS7FE-PNK</t>
  </si>
  <si>
    <t>PSG-IC-PU-TabS9-BLK</t>
  </si>
  <si>
    <t>PSG-IC-PU-TabS9Plus-BLK</t>
  </si>
  <si>
    <t>PSG-IC-PU-TabS9Plus-LAV</t>
  </si>
  <si>
    <t>PSG-IC-PU-TabS9Plus-MNG</t>
  </si>
  <si>
    <t>PSG-IC-PU-TabS9Plus-PNK</t>
  </si>
  <si>
    <t>PSG-IC-PU-TabS9Ultra-BLK</t>
  </si>
  <si>
    <t>PSG-IC-PU-TabS9Ultra-LAV</t>
  </si>
  <si>
    <t>PSG-IC-PU-TabS9Ultra-PNK</t>
  </si>
  <si>
    <t>QL-BAG-BQL1-SOLED/SNS-BLK</t>
  </si>
  <si>
    <t>QL-BAG-BQL1-SOLED/SNS-BLU</t>
  </si>
  <si>
    <t>QL-BAG-BQL1-SOLED/SNS-GENGAR</t>
  </si>
  <si>
    <t>QL-BAG-BQL1-SOLED/SNS-KBWW</t>
  </si>
  <si>
    <t>QL-BAG-BQL1-SOLED/SNS-RED</t>
  </si>
  <si>
    <t>QL-BAG-BQL1-SOLED/SNS-WHT</t>
  </si>
  <si>
    <t>QL-BAG-BQL1-SOLED/SNS-YLW</t>
  </si>
  <si>
    <t>QL-BAG-BQL2-SOLED/SNS-BLK</t>
  </si>
  <si>
    <t>QL-BAG-BQL2-SOLED/SNS-WHT</t>
  </si>
  <si>
    <t>QL-BAG-BQL3-Steam-BLK</t>
  </si>
  <si>
    <t>QL-CAP-C01-CAT-BLK</t>
  </si>
  <si>
    <t>QL-CAP-C01-CAT-BLU</t>
  </si>
  <si>
    <t>QL-CAP-C01-CAT-GRN</t>
  </si>
  <si>
    <t>QL-CAP-C01-CAT-PNK</t>
  </si>
  <si>
    <t>QL-CAP-C01-CAT-YLW</t>
  </si>
  <si>
    <t>QL-CAP-C02-CART-DOG</t>
  </si>
  <si>
    <t>QL-CAP-C02-CART-MEOW</t>
  </si>
  <si>
    <t>QL-CAP-C02-CART-PIKA</t>
  </si>
  <si>
    <t>QL-CAP-C02-CART-SAKU</t>
  </si>
  <si>
    <t>QL-CAP-C02-CART-SKULL</t>
  </si>
  <si>
    <t>QL-CAP-C02-CART-STAR</t>
  </si>
  <si>
    <t>QL-GC-GC01-SNS-BLK</t>
  </si>
  <si>
    <t>QL-GC-GC01-SNS-PNK</t>
  </si>
  <si>
    <t>QL-GC-GC01-SNS-RED</t>
  </si>
  <si>
    <t>QL-GC-GC01-SNS-WHT</t>
  </si>
  <si>
    <t>QL-GC-GC01-SOLED-BLK</t>
  </si>
  <si>
    <t>QL-GC-GC01-SOLED-PNK</t>
  </si>
  <si>
    <t>QL-GC-GC01-SOLED-RED</t>
  </si>
  <si>
    <t>QL-GC-GC01-SOLED-WHT</t>
  </si>
  <si>
    <t>QL-GC-ST001-SOLED-WHT/ORG</t>
  </si>
  <si>
    <t>QL-GC-ST001-SOLED-WHT/RED</t>
  </si>
  <si>
    <t>QL-GC-ST001-Steam-BLK</t>
  </si>
  <si>
    <t>QL-GC-ST001-Steam-WHT/ORG</t>
  </si>
  <si>
    <t>QL-GC-ST001-Steam-WHT/RED</t>
  </si>
  <si>
    <t>RHNO-WAC-CASE-H38-BLK</t>
  </si>
  <si>
    <t>RHNO-WAC-CASE-H38-CMG</t>
  </si>
  <si>
    <t>RHNO-WAC-CASE-H38-LAV</t>
  </si>
  <si>
    <t>RHNO-WAC-CASE-H38-PNG</t>
  </si>
  <si>
    <t>RHNO-WAC-CASE-H38-RED</t>
  </si>
  <si>
    <t>RHNO-WAC-CASE-H38-WHT</t>
  </si>
  <si>
    <t>RHNO-WAC-CASE-H41-WHT</t>
  </si>
  <si>
    <t>RHNO-WAC-CASE-H42-BHP</t>
  </si>
  <si>
    <t>RHNO-WAC-CASE-H42-CMG</t>
  </si>
  <si>
    <t>RHNO-WAC-CASE-H42-LAV</t>
  </si>
  <si>
    <t>RHNO-WAC-CASE-H42-RED</t>
  </si>
  <si>
    <t>RHNO-WAC-CASE-H42-WHT</t>
  </si>
  <si>
    <t>RHNO-WAC-CASE-H45-BHP</t>
  </si>
  <si>
    <t>RHNO-WAC-CASE-H45-WHT</t>
  </si>
  <si>
    <t>RHNO-WAC-RIM-R38-BLK</t>
  </si>
  <si>
    <t>RHNO-WAC-RIM-R38-CMG</t>
  </si>
  <si>
    <t>RHNO-WAC-RIM-R38-FEG</t>
  </si>
  <si>
    <t>RHNO-WAC-RIM-R38-LAV</t>
  </si>
  <si>
    <t>RHNO-WAC-RIM-R38-NAB</t>
  </si>
  <si>
    <t>RHNO-WAC-RIM-R38-ORG</t>
  </si>
  <si>
    <t>RHNO-WAC-RIM-R38-PNG</t>
  </si>
  <si>
    <t>RHNO-WAC-RIM-R38-ROB</t>
  </si>
  <si>
    <t>RHNO-WAC-RIM-R38-WHT</t>
  </si>
  <si>
    <t>RHNO-WAC-RIM-R41-BLK</t>
  </si>
  <si>
    <t>RHNO-WAC-RIM-R41-WHT</t>
  </si>
  <si>
    <t>RHNO-WAC-RIM-R42-BHP</t>
  </si>
  <si>
    <t>RHNO-WAC-RIM-R42-FEG</t>
  </si>
  <si>
    <t>RHNO-WAC-RIM-R42-LAV</t>
  </si>
  <si>
    <t>RHNO-WAC-RIM-R42-WHT</t>
  </si>
  <si>
    <t>RHNO-WAC-RIM-R45-BLK</t>
  </si>
  <si>
    <t>SIKAI-WAC-BEAD(S)-HweiFit-RBW</t>
  </si>
  <si>
    <t>SIKAI-WAC-BEAD(S)-HweiFit-RG</t>
  </si>
  <si>
    <t>SIKAI-WAC-BEAD(S)-HweiFit-SLV</t>
  </si>
  <si>
    <t>SIKAI-WAC-TPU(C)-HweiGT2e-MNB/YLW</t>
  </si>
  <si>
    <t>SIKAI-WAC-TPU(C)-MiWatchLite-BLK</t>
  </si>
  <si>
    <t>SIKAI-WAC-TPU(C)-MiWatchLite-BLK/RED</t>
  </si>
  <si>
    <t>SIKAI-WAC-TPU(C)-MiWatchLite-BLK/WHT</t>
  </si>
  <si>
    <t>SIKAI-WAC-TPU(C)-MiWatchLite-BLU</t>
  </si>
  <si>
    <t>SIKAI-WAC-TPU(C)-MiWatchLite-BLU/WHT</t>
  </si>
  <si>
    <t>SIKAI-WAC-TPU(C)-MiWatchLite-WHT/WHT</t>
  </si>
  <si>
    <t>SONG-LANY-ARA1-SET-BLK</t>
  </si>
  <si>
    <t>SONG-LANY-ARA1-SET-LAV</t>
  </si>
  <si>
    <t>SONG-LANY-ARA1-SET-OLD</t>
  </si>
  <si>
    <t>SONG-LANY-ARA1-SET-PNK</t>
  </si>
  <si>
    <t>SONG-LANY-ARA2-HAND-BLK</t>
  </si>
  <si>
    <t>SONG-LANY-ARA2-HAND-PNK19</t>
  </si>
  <si>
    <t>SONG-LANY-ARA2-HAND-RAG24</t>
  </si>
  <si>
    <t>SONG-LANY-ARA2-HAND-RED6</t>
  </si>
  <si>
    <t>SONG-LANY-ARA2-HAND-RO49</t>
  </si>
  <si>
    <t>SONG-LANY-CAST-SET-BLK</t>
  </si>
  <si>
    <t>SONG-LANY-CAST-SET-PNK</t>
  </si>
  <si>
    <t>SONG-LANY-CAST-SET-SLV</t>
  </si>
  <si>
    <t>SONG-LANY-DCLIP-SET-BLK/GLD</t>
  </si>
  <si>
    <t>SONG-LANY-DCLIP-SET-BRI/BLK</t>
  </si>
  <si>
    <t>SONG-LANY-DCLIP-SET-GRY/BLU</t>
  </si>
  <si>
    <t>SONG-LANY-DCLIP-SET-PNK/GRY</t>
  </si>
  <si>
    <t>SONG-LANY-DCLIP-SET-PNK/PRP</t>
  </si>
  <si>
    <t>SONG-LANY-DCLIP-SET-PNK/WHT</t>
  </si>
  <si>
    <t>SONG-LANY-UTI-RUG-BLK</t>
  </si>
  <si>
    <t>SONG-MAC-CSS-Lanyard-BLK</t>
  </si>
  <si>
    <t>SONG-MAC-CSS-Lanyard-BLK/SLV</t>
  </si>
  <si>
    <t>SONG-MAC-CSS-Lanyard-BLK/WHT</t>
  </si>
  <si>
    <t>SONG-MAC-CSS-Lanyard-BRI/BLK</t>
  </si>
  <si>
    <t>SONG-MAC-CSS-Lanyard-FLU/ORG</t>
  </si>
  <si>
    <t>SONG-MAC-CSS-Lanyard-GRY/BLU</t>
  </si>
  <si>
    <t>SONG-MAC-CSS-Lanyard-RED/BLU</t>
  </si>
  <si>
    <t>SONG-MAC-CSS-Lanyard-SRN/BLU</t>
  </si>
  <si>
    <t>SONG-MAC-HK-Set-BLK</t>
  </si>
  <si>
    <t>SONG-MAC-HK-Set-BLK/GRY</t>
  </si>
  <si>
    <t>SONG-MAC-HK-Set-BRI/BLK</t>
  </si>
  <si>
    <t>SONG-MAC-HK-Set-DEP/GRY</t>
  </si>
  <si>
    <t>SONG-MAC-HK-Set-FLU/ORG</t>
  </si>
  <si>
    <t>SONG-MAC-HK-Set-GRY/BLU</t>
  </si>
  <si>
    <t>SONG-MAC-HK-Set-INK/GRN</t>
  </si>
  <si>
    <t>SONG-MAC-HK-Set-LIG/PRP</t>
  </si>
  <si>
    <t>SONG-MAC-HK-Set-PNK/WHT</t>
  </si>
  <si>
    <t>SONG-MAC-MON-Set-BLK</t>
  </si>
  <si>
    <t>SONG-MAC-MON-Set-BLK/GRY</t>
  </si>
  <si>
    <t>SONG-MAC-MON-Set-BLK/WHT</t>
  </si>
  <si>
    <t>SONG-MAC-MON-Set-BRI/BLK</t>
  </si>
  <si>
    <t>SONG-MAC-MON-Set-DEP/GRY</t>
  </si>
  <si>
    <t>SONG-MAC-MON-Set-FLU/ORG</t>
  </si>
  <si>
    <t>SONG-MAC-MON-Set-GRY/BLU</t>
  </si>
  <si>
    <t>SONG-MAC-MON-Set-INK/GRN</t>
  </si>
  <si>
    <t>SONG-MAC-PAT-Clip-BLK</t>
  </si>
  <si>
    <t>SONG-MAC-PAT-Clip-TPR</t>
  </si>
  <si>
    <t>SONG-MAC-PAT-Clip-WHT</t>
  </si>
  <si>
    <t>SONG-MAC-ROU-Set-BEI</t>
  </si>
  <si>
    <t>SONG-MAC-ROU-Set-BLK</t>
  </si>
  <si>
    <t>SONG-MAC-ROU-Set-BLK/GRY</t>
  </si>
  <si>
    <t>SONG-MAC-ROU-Set-BLK/WHT</t>
  </si>
  <si>
    <t>SONG-MAC-ROU-Set-BRI/BLK</t>
  </si>
  <si>
    <t>SONG-MAC-ROU-Set-FLU/ORG</t>
  </si>
  <si>
    <t>SONG-MAC-ROU-Set-GRN/BEI</t>
  </si>
  <si>
    <t>SONG-MAC-ROU-Set-GRY/BLU</t>
  </si>
  <si>
    <t>SONG-MAC-ROU-Set-INK/GRN</t>
  </si>
  <si>
    <t>SONG-MAC-ROU-Set-LUM/GRN</t>
  </si>
  <si>
    <t>SONG-MAC-ROU-Set-PNK/BLU</t>
  </si>
  <si>
    <t>SONG-MAC-ROU-Set-PRP/BLU</t>
  </si>
  <si>
    <t>SONG-MAC-SIL-Clip-BLK</t>
  </si>
  <si>
    <t>SONG-MAC-SIL-Clip-BLU</t>
  </si>
  <si>
    <t>SONG-MAC-SIL-Clip-GRN</t>
  </si>
  <si>
    <t>SONG-MAC-SIL-Clip-PRP</t>
  </si>
  <si>
    <t>SONG-MAC-SIL-Clip-RED</t>
  </si>
  <si>
    <t>SONG-MAC-SIL-Clip-TPR</t>
  </si>
  <si>
    <t>SONG-MAC-SIL-Clip-WHT</t>
  </si>
  <si>
    <t>SQC-CHAR-MS-Cable-BLK</t>
  </si>
  <si>
    <t>SQC-CHAR-NORM-Cable/100-BLK</t>
  </si>
  <si>
    <t>SQC-CHAR-NORM-Cable/20-BLK</t>
  </si>
  <si>
    <t>SQC-STP-NY-20mm-ARM/GRN</t>
  </si>
  <si>
    <t>SQC-STP-NY-20mm-BLG/RED</t>
  </si>
  <si>
    <t>SQC-STP-NY-20mm-BLK</t>
  </si>
  <si>
    <t>SQC-STP-NY-20mm-BLK/GRY</t>
  </si>
  <si>
    <t>SQC-STP-NY-20mm-BLK/RED</t>
  </si>
  <si>
    <t>SQC-STP-NY-20mm-BLW/RED</t>
  </si>
  <si>
    <t>SQC-STP-NY-20mm-DAK/BLU</t>
  </si>
  <si>
    <t>SQC-STP-NY-22mm-ARM/GRN</t>
  </si>
  <si>
    <t>SQC-STP-NY-22mm-BLG/RED</t>
  </si>
  <si>
    <t>SQC-STP-NY-22mm-BLK</t>
  </si>
  <si>
    <t>SQC-STP-NY-22mm-BLK/GRY</t>
  </si>
  <si>
    <t>SQC-STP-NY-22mm-BLK/RED</t>
  </si>
  <si>
    <t>SQC-STP-NY-22mm-BLW/RED</t>
  </si>
  <si>
    <t>SQC-STP-NY-22mm-DAK/BLU</t>
  </si>
  <si>
    <t>SQC-STP-OFC-20mm-ARR/BLU</t>
  </si>
  <si>
    <t>SQC-STP-OFC-20mm-BLK</t>
  </si>
  <si>
    <t>SQC-STP-OFC-20mm-DAK/BLU</t>
  </si>
  <si>
    <t>SQC-STP-OFC-20mm-ENE/ORG</t>
  </si>
  <si>
    <t>SQC-STP-OFC-20mm-MID/BLU</t>
  </si>
  <si>
    <t>SQC-STP-OFC-20mm-RED</t>
  </si>
  <si>
    <t>SQC-STP-OFC-20mm-SAN/PNK</t>
  </si>
  <si>
    <t>SQC-STP-OFC-20mm-WHT</t>
  </si>
  <si>
    <t>SQC-STP-OFC-22mm-ARR/BLU</t>
  </si>
  <si>
    <t>SQC-STP-OFC-22mm-BLK</t>
  </si>
  <si>
    <t>SQC-STP-OFC-22mm-DAK/BLU</t>
  </si>
  <si>
    <t>SQC-STP-OFC-22mm-ENE/ORG</t>
  </si>
  <si>
    <t>SQC-STP-OFC-22mm-MID/BLU</t>
  </si>
  <si>
    <t>SQC-STP-OFC-22mm-RED</t>
  </si>
  <si>
    <t>SQC-STP-OFC-22mm-SAN/PNK</t>
  </si>
  <si>
    <t>SQC-STP-OFC-22mm-WHT</t>
  </si>
  <si>
    <t>SQC-STP-PLAD-20mm-AMB/YLW</t>
  </si>
  <si>
    <t>SQC-STP-PLAD-20mm-BLK</t>
  </si>
  <si>
    <t>SQC-STP-PLAD-20mm-GRY</t>
  </si>
  <si>
    <t>SQC-STP-PLAD-20mm-NAV/BLU</t>
  </si>
  <si>
    <t>SQC-STP-PLAD-20mm-ROS/PNK</t>
  </si>
  <si>
    <t>SQC-STP-PLAD-20mm-WHT</t>
  </si>
  <si>
    <t>SQC-STP-PLAD-20mm-WIN/RED</t>
  </si>
  <si>
    <t>SQC-STP-PLAD-22mm-AMB/YLW</t>
  </si>
  <si>
    <t>SQC-STP-PLAD-22mm-BLK</t>
  </si>
  <si>
    <t>SQC-STP-PLAD-22mm-GRY</t>
  </si>
  <si>
    <t>SQC-STP-PLAD-22mm-NAV/BLU</t>
  </si>
  <si>
    <t>SQC-STP-PLAD-22mm-ROS/PNK</t>
  </si>
  <si>
    <t>SQC-STP-PLAD-22mm-WHT</t>
  </si>
  <si>
    <t>SQC-STP-PLAD-22mm-WIN/RED</t>
  </si>
  <si>
    <t>SQC-STP-SAN-20mm-BLK</t>
  </si>
  <si>
    <t>SQC-STP-SAN-20mm-GLD</t>
  </si>
  <si>
    <t>SQC-STP-SAN-20mm-RG</t>
  </si>
  <si>
    <t>SQC-STP-SAN-20mm-SLV</t>
  </si>
  <si>
    <t>SQC-STP-SAN-22mm-BLK</t>
  </si>
  <si>
    <t>SQC-STP-SAN-22mm-GLD</t>
  </si>
  <si>
    <t>SQC-STP-SAN-22mm-RG</t>
  </si>
  <si>
    <t>SQC-STP-SAN-22mm-SLV</t>
  </si>
  <si>
    <t>SQC-WAC-BG(C)-40mm-BLK</t>
  </si>
  <si>
    <t>SQC-WAC-BG(C)-40mm-BLU</t>
  </si>
  <si>
    <t>SQC-WAC-BG(C)-40mm-CLR</t>
  </si>
  <si>
    <t>SQC-WAC-BG(C)-40mm-PNK</t>
  </si>
  <si>
    <t>SQC-WAC-BG(C)-40mm-WHT</t>
  </si>
  <si>
    <t>SQC-WAC-BG(C)-41mm-BLK</t>
  </si>
  <si>
    <t>SQC-WAC-BG(C)-41mm-CLR/WHT</t>
  </si>
  <si>
    <t>SQC-WAC-BG(C)-41mm-MID/BLU</t>
  </si>
  <si>
    <t>SQC-WAC-BG(C)-41mm-OFF/GRN</t>
  </si>
  <si>
    <t>SQC-WAC-BG(C)-41mm-PNK</t>
  </si>
  <si>
    <t>SQC-WAC-BG(C)-41mm-RED</t>
  </si>
  <si>
    <t>SQC-WAC-BG(C)-41mm-RG</t>
  </si>
  <si>
    <t>SQC-WAC-BG(C)-41mm-WHT</t>
  </si>
  <si>
    <t>SQC-WAC-BG(C)-41mm-WIN/RED</t>
  </si>
  <si>
    <t>SQC-WAC-BG(C)-44mm-BLK</t>
  </si>
  <si>
    <t>SQC-WAC-BG(C)-44mm-BLU</t>
  </si>
  <si>
    <t>SQC-WAC-BG(C)-44mm-CAR</t>
  </si>
  <si>
    <t>SQC-WAC-BG(C)-44mm-CLR</t>
  </si>
  <si>
    <t>SQC-WAC-BG(C)-44mm-DAK/GRN</t>
  </si>
  <si>
    <t>SQC-WAC-BG(C)-44mm-LIG/GRN</t>
  </si>
  <si>
    <t>SQC-WAC-BG(C)-44mm-PNK</t>
  </si>
  <si>
    <t>SQC-WAC-BG(C)-44mm-RED</t>
  </si>
  <si>
    <t>SQC-WAC-BG(C)-44mm-RG</t>
  </si>
  <si>
    <t>SQC-WAC-BG(C)-44mm-WHT</t>
  </si>
  <si>
    <t>SQC-WAC-BG(C)-45mm-BLK</t>
  </si>
  <si>
    <t>SQC-WAC-BG(C)-45mm-CLR/WHT</t>
  </si>
  <si>
    <t>SQC-WAC-BG(C)-45mm-MID/BLU</t>
  </si>
  <si>
    <t>SQC-WAC-BG(C)-45mm-OFF/GRN</t>
  </si>
  <si>
    <t>SQC-WAC-BG(C)-45mm-PNK</t>
  </si>
  <si>
    <t>SQC-WAC-BG(C)-45mm-RED</t>
  </si>
  <si>
    <t>SQC-WAC-BG(C)-45mm-RG</t>
  </si>
  <si>
    <t>SQC-WAC-BG(C)-45mm-WHT</t>
  </si>
  <si>
    <t>SQC-WAC-BG(C)-45mm-WIN/RED</t>
  </si>
  <si>
    <t>SQC-WAC-BG(C)-AmGTR2-BLK</t>
  </si>
  <si>
    <t>SQC-WAC-BG(C)-AmGTR2-CLR/WHT</t>
  </si>
  <si>
    <t>SQC-WAC-BG(C)-AmGTR2-MID/BLU</t>
  </si>
  <si>
    <t>SQC-WAC-BG(C)-AmGTS2Mini-BLK</t>
  </si>
  <si>
    <t>SQC-WAC-BG(C)-AmGTS2Mini-CLR/WHT</t>
  </si>
  <si>
    <t>SQC-WAC-BG(C)-AmGTS2Mini-INK/BLU</t>
  </si>
  <si>
    <t>SQC-WAC-BG(C)-AmGTS2Mini-PIN/GRN</t>
  </si>
  <si>
    <t>SQC-WAC-BG(C)-AmGTS2Mini-SKR/PNK</t>
  </si>
  <si>
    <t>SQC-WAC-BG(C)-HweiGT2/46-CLR/WHT</t>
  </si>
  <si>
    <t>SQC-WAC-BG(C)-HweiGT2/46-PLA/BLK</t>
  </si>
  <si>
    <t>SQC-WAC-BG(C)-HweiGT2/46-PLA/GRY</t>
  </si>
  <si>
    <t>SQC-WAC-BG(C)-HweiGT2/46-PLA/PNK</t>
  </si>
  <si>
    <t>SQC-WAC-BG(C)-HweiGT2/46-PLA/RG</t>
  </si>
  <si>
    <t>SQC-WAC-BG(C)-HweiGT2Pro-BLK</t>
  </si>
  <si>
    <t>SQC-WAC-BG(C)-HweiGT2Pro-BLU</t>
  </si>
  <si>
    <t>SQC-WAC-BG(C)-HweiGT2Pro-CLR/WHT</t>
  </si>
  <si>
    <t>SQC-WAC-BG(C)-HweiGT2Pro-RED</t>
  </si>
  <si>
    <t>SQC-WAC-BG(C)-HweiGT2Pro-RG</t>
  </si>
  <si>
    <t>SQC-WAC-BG(C)-HweiGT2Pro-WHT</t>
  </si>
  <si>
    <t>SQC-WAC-BG(C)-HweiGT2e-CLR/WHT</t>
  </si>
  <si>
    <t>SQC-WAC-BG(C)-HweiGT2e-PLA/BLK</t>
  </si>
  <si>
    <t>SQC-WAC-BG(C)-HweiGT2e-PLA/PNK</t>
  </si>
  <si>
    <t>SQC-WAC-BG(C)-HweiGT2e-PLA/RG</t>
  </si>
  <si>
    <t>SQC-WAC-BG(C)-HweiWatch3-BLK</t>
  </si>
  <si>
    <t>SQC-WAC-BG(C)-HweiWatch3-BLU</t>
  </si>
  <si>
    <t>SQC-WAC-BG(C)-HweiWatch3-CLR/WHT</t>
  </si>
  <si>
    <t>SQC-WAC-BG(C)-HweiWatch3-RED</t>
  </si>
  <si>
    <t>SQC-WAC-BG(C)-HweiWatch3Pro-BLK</t>
  </si>
  <si>
    <t>SQC-WAC-BG(C)-HweiWatch3Pro-BLU</t>
  </si>
  <si>
    <t>SQC-WAC-BG(C)-HweiWatch3Pro-CLR/WHT</t>
  </si>
  <si>
    <t>SQC-WAC-BG(C)-HweiWatch3Pro-RED</t>
  </si>
  <si>
    <t>SQC-WAC-BG(C)-MiWatchLite-BLK</t>
  </si>
  <si>
    <t>SQC-WAC-BG(C)-MiWatchLite-CLR/WHT</t>
  </si>
  <si>
    <t>SQC-WAC-BG(C)-MiWatchLite-INK/BLU</t>
  </si>
  <si>
    <t>SQC-WAC-BG(C)-MiWatchLite-IVO/WHT</t>
  </si>
  <si>
    <t>SQC-WAC-BG(C)-RealWatch2-BLK</t>
  </si>
  <si>
    <t>SQC-WAC-BG(C)-RealWatch2-CLR/WHT</t>
  </si>
  <si>
    <t>SQC-WAC-BG(C)-RealWatch2-INK/BLU</t>
  </si>
  <si>
    <t>SQC-WAC-BG(C)-RealWatch2-SKR/PNK</t>
  </si>
  <si>
    <t>SQC-WAC-BG(C)-RealWatch2Pro-BLK</t>
  </si>
  <si>
    <t>SQC-WAC-BG(C)-RealWatch2Pro-CLR/WHT</t>
  </si>
  <si>
    <t>SQC-WAC-BG(C)-RealWatch2Pro-INK/BLU</t>
  </si>
  <si>
    <t>SQC-WAC-BG(C)-RealWatch2Pro-SKR/PNK</t>
  </si>
  <si>
    <t>SQC-WAC-BG(C)-RmWatch2Lite-BLK</t>
  </si>
  <si>
    <t>SQC-WAC-BG(C)-RmWatch2Lite-CLR/WHT</t>
  </si>
  <si>
    <t>SQC-WAC-BG(C)-RmWatch2Lite-INK/BLU</t>
  </si>
  <si>
    <t>SQC-WAC-BG(C)-RmWatch2Lite-IVO/WHT</t>
  </si>
  <si>
    <t>SQC-WAC-BG(C)-S.Watch4/40-BLK</t>
  </si>
  <si>
    <t>SQC-WAC-BG(C)-S.Watch4/40-CLR/WHT</t>
  </si>
  <si>
    <t>SQC-WAC-BG(C)-S.Watch4/40-OFF/GRN</t>
  </si>
  <si>
    <t>SQC-WAC-BG(C)-S.Watch4/40-RG</t>
  </si>
  <si>
    <t>SQC-WAC-BG(C)-S.Watch4/40-WHT</t>
  </si>
  <si>
    <t>SQC-WAC-BG(C)-S.Watch4/44-BLK</t>
  </si>
  <si>
    <t>SQC-WAC-BG(C)-S.Watch4/44-CLR/WHT</t>
  </si>
  <si>
    <t>SQC-WAC-BG(C)-S.Watch4/44-OFF/GRN</t>
  </si>
  <si>
    <t>SQC-WAC-BG(C)-S.Watch4/44-RG</t>
  </si>
  <si>
    <t>SQC-WAC-BG(C)-S.Watch4/44-WHT</t>
  </si>
  <si>
    <t>SQC-WAC-BG(C)-iWatch456/40-BLK</t>
  </si>
  <si>
    <t>SQC-WAC-BG(C)-iWatch456/40-BLU</t>
  </si>
  <si>
    <t>SQC-WAC-BG(C)-iWatch456/40-CLR</t>
  </si>
  <si>
    <t>SQC-WAC-BG(C)-iWatch456/40-PNK</t>
  </si>
  <si>
    <t>SQC-WAC-BG(C)-iWatch456/40-WHT</t>
  </si>
  <si>
    <t>SQC-WAC-BG(C)-iWatch456/44-BLK</t>
  </si>
  <si>
    <t>SQC-WAC-BG(C)-iWatch456/44-BLU</t>
  </si>
  <si>
    <t>SQC-WAC-BG(C)-iWatch456/44-CAR</t>
  </si>
  <si>
    <t>SQC-WAC-BG(C)-iWatch456/44-CLR</t>
  </si>
  <si>
    <t>SQC-WAC-BG(C)-iWatch456/44-DAK/GRN</t>
  </si>
  <si>
    <t>SQC-WAC-BG(C)-iWatch456/44-LIG/GRN</t>
  </si>
  <si>
    <t>SQC-WAC-BG(C)-iWatch456/44-PNK</t>
  </si>
  <si>
    <t>SQC-WAC-BG(C)-iWatch456/44-RED</t>
  </si>
  <si>
    <t>SQC-WAC-BG(C)-iWatch456/44-RG</t>
  </si>
  <si>
    <t>SQC-WAC-BG(C)-iWatch456/44-WHT</t>
  </si>
  <si>
    <t>SQC-WAC-BG(C)-iWatch7/41-BLK</t>
  </si>
  <si>
    <t>SQC-WAC-BG(C)-iWatch7/41-CLR/WHT</t>
  </si>
  <si>
    <t>SQC-WAC-BG(C)-iWatch7/41-MID/BLU</t>
  </si>
  <si>
    <t>SQC-WAC-BG(C)-iWatch7/41-OFF/GRN</t>
  </si>
  <si>
    <t>SQC-WAC-BG(C)-iWatch7/41-PNK</t>
  </si>
  <si>
    <t>SQC-WAC-BG(C)-iWatch7/41-RED</t>
  </si>
  <si>
    <t>SQC-WAC-BG(C)-iWatch7/41-RG</t>
  </si>
  <si>
    <t>SQC-WAC-BG(C)-iWatch7/41-WHT</t>
  </si>
  <si>
    <t>SQC-WAC-BG(C)-iWatch7/41-WIN/RED</t>
  </si>
  <si>
    <t>SQC-WAC-BG(C)-iWatch7/45-BLK</t>
  </si>
  <si>
    <t>SQC-WAC-BG(C)-iWatch7/45-CLR/WHT</t>
  </si>
  <si>
    <t>SQC-WAC-BG(C)-iWatch7/45-MID/BLU</t>
  </si>
  <si>
    <t>SQC-WAC-BG(C)-iWatch7/45-OFF/GRN</t>
  </si>
  <si>
    <t>SQC-WAC-BG(C)-iWatch7/45-PNK</t>
  </si>
  <si>
    <t>SQC-WAC-BG(C)-iWatch7/45-RED</t>
  </si>
  <si>
    <t>SQC-WAC-BG(C)-iWatch7/45-RG</t>
  </si>
  <si>
    <t>SQC-WAC-BG(C)-iWatch7/45-WHT</t>
  </si>
  <si>
    <t>SQC-WAC-BG(C)-iWatch7/45-WIN/RED</t>
  </si>
  <si>
    <t>SQC-WAC-BG(C)-iWatchSE/40-BLK</t>
  </si>
  <si>
    <t>SQC-WAC-BG(C)-iWatchSE/40-BLU</t>
  </si>
  <si>
    <t>SQC-WAC-BG(C)-iWatchSE/40-CLR</t>
  </si>
  <si>
    <t>SQC-WAC-BG(C)-iWatchSE/40-PNK</t>
  </si>
  <si>
    <t>SQC-WAC-BG(C)-iWatchSE/40-WHT</t>
  </si>
  <si>
    <t>SQC-WAC-BG(C)-iWatchSE/44-BLK</t>
  </si>
  <si>
    <t>SQC-WAC-BG(C)-iWatchSE/44-BLU</t>
  </si>
  <si>
    <t>SQC-WAC-BG(C)-iWatchSE/44-CAR</t>
  </si>
  <si>
    <t>SQC-WAC-BG(C)-iWatchSE/44-CLR</t>
  </si>
  <si>
    <t>SQC-WAC-BG(C)-iWatchSE/44-DAK/GRN</t>
  </si>
  <si>
    <t>SQC-WAC-BG(C)-iWatchSE/44-LIG/GRN</t>
  </si>
  <si>
    <t>SQC-WAC-BG(C)-iWatchSE/44-PNK</t>
  </si>
  <si>
    <t>SQC-WAC-BG(C)-iWatchSE/44-RED</t>
  </si>
  <si>
    <t>SQC-WAC-BG(C)-iWatchSE/44-RG</t>
  </si>
  <si>
    <t>SQC-WAC-BG(C)-iWatchSE/44-WHT</t>
  </si>
  <si>
    <t>SQC-WAC-BUC(S)-HweiFit-BLK</t>
  </si>
  <si>
    <t>SQC-WAC-BUC(S)-HweiFit-FLE/PNK</t>
  </si>
  <si>
    <t>SQC-WAC-BUC(S)-HweiFit-LIG/PRP</t>
  </si>
  <si>
    <t>SQC-WAC-BUC(S)-HweiFit-MAC/GRN</t>
  </si>
  <si>
    <t>SQC-WAC-BUC(S)-HweiFit-NAV/BLU</t>
  </si>
  <si>
    <t>SQC-WAC-BUC(S)-HweiFit-ORG</t>
  </si>
  <si>
    <t>SQC-WAC-BUC(S)-HweiFit-RED</t>
  </si>
  <si>
    <t>SQC-WAC-BUC(S)-HweiFit-WHT</t>
  </si>
  <si>
    <t>SQC-WAC-BUC(S)-HweiFit-YLW</t>
  </si>
  <si>
    <t>SQC-WAC-MIL(S)-FbitSense-BLK</t>
  </si>
  <si>
    <t>SQC-WAC-MIL(S)-FbitSense-RG</t>
  </si>
  <si>
    <t>SQC-WAC-MIL(S)-FbitSense-SLV</t>
  </si>
  <si>
    <t>SQC-WAC-MIL(S)-FbitVersa3-BLK</t>
  </si>
  <si>
    <t>SQC-WAC-MIL(S)-FbitVersa3-RG</t>
  </si>
  <si>
    <t>SQC-WAC-MIL(S)-FbitVersa3-SLV</t>
  </si>
  <si>
    <t>SQC-WAC-MIL(S)-HweiFit-BLK</t>
  </si>
  <si>
    <t>SQC-WAC-MIL(S)-HweiFit-CHP/GLD</t>
  </si>
  <si>
    <t>SQC-WAC-MIL(S)-HweiFit-DAK/BLU</t>
  </si>
  <si>
    <t>SQC-WAC-MIL(S)-HweiFit-RG</t>
  </si>
  <si>
    <t>SQC-WAC-MIL(S)-HweiFit-ROS/PNK</t>
  </si>
  <si>
    <t>SQC-WAC-MIL(S)-HweiFit-SLV</t>
  </si>
  <si>
    <t>SQC-WAC-MIL(S)-HweiFit-SPA/GRY</t>
  </si>
  <si>
    <t>SQC-WAC-MIL(S)-UniBrand/20-BLK</t>
  </si>
  <si>
    <t>SQC-WAC-MIL(S)-UniBrand/20-GLD</t>
  </si>
  <si>
    <t>SQC-WAC-MIL(S)-UniBrand/20-RG</t>
  </si>
  <si>
    <t>SQC-WAC-MIL(S)-UniBrand/20-SLV</t>
  </si>
  <si>
    <t>SQC-WAC-MIL(S)-UniBrand/22-BLK</t>
  </si>
  <si>
    <t>SQC-WAC-MIL(S)-UniBrand/22-GLD</t>
  </si>
  <si>
    <t>SQC-WAC-MIL(S)-UniBrand/22-RG</t>
  </si>
  <si>
    <t>SQC-WAC-MIL(S)-UniBrand/22-SLV</t>
  </si>
  <si>
    <t>SQC-WAC-NY(S)-UniBrand/20-ARM/GRN</t>
  </si>
  <si>
    <t>SQC-WAC-NY(S)-UniBrand/20-BLG/RED</t>
  </si>
  <si>
    <t>SQC-WAC-NY(S)-UniBrand/20-BLK</t>
  </si>
  <si>
    <t>SQC-WAC-NY(S)-UniBrand/20-BLK/GRY</t>
  </si>
  <si>
    <t>SQC-WAC-NY(S)-UniBrand/20-BLK/RED</t>
  </si>
  <si>
    <t>SQC-WAC-NY(S)-UniBrand/20-BLW/RED</t>
  </si>
  <si>
    <t>SQC-WAC-NY(S)-UniBrand/20-DAK/BLU</t>
  </si>
  <si>
    <t>SQC-WAC-NY(S)-UniBrand/22-ARM/GRN</t>
  </si>
  <si>
    <t>SQC-WAC-NY(S)-UniBrand/22-BLG/RED</t>
  </si>
  <si>
    <t>SQC-WAC-NY(S)-UniBrand/22-BLK</t>
  </si>
  <si>
    <t>SQC-WAC-NY(S)-UniBrand/22-BLK/GRY</t>
  </si>
  <si>
    <t>SQC-WAC-NY(S)-UniBrand/22-BLK/RED</t>
  </si>
  <si>
    <t>SQC-WAC-NY(S)-UniBrand/22-BLW/RED</t>
  </si>
  <si>
    <t>SQC-WAC-NY(S)-UniBrand/22-DAK/BLU</t>
  </si>
  <si>
    <t>SQC-WAC-OFC(S)-UniBrand/20-ARR/BLU</t>
  </si>
  <si>
    <t>SQC-WAC-OFC(S)-UniBrand/20-BLK</t>
  </si>
  <si>
    <t>SQC-WAC-OFC(S)-UniBrand/20-DAK/BLU</t>
  </si>
  <si>
    <t>SQC-WAC-OFC(S)-UniBrand/20-ENE/ORG</t>
  </si>
  <si>
    <t>SQC-WAC-OFC(S)-UniBrand/20-MID/BLU</t>
  </si>
  <si>
    <t>SQC-WAC-OFC(S)-UniBrand/20-RED</t>
  </si>
  <si>
    <t>SQC-WAC-OFC(S)-UniBrand/20-SAN/PNK</t>
  </si>
  <si>
    <t>SQC-WAC-OFC(S)-UniBrand/20-WHT</t>
  </si>
  <si>
    <t>SQC-WAC-OFC(S)-UniBrand/22-ARR/BLU</t>
  </si>
  <si>
    <t>SQC-WAC-OFC(S)-UniBrand/22-BLK</t>
  </si>
  <si>
    <t>SQC-WAC-OFC(S)-UniBrand/22-DAK/BLU</t>
  </si>
  <si>
    <t>SQC-WAC-OFC(S)-UniBrand/22-ENE/ORG</t>
  </si>
  <si>
    <t>SQC-WAC-OFC(S)-UniBrand/22-MID/BLU</t>
  </si>
  <si>
    <t>SQC-WAC-OFC(S)-UniBrand/22-RED</t>
  </si>
  <si>
    <t>SQC-WAC-OFC(S)-UniBrand/22-SAN/PNK</t>
  </si>
  <si>
    <t>SQC-WAC-OFC(S)-UniBrand/22-WHT</t>
  </si>
  <si>
    <t>SQC-WAC-ONE(S)-FbitCharge4-BLK</t>
  </si>
  <si>
    <t>SQC-WAC-ONE(S)-FbitCharge4-CLR/WHT</t>
  </si>
  <si>
    <t>SQC-WAC-ONE(S)-FbitCharge4-LIG/PNK</t>
  </si>
  <si>
    <t>SQC-WAC-ONE(S)-FbitCharge4-LIG/PRP</t>
  </si>
  <si>
    <t>SQC-WAC-ONE(S)-FbitCharge4-NAV/BLU</t>
  </si>
  <si>
    <t>SQC-WAC-ONE(S)-FbitCharge4-ORG</t>
  </si>
  <si>
    <t>SQC-WAC-ONE(S)-FbitCharge4-WHT</t>
  </si>
  <si>
    <t>SQC-WAC-ONE(S)-FbitCharge5-BLK</t>
  </si>
  <si>
    <t>SQC-WAC-ONE(S)-FbitCharge5-CLR/WHT</t>
  </si>
  <si>
    <t>SQC-WAC-ONE(S)-FbitCharge5-LIG/PNK</t>
  </si>
  <si>
    <t>SQC-WAC-ONE(S)-FbitCharge5-LIG/PRP</t>
  </si>
  <si>
    <t>SQC-WAC-ONE(S)-FbitCharge5-NAV/BLU</t>
  </si>
  <si>
    <t>SQC-WAC-ONE(S)-FbitCharge5-ORG</t>
  </si>
  <si>
    <t>SQC-WAC-ONE(S)-FbitCharge5-WHT</t>
  </si>
  <si>
    <t>SQC-WAC-PAI(W)-MiBand5-BLK/RED</t>
  </si>
  <si>
    <t>SQC-WAC-PAI(W)-MiBand5-BLK/YLW</t>
  </si>
  <si>
    <t>SQC-WAC-PAI(W)-MiBand5-GRY/WHT</t>
  </si>
  <si>
    <t>SQC-WAC-PAI(W)-MiBand5-LTP/WHT</t>
  </si>
  <si>
    <t>SQC-WAC-PAI(W)-MiBand5-MNB/WHT</t>
  </si>
  <si>
    <t>SQC-WAC-PAI(W)-MiBand5-ORG/BLK</t>
  </si>
  <si>
    <t>SQC-WAC-PAI(W)-MiBand5-WHT/RED</t>
  </si>
  <si>
    <t>SQC-WAC-PAI(W)-MiBand6-BLK/RED</t>
  </si>
  <si>
    <t>SQC-WAC-PAI(W)-MiBand6-BLK/YLW</t>
  </si>
  <si>
    <t>SQC-WAC-PAI(W)-MiBand6-GRY/WHT</t>
  </si>
  <si>
    <t>SQC-WAC-PAI(W)-MiBand6-LTP/WHT</t>
  </si>
  <si>
    <t>SQC-WAC-PAI(W)-MiBand6-MNB/WHT</t>
  </si>
  <si>
    <t>SQC-WAC-PAI(W)-MiBand6-ORG/BLK</t>
  </si>
  <si>
    <t>SQC-WAC-PAI(W)-MiBand6-WHT/RED</t>
  </si>
  <si>
    <t>SQC-WAC-PLAD(S)-UniBrand/20-AMB/YLW</t>
  </si>
  <si>
    <t>SQC-WAC-PLAD(S)-UniBrand/20-BLK</t>
  </si>
  <si>
    <t>SQC-WAC-PLAD(S)-UniBrand/20-GRY</t>
  </si>
  <si>
    <t>SQC-WAC-PLAD(S)-UniBrand/20-NAV/BLU</t>
  </si>
  <si>
    <t>SQC-WAC-PLAD(S)-UniBrand/20-ROS/PNK</t>
  </si>
  <si>
    <t>SQC-WAC-PLAD(S)-UniBrand/20-WHT</t>
  </si>
  <si>
    <t>SQC-WAC-PLAD(S)-UniBrand/20-WIN/RED</t>
  </si>
  <si>
    <t>SQC-WAC-PLAD(S)-UniBrand/22-AMB/YLW</t>
  </si>
  <si>
    <t>SQC-WAC-PLAD(S)-UniBrand/22-BLK</t>
  </si>
  <si>
    <t>SQC-WAC-PLAD(S)-UniBrand/22-GRY</t>
  </si>
  <si>
    <t>SQC-WAC-PLAD(S)-UniBrand/22-NAV/BLU</t>
  </si>
  <si>
    <t>SQC-WAC-PLAD(S)-UniBrand/22-ROS/PNK</t>
  </si>
  <si>
    <t>SQC-WAC-PLAD(S)-UniBrand/22-WHT</t>
  </si>
  <si>
    <t>SQC-WAC-PLAD(S)-UniBrand/22-WIN/RED</t>
  </si>
  <si>
    <t>SQC-WAC-PT(C)-FbitSense-PLA/BLK</t>
  </si>
  <si>
    <t>SQC-WAC-PT(C)-FbitSense-PLA/PNK</t>
  </si>
  <si>
    <t>SQC-WAC-PT(C)-FbitSense-PLA/RG</t>
  </si>
  <si>
    <t>SQC-WAC-PT(C)-FbitVersa3-PLA/BLK</t>
  </si>
  <si>
    <t>SQC-WAC-PT(C)-FbitVersa3-PLA/PNK</t>
  </si>
  <si>
    <t>SQC-WAC-PT(C)-FbitVersa3-PLA/RG</t>
  </si>
  <si>
    <t>SQC-WAC-PT(C)-HnorBand6-CLR/WHT</t>
  </si>
  <si>
    <t>SQC-WAC-PT(C)-HnorBand6-PLA/BLK</t>
  </si>
  <si>
    <t>SQC-WAC-PT(C)-HnorBand6-PLA/GLD</t>
  </si>
  <si>
    <t>SQC-WAC-PT(C)-HnorBand6-PLA/PNK</t>
  </si>
  <si>
    <t>SQC-WAC-PT(C)-HnorBand6-PLA/RG</t>
  </si>
  <si>
    <t>SQC-WAC-PT(C)-HweiBand6-CLR/WHT</t>
  </si>
  <si>
    <t>SQC-WAC-PT(C)-HweiBand6-PLA/BLK</t>
  </si>
  <si>
    <t>SQC-WAC-PT(C)-HweiBand6-PLA/GLD</t>
  </si>
  <si>
    <t>SQC-WAC-PT(C)-HweiBand6-PLA/PNK</t>
  </si>
  <si>
    <t>SQC-WAC-PT(C)-HweiBand6-PLA/RG</t>
  </si>
  <si>
    <t>SQC-WAC-RB(W)-MiBand5-BLK</t>
  </si>
  <si>
    <t>SQC-WAC-RB(W)-MiBand5-CLR/BLU</t>
  </si>
  <si>
    <t>SQC-WAC-RB(W)-MiBand5-CLR/RED</t>
  </si>
  <si>
    <t>SQC-WAC-RB(W)-MiBand5-CLR/WHT</t>
  </si>
  <si>
    <t>SQC-WAC-RB(W)-MiBand5-LAV/PRP</t>
  </si>
  <si>
    <t>SQC-WAC-RB(W)-MiBand5-MID/BLU</t>
  </si>
  <si>
    <t>SQC-WAC-RB(W)-MiBand5-MID/GRN</t>
  </si>
  <si>
    <t>SQC-WAC-RB(W)-MiBand5-SEA/BLU</t>
  </si>
  <si>
    <t>SQC-WAC-RB(W)-MiBand5-TEM/ORG</t>
  </si>
  <si>
    <t>SQC-WAC-RB(W)-MiBand5-YLW</t>
  </si>
  <si>
    <t>SQC-WAC-RB(W)-MiBand6-BLK</t>
  </si>
  <si>
    <t>SQC-WAC-RB(W)-MiBand6-CLR/BLU</t>
  </si>
  <si>
    <t>SQC-WAC-RB(W)-MiBand6-CLR/RED</t>
  </si>
  <si>
    <t>SQC-WAC-RB(W)-MiBand6-CLR/WHT</t>
  </si>
  <si>
    <t>SQC-WAC-RB(W)-MiBand6-LAV/PRP</t>
  </si>
  <si>
    <t>SQC-WAC-RB(W)-MiBand6-MID/BLU</t>
  </si>
  <si>
    <t>SQC-WAC-RB(W)-MiBand6-MID/GRN</t>
  </si>
  <si>
    <t>SQC-WAC-RB(W)-MiBand6-SEA/BLU</t>
  </si>
  <si>
    <t>SQC-WAC-RB(W)-MiBand6-TEM/ORG</t>
  </si>
  <si>
    <t>SQC-WAC-RB(W)-MiBand6-YLW</t>
  </si>
  <si>
    <t>SQC-WAC-SAN(S)-FbitSense-BLK</t>
  </si>
  <si>
    <t>SQC-WAC-SAN(S)-FbitSense-RG</t>
  </si>
  <si>
    <t>SQC-WAC-SAN(S)-FbitSense-SLV</t>
  </si>
  <si>
    <t>SQC-WAC-SAN(S)-FbitVersa3-BLK</t>
  </si>
  <si>
    <t>SQC-WAC-SAN(S)-FbitVersa3-RG</t>
  </si>
  <si>
    <t>SQC-WAC-SAN(S)-FbitVersa3-SLV</t>
  </si>
  <si>
    <t>SQC-WAC-SAN(S)-UniBrand/20-BLK</t>
  </si>
  <si>
    <t>SQC-WAC-SAN(S)-UniBrand/20-GLD</t>
  </si>
  <si>
    <t>SQC-WAC-SAN(S)-UniBrand/20-RG</t>
  </si>
  <si>
    <t>SQC-WAC-SAN(S)-UniBrand/20-SLV</t>
  </si>
  <si>
    <t>SQC-WAC-SAN(S)-UniBrand/22-BLK</t>
  </si>
  <si>
    <t>SQC-WAC-SAN(S)-UniBrand/22-GLD</t>
  </si>
  <si>
    <t>SQC-WAC-SAN(S)-UniBrand/22-RG</t>
  </si>
  <si>
    <t>SQC-WAC-SAN(S)-UniBrand/22-SLV</t>
  </si>
  <si>
    <t>SQC-WAC-TPU(S)-HnorBand6-ARM/GRN</t>
  </si>
  <si>
    <t>SQC-WAC-TPU(S)-HnorBand6-BLK</t>
  </si>
  <si>
    <t>SQC-WAC-TPU(S)-HnorBand6-LIG/PNK</t>
  </si>
  <si>
    <t>SQC-WAC-TPU(S)-HnorBand6-LIL/PRP</t>
  </si>
  <si>
    <t>SQC-WAC-TPU(S)-HnorBand6-MID/BLU</t>
  </si>
  <si>
    <t>SQC-WAC-TPU(S)-HnorBand6-ORG</t>
  </si>
  <si>
    <t>SQC-WAC-TPU(S)-HnorBand6-RED</t>
  </si>
  <si>
    <t>SQC-WAC-TPU(S)-HnorBand6-WHT</t>
  </si>
  <si>
    <t>SQC-WAC-TPU(S)-HweiBand6-ARM/GRN</t>
  </si>
  <si>
    <t>SQC-WAC-TPU(S)-HweiBand6-BLK</t>
  </si>
  <si>
    <t>SQC-WAC-TPU(S)-HweiBand6-LIG/PNK</t>
  </si>
  <si>
    <t>SQC-WAC-TPU(S)-HweiBand6-LIL/PRP</t>
  </si>
  <si>
    <t>SQC-WAC-TPU(S)-HweiBand6-MID/BLU</t>
  </si>
  <si>
    <t>SQC-WAC-TPU(S)-HweiBand6-ORG</t>
  </si>
  <si>
    <t>SQC-WAC-TPU(S)-HweiBand6-RED</t>
  </si>
  <si>
    <t>SQC-WAC-TPU(S)-HweiBand6-WHT</t>
  </si>
  <si>
    <t>SQC-WAC-YIZU(S)-HweiFit-BLK</t>
  </si>
  <si>
    <t>SQC-WAC-YIZU(S)-HweiFit-RG</t>
  </si>
  <si>
    <t>SQC-WAC-YIZU(S)-HweiFit-SLV</t>
  </si>
  <si>
    <t>SYB-ACE-COVER-Nib-MS</t>
  </si>
  <si>
    <t>SYB-ACE-COVER-Nib-NS</t>
  </si>
  <si>
    <t>SYB-ACE-COVER-Nib-WS</t>
  </si>
  <si>
    <t>SYB-ACE-EDIT-Pen2-LMI/GRN</t>
  </si>
  <si>
    <t>SYB-ACE-EDIT-Pen2-WHT</t>
  </si>
  <si>
    <t>SYB-ACE-HF1-Alien-GRN</t>
  </si>
  <si>
    <t>SYB-ACE-HF1-Alien-PNK</t>
  </si>
  <si>
    <t>SYB-ACE-HF2-Cat-GRY</t>
  </si>
  <si>
    <t>SYB-ACE-HF2-Cat-PNK</t>
  </si>
  <si>
    <t>SYB-ACE-HF3-Air4/10.9-SPG</t>
  </si>
  <si>
    <t>SYB-ACE-HF3-Pro12.9(18)-SPG</t>
  </si>
  <si>
    <t>SYB-ACE-HF4-Stand-SLV</t>
  </si>
  <si>
    <t>SYB-ACE-HF5-Stand-SPG</t>
  </si>
  <si>
    <t>SYB-ACE-HF6-Stand-SPG</t>
  </si>
  <si>
    <t>SYB-ACE-SLEE-Pen2-BLK/MNB</t>
  </si>
  <si>
    <t>SYB-ACE-SLEE-Pen2-BLK/ORG</t>
  </si>
  <si>
    <t>SYB-ACE-SLEE-Pen2-BLK/PNK</t>
  </si>
  <si>
    <t>SYB-ACE-SLEE-Pen2-BLK/WHT</t>
  </si>
  <si>
    <t>SYB-ACE-SLEE-Pen2-LIB/MNB</t>
  </si>
  <si>
    <t>SYB-ACE-SLEE-Pen2-LIB/PNK</t>
  </si>
  <si>
    <t>SYB-CBL-CIRC-Tie-BLK</t>
  </si>
  <si>
    <t>SYB-CBL-CIRC-Tie-GRY</t>
  </si>
  <si>
    <t>SYB-CBL-CIRC-Tie-RED</t>
  </si>
  <si>
    <t>SYB-IAC-CLF-Pen2-GRA/BLU</t>
  </si>
  <si>
    <t>SYB-IAC-CLF-Pen2-GRA/GRN</t>
  </si>
  <si>
    <t>SYB-IAC-CLF-Pen2-GRA/GRY</t>
  </si>
  <si>
    <t>SYB-IAC-CLF-Pen2-GRA/ORG</t>
  </si>
  <si>
    <t>SYB-IAC-CLF-Pen2-GRA/PNK</t>
  </si>
  <si>
    <t>SYB-IAC-CLF-Pen2-GRA/PRP</t>
  </si>
  <si>
    <t>SYB-IAC-DETAC-Pen2-G/BLU</t>
  </si>
  <si>
    <t>SYB-IAC-DETAC-Pen2-G/GREY</t>
  </si>
  <si>
    <t>SYB-IAC-DETAC-Pen2-G/GRN</t>
  </si>
  <si>
    <t>SYB-IAC-DETAC-Pen2-G/ORG</t>
  </si>
  <si>
    <t>SYB-IAC-DETAC-Pen2-G/PNK</t>
  </si>
  <si>
    <t>SYB-IAC-DETAC-Pen2-G/PRP</t>
  </si>
  <si>
    <t>SYB-IAC-GONE-Grip-BLK</t>
  </si>
  <si>
    <t>SYB-IAC-GONE-Grip-GRA/GRN</t>
  </si>
  <si>
    <t>SYB-IAC-GONE-Grip-GRY</t>
  </si>
  <si>
    <t>SYB-IAC-GONE-Grip-LAV/PRP</t>
  </si>
  <si>
    <t>SYB-IAC-GONE-Grip-LIG/BLU</t>
  </si>
  <si>
    <t>SYB-IAC-GONE-Grip-MID/BLU</t>
  </si>
  <si>
    <t>SYB-IAC-GONE-Grip-ORG</t>
  </si>
  <si>
    <t>SYB-IAC-GONE-Grip-PNK</t>
  </si>
  <si>
    <t>SYB-IAC-GONE-Grip-TIF/BLU</t>
  </si>
  <si>
    <t>SYB-IAC-GONE-Grip-WHT</t>
  </si>
  <si>
    <t>SYB-IAC-PMM-Tip-BLK</t>
  </si>
  <si>
    <t>SYB-IAC-PMM-Tip-CLR</t>
  </si>
  <si>
    <t>SYB-IAC-PMM-Tip-WHT</t>
  </si>
  <si>
    <t>SYB-IAC-TREP-Grip-LIB/MBB</t>
  </si>
  <si>
    <t>SYB-IAC-TREP-Grip-WHT/GGT</t>
  </si>
  <si>
    <t>SYB-IAC-TREP-Grip-WHT/GRB</t>
  </si>
  <si>
    <t>SYB-IAC-TREP-Grip-WHT/ORB</t>
  </si>
  <si>
    <t>SYB-IAC-TREP-Grip-WHT/PPP</t>
  </si>
  <si>
    <t>SYB-LANY-PLONE-BLU</t>
  </si>
  <si>
    <t>SYB-LANY-PLONE-GRN</t>
  </si>
  <si>
    <t>SYB-LANY-PLONE-PNK</t>
  </si>
  <si>
    <t>SYB-LANY-PLONE-PRP</t>
  </si>
  <si>
    <t>SYB-LANY-PLONE-YLW</t>
  </si>
  <si>
    <t>SYB-SAC-STORE-Case-BLU</t>
  </si>
  <si>
    <t>SYB-SAC-STORE-Case-GRY</t>
  </si>
  <si>
    <t>SYB-SAC-STORE-Case-WHT</t>
  </si>
  <si>
    <t>SZDC-STP-ALP-20mm-BLK</t>
  </si>
  <si>
    <t>SZDC-STP-ALP-20mm-GRN</t>
  </si>
  <si>
    <t>SZDC-STP-ALP-20mm-ORG</t>
  </si>
  <si>
    <t>SZDC-STP-ALP-20mm-STA</t>
  </si>
  <si>
    <t>SZDC-STP-ALP-MiBand7-APR</t>
  </si>
  <si>
    <t>SZDC-STP-ALP-MiBand7-BLK</t>
  </si>
  <si>
    <t>SZDC-STP-ALP-MiBand7-MNG</t>
  </si>
  <si>
    <t>SZDC-STP-ALP-MiBand7-ORG</t>
  </si>
  <si>
    <t>SZDC-STP-ALP-MiBand7-RBW</t>
  </si>
  <si>
    <t>SZDC-STP-ALP-MiBand7-STA</t>
  </si>
  <si>
    <t>SZDC-STP-ALP-MiBand8-APR</t>
  </si>
  <si>
    <t>SZDC-STP-ALP-MiBand8-BLK</t>
  </si>
  <si>
    <t>SZDC-STP-ALP-MiBand8-MNG</t>
  </si>
  <si>
    <t>SZDC-STP-ALP-MiBand8-ORG</t>
  </si>
  <si>
    <t>SZDC-STP-ALP-MiBand8-RBW</t>
  </si>
  <si>
    <t>SZDC-STP-ALP-MiBand8-STA</t>
  </si>
  <si>
    <t>SZDC-STP-BRA-MiBand8-APR</t>
  </si>
  <si>
    <t>SZDC-STP-BRA-MiBand8-BLK</t>
  </si>
  <si>
    <t>SZDC-STP-BRA-MiBand8-CHAR</t>
  </si>
  <si>
    <t>SZDC-STP-BRA-MiBand8-PNK</t>
  </si>
  <si>
    <t>SZDC-STP-BRA-MiBand8-RBW</t>
  </si>
  <si>
    <t>SZDC-STP-MG-20mm(HO)-BLK</t>
  </si>
  <si>
    <t>SZDC-STP-MG-20mm(HO)-FEA/BLU</t>
  </si>
  <si>
    <t>SZDC-STP-MG-20mm(HO)-MIL/WHT</t>
  </si>
  <si>
    <t>SZDC-STP-MG-20mm(HO)-OLV</t>
  </si>
  <si>
    <t>SZDC-STP-MG-20mm(HO)-SEA</t>
  </si>
  <si>
    <t>SZDC-STP-MG-20mm(HW)-BLK</t>
  </si>
  <si>
    <t>SZDC-STP-MG-20mm(HW)-FEA/BLU</t>
  </si>
  <si>
    <t>SZDC-STP-MG-20mm(HW)-MIL/WHT</t>
  </si>
  <si>
    <t>SZDC-STP-MG-20mm(HW)-OLV</t>
  </si>
  <si>
    <t>SZDC-STP-MG-20mm(HW)-SEA</t>
  </si>
  <si>
    <t>SZDC-STP-MG-20mm(SM)-BLK</t>
  </si>
  <si>
    <t>SZDC-STP-MG-20mm(SM)-FEA/BLU</t>
  </si>
  <si>
    <t>SZDC-STP-MG-20mm(SM)-MIL/WHT</t>
  </si>
  <si>
    <t>SZDC-STP-MG-20mm(SM)-OLV</t>
  </si>
  <si>
    <t>SZDC-STP-MG-20mm(SM)-SEA</t>
  </si>
  <si>
    <t>SZDC-STP-MG-20mm(XM)-BLK</t>
  </si>
  <si>
    <t>SZDC-STP-MG-20mm(XM)-FEA/BLU</t>
  </si>
  <si>
    <t>SZDC-STP-MG-20mm(XM)-MIL/WHT</t>
  </si>
  <si>
    <t>SZDC-STP-MG-20mm(XM)-OLV</t>
  </si>
  <si>
    <t>SZDC-STP-MG-20mm(XM)-SEA</t>
  </si>
  <si>
    <t>SZDC-STP-MG-20mm-BLK</t>
  </si>
  <si>
    <t>SZDC-STP-MG-20mm-FEA/BLU</t>
  </si>
  <si>
    <t>SZDC-STP-MG-20mm-MIL/WHT</t>
  </si>
  <si>
    <t>SZDC-STP-MG-20mm-OLV</t>
  </si>
  <si>
    <t>SZDC-STP-MG-20mm-SEA</t>
  </si>
  <si>
    <t>SZDC-STP-MIL-MiBand8-BLK</t>
  </si>
  <si>
    <t>SZDC-STP-MIL-MiBand8-RG</t>
  </si>
  <si>
    <t>SZDC-STP-MIL-MiBand8-SLV</t>
  </si>
  <si>
    <t>SZDC-STP-SIL-MiBand8-BLK</t>
  </si>
  <si>
    <t>SZDC-STP-SIL-MiBand8-BLU</t>
  </si>
  <si>
    <t>SZDC-STP-SIL-MiBand8-PNK</t>
  </si>
  <si>
    <t>SZDC-STP-SIL-MiBand8-WHT</t>
  </si>
  <si>
    <t>SZDC-WAC-HM701-MiBand7-BLK</t>
  </si>
  <si>
    <t>SZDC-WAC-HM701-MiBand7-SLV</t>
  </si>
  <si>
    <t>SZDC-WAC-KNIT-MiBand4/5/6-BLK</t>
  </si>
  <si>
    <t>SZDC-WAC-KNIT-MiBand4/5/6-BLK/RED</t>
  </si>
  <si>
    <t>SZDC-WAC-KNIT-MiBand4/5/6-BLK/WHT</t>
  </si>
  <si>
    <t>SZDC-WAC-KNIT-MiBand4/5/6-BLU/WHT</t>
  </si>
  <si>
    <t>SZDC-WAC-KNIT-MiBand4/5/6-BRE</t>
  </si>
  <si>
    <t>SZDC-WAC-KNIT-MiBand4/5/6-CAC</t>
  </si>
  <si>
    <t>SZDC-WAC-KNIT-MiBand4/5/6-CLD/BLU</t>
  </si>
  <si>
    <t>SZDC-WAC-KNIT-MiBand4/5/6-DAR/GRN</t>
  </si>
  <si>
    <t>SZDC-WAC-KNIT-MiBand4/5/6-FRE/PNK</t>
  </si>
  <si>
    <t>SZDC-WAC-KNIT-MiBand4/5/6-PNK/WHT</t>
  </si>
  <si>
    <t>SZDC-WAC-KNIT-MiBand4/5/6-RBW</t>
  </si>
  <si>
    <t>SZDC-WAC-KNIT-MiBand4/5/6-RED</t>
  </si>
  <si>
    <t>SZDC-WAC-KNIT-MiBand4/5/6-RED/BLU</t>
  </si>
  <si>
    <t>SZDC-WAC-KNIT-MiBand4/5/6-RED/WHT</t>
  </si>
  <si>
    <t>SZDC-WAC-KNIT-MiBand7-BLK</t>
  </si>
  <si>
    <t>SZDC-WAC-KNIT-MiBand7-BLK/RED</t>
  </si>
  <si>
    <t>SZDC-WAC-KNIT-MiBand7-BLK/WHT</t>
  </si>
  <si>
    <t>SZDC-WAC-KNIT-MiBand7-BLU/WHT</t>
  </si>
  <si>
    <t>SZDC-WAC-KNIT-MiBand7-BRE</t>
  </si>
  <si>
    <t>SZDC-WAC-KNIT-MiBand7-CAC</t>
  </si>
  <si>
    <t>SZDC-WAC-KNIT-MiBand7-CLD/BLU</t>
  </si>
  <si>
    <t>SZDC-WAC-KNIT-MiBand7-DAR/GRN</t>
  </si>
  <si>
    <t>SZDC-WAC-KNIT-MiBand7-FRE/PNK</t>
  </si>
  <si>
    <t>SZDC-WAC-KNIT-MiBand7-PNK/WHT</t>
  </si>
  <si>
    <t>SZDC-WAC-KNIT-MiBand7-RBW</t>
  </si>
  <si>
    <t>SZDC-WAC-KNIT-MiBand7-RED</t>
  </si>
  <si>
    <t>SZDC-WAC-KNIT-MiBand7-RED/BLU</t>
  </si>
  <si>
    <t>SZDC-WAC-KNIT-MiBand7-RED/WHT</t>
  </si>
  <si>
    <t>SZDC-WAC-MNM-MiBand7-BLK</t>
  </si>
  <si>
    <t>SZDC-WAC-MNM-MiBand7-RG</t>
  </si>
  <si>
    <t>SZDC-WAC-MNM-MiBand7-SLV</t>
  </si>
  <si>
    <t>TYJ-RING-CART-BBRIQ</t>
  </si>
  <si>
    <t>TYJ-RING-CART-DOG</t>
  </si>
  <si>
    <t>TYJ-RING-CART-DUCK</t>
  </si>
  <si>
    <t>TYJ-RING-CART-FLY/BLU</t>
  </si>
  <si>
    <t>TYJ-RING-CART-FLY/BRW</t>
  </si>
  <si>
    <t>TYJ-RING-CART-RABB</t>
  </si>
  <si>
    <t>TYJ-RING-CART2-DONUT/BRW</t>
  </si>
  <si>
    <t>TYJ-RING-CART2-DONUT/PNK</t>
  </si>
  <si>
    <t>TYJ-RING-CART2-DONUT/WHT</t>
  </si>
  <si>
    <t>TYJ-RING-CART2-LOVE/GRN</t>
  </si>
  <si>
    <t>TYJ-RING-CART2-LOVE/PNK</t>
  </si>
  <si>
    <t>TYJ-RING-CART2-LOVE/PRP</t>
  </si>
  <si>
    <t>TYJ-RING-FLWR-BLK</t>
  </si>
  <si>
    <t>TYJ-RING-FLWR-BLU</t>
  </si>
  <si>
    <t>TYJ-RING-FLWR-BLU/GRN</t>
  </si>
  <si>
    <t>TYJ-RING-FLWR-BLU/PNK</t>
  </si>
  <si>
    <t>TYJ-RING-FLWR-BLU/PRP</t>
  </si>
  <si>
    <t>TYJ-RING-FLWR-BRW/PNK</t>
  </si>
  <si>
    <t>TYJ-RING-FLWR-DRK/PRP</t>
  </si>
  <si>
    <t>TYJ-RING-FLWR-GRN</t>
  </si>
  <si>
    <t>TYJ-RING-FLWR-INK/GRN</t>
  </si>
  <si>
    <t>TYJ-RING-FLWR-ORG/BLU</t>
  </si>
  <si>
    <t>TYJ-RING-FLWR-PNK</t>
  </si>
  <si>
    <t>TYJ-RING-FLWR-PRP</t>
  </si>
  <si>
    <t>TYJ-RING-FLWR-PRP/WHT</t>
  </si>
  <si>
    <t>TYJ-RING-FLWR-RED</t>
  </si>
  <si>
    <t>TYJ-RING-FLWR-ROSE</t>
  </si>
  <si>
    <t>TYJ-RING-FLWR-ROSE/PRP</t>
  </si>
  <si>
    <t>TYJ-RING-FLWR-YLW</t>
  </si>
  <si>
    <t>TYJ-RING-FLWR-YLW/BLU</t>
  </si>
  <si>
    <t>UAG-AAC-DOT-APP-AUB</t>
  </si>
  <si>
    <t>UAG-AAC-V2-APP-OLV</t>
  </si>
  <si>
    <t>UAG-AAC-V2-APP-ORG</t>
  </si>
  <si>
    <t>UAG-ACE-SCOUT(A)-AirTag-BLK</t>
  </si>
  <si>
    <t>UAG-ACE-SCOUT(A)-AirTag-MAL</t>
  </si>
  <si>
    <t>UAG-ACE-SCOUT(A)-AirTag-OLV</t>
  </si>
  <si>
    <t>UAG-ACE-SCOUT(A)-AirTag-ORG</t>
  </si>
  <si>
    <t>UAG-IC-LUCE-Air4/10.9-AUB/ROS</t>
  </si>
  <si>
    <t>UAG-IC-LUCE-Air4/10.9-BLK</t>
  </si>
  <si>
    <t>UAG-IC-LUCE-Air4/10.9-BLK/ICE</t>
  </si>
  <si>
    <t>UAG-IC-LUCE-Air4/10.9-CER/BLU</t>
  </si>
  <si>
    <t>UAG-IC-LUCE-Air4/10.9-CLA/RED</t>
  </si>
  <si>
    <t>UAG-IC-LUCE-Air4/10.9-SOF/BLU</t>
  </si>
  <si>
    <t>UAG-IC-LUCE-Air5/10.9-AUB/ROS</t>
  </si>
  <si>
    <t>UAG-IC-LUCE-Air5/10.9-BLK</t>
  </si>
  <si>
    <t>UAG-IC-LUCE-Air5/10.9-BLK/ICE</t>
  </si>
  <si>
    <t>UAG-IC-LUCE-Air5/10.9-CER/BLU</t>
  </si>
  <si>
    <t>UAG-IC-LUCE-Air5/10.9-CLA/RED</t>
  </si>
  <si>
    <t>UAG-IC-LUCE-Air5/10.9-SOF/BLU</t>
  </si>
  <si>
    <t>UAG-IC-LUCE-Mini6-BLK</t>
  </si>
  <si>
    <t>UAG-IC-LUCE-Mini6-CER/BLU</t>
  </si>
  <si>
    <t>UAG-IC-LUCE-Pro11(18)-AUB/ROS</t>
  </si>
  <si>
    <t>UAG-IC-LUCE-Pro11(18)-BLK</t>
  </si>
  <si>
    <t>UAG-IC-LUCE-Pro11(18)-BLK/ICE</t>
  </si>
  <si>
    <t>UAG-IC-LUCE-Pro11(18)-CER/BLU</t>
  </si>
  <si>
    <t>UAG-IC-LUCE-Pro11(18)-CLA/RED</t>
  </si>
  <si>
    <t>UAG-IC-LUCE-Pro11(18)-SOF/BLU</t>
  </si>
  <si>
    <t>UAG-IC-LUCE-Pro11(20)-AUB/ROS</t>
  </si>
  <si>
    <t>UAG-IC-LUCE-Pro11(20)-BLK</t>
  </si>
  <si>
    <t>UAG-IC-LUCE-Pro11(20)-BLK/ICE</t>
  </si>
  <si>
    <t>UAG-IC-LUCE-Pro11(20)-CER/BLU</t>
  </si>
  <si>
    <t>UAG-IC-LUCE-Pro11(20)-CLA/RED</t>
  </si>
  <si>
    <t>UAG-IC-LUCE-Pro11(20)-SOF/BLU</t>
  </si>
  <si>
    <t>UAG-IC-LUCE-Pro11(21)-AUB/ROS</t>
  </si>
  <si>
    <t>UAG-IC-LUCE-Pro11(21)-BLK</t>
  </si>
  <si>
    <t>UAG-IC-LUCE-Pro11(21)-BLK/ICE</t>
  </si>
  <si>
    <t>UAG-IC-LUCE-Pro11(21)-CER/BLU</t>
  </si>
  <si>
    <t>UAG-IC-LUCE-Pro11(21)-CLA/RED</t>
  </si>
  <si>
    <t>UAG-IC-LUCE-Pro11(21)-SOF/BLU</t>
  </si>
  <si>
    <t>UAG-IC-LUCE-Pro12.9(20)-BLK/ICE</t>
  </si>
  <si>
    <t>UAG-IC-LUCE-Pro12.9(21)-BLK/ICE</t>
  </si>
  <si>
    <t>UAG-IC-LUCE-iPad10/10.9-BLK</t>
  </si>
  <si>
    <t>UAG-IC-LUCE-iPad7/10.2-AUB/ROS</t>
  </si>
  <si>
    <t>UAG-IC-LUCE-iPad7/10.2-BLK/ICE</t>
  </si>
  <si>
    <t>UAG-IC-LUCE-iPad7/10.2-SOF/BLU</t>
  </si>
  <si>
    <t>UAG-IC-LUCE-iPad8/10.2-AUB/ROS</t>
  </si>
  <si>
    <t>UAG-IC-LUCE-iPad8/10.2-BLK/ICE</t>
  </si>
  <si>
    <t>UAG-IC-LUCE-iPad8/10.2-SOF/BLU</t>
  </si>
  <si>
    <t>UAG-IC-LUCE-iPad9/10.2-AUB/ROS</t>
  </si>
  <si>
    <t>UAG-IC-LUCE-iPad9/10.2-BLK/ICE</t>
  </si>
  <si>
    <t>UAG-IC-LUCE-iPad9/10.2-SOF/BLU</t>
  </si>
  <si>
    <t>UAG-IC-MESE-Air4/10-9-BLK</t>
  </si>
  <si>
    <t>UAG-IC-MESE-Air4/10-9-MAL</t>
  </si>
  <si>
    <t>UAG-IC-MESE-Air4/10-9-OLV</t>
  </si>
  <si>
    <t>UAG-IC-MESE-Air5/10-9-BLK</t>
  </si>
  <si>
    <t>UAG-IC-MESE-Air5/10-9-MAL</t>
  </si>
  <si>
    <t>UAG-IC-MESE-Air5/10-9-OLV</t>
  </si>
  <si>
    <t>UAG-IC-MESE-Pro11(18)-BLK</t>
  </si>
  <si>
    <t>UAG-IC-MESE-Pro11(18)-MAL</t>
  </si>
  <si>
    <t>UAG-IC-MESE-Pro11(18)-OLV</t>
  </si>
  <si>
    <t>UAG-IC-MESE-Pro11(20)-BLK</t>
  </si>
  <si>
    <t>UAG-IC-MESE-Pro11(20)-MAL</t>
  </si>
  <si>
    <t>UAG-IC-MESE-Pro11(20)-OLV</t>
  </si>
  <si>
    <t>UAG-IC-MESE-Pro11(21)-BLK</t>
  </si>
  <si>
    <t>UAG-IC-MESE-Pro11(21)-MAL</t>
  </si>
  <si>
    <t>UAG-IC-MESE-Pro11(21)-OLV</t>
  </si>
  <si>
    <t>UAG-IC-MESE-iPad10/10.9-OLV</t>
  </si>
  <si>
    <t>UAG-IC-METRO-Air4/10.9-BLK</t>
  </si>
  <si>
    <t>UAG-IC-METRO-Air4/10.9-CBT</t>
  </si>
  <si>
    <t>UAG-IC-METRO-Air4/10.9-MMA</t>
  </si>
  <si>
    <t>UAG-IC-METRO-Air5/10.9-BLK</t>
  </si>
  <si>
    <t>UAG-IC-METRO-Air5/10.9-CBT</t>
  </si>
  <si>
    <t>UAG-IC-METRO-Air5/10.9-MMA</t>
  </si>
  <si>
    <t>UAG-IC-METRO-Mini6-BLK</t>
  </si>
  <si>
    <t>UAG-IC-METRO-Mini6-MAL</t>
  </si>
  <si>
    <t>UAG-IC-METRO-Pro11(18)-BLK</t>
  </si>
  <si>
    <t>UAG-IC-METRO-Pro11(18)-CBT</t>
  </si>
  <si>
    <t>UAG-IC-METRO-Pro11(18)-MMA</t>
  </si>
  <si>
    <t>UAG-IC-METRO-Pro11(20)-BLK</t>
  </si>
  <si>
    <t>UAG-IC-METRO-Pro11(20)-CBT</t>
  </si>
  <si>
    <t>UAG-IC-METRO-Pro11(20)-MMA</t>
  </si>
  <si>
    <t>UAG-IC-METRO-Pro11(21)-BLK</t>
  </si>
  <si>
    <t>UAG-IC-METRO-Pro11(21)-CBT</t>
  </si>
  <si>
    <t>UAG-IC-METRO-Pro11(21)-MMA</t>
  </si>
  <si>
    <t>UAG-IC-METRO-Pro12.9(20)-BLK</t>
  </si>
  <si>
    <t>UAG-IC-METRO-Pro12.9(20)-CBT</t>
  </si>
  <si>
    <t>UAG-IC-METRO-Pro12.9(20)-MMA</t>
  </si>
  <si>
    <t>UAG-IC-METRO-Pro12.9(21)-BLK</t>
  </si>
  <si>
    <t>UAG-IC-METRO-Pro12.9(21)-CBT</t>
  </si>
  <si>
    <t>UAG-IC-METRO-Pro12.9(21)-MMA</t>
  </si>
  <si>
    <t>UAG-IC-METRO-iPad10/10.9-BLK</t>
  </si>
  <si>
    <t>UAG-IC-METRO-iPad7/10.2-BLK</t>
  </si>
  <si>
    <t>UAG-IC-METRO-iPad7/10.2-MMA</t>
  </si>
  <si>
    <t>UAG-IC-METRO-iPad8/10.2-BLK</t>
  </si>
  <si>
    <t>UAG-IC-METRO-iPad8/10.2-MMA</t>
  </si>
  <si>
    <t>UAG-IC-METRO-iPad9/10.2-BLK</t>
  </si>
  <si>
    <t>UAG-IC-METRO-iPad9/10.2-MMA</t>
  </si>
  <si>
    <t>UAG-IC-SCOUT-iPad7/10.2-BLK</t>
  </si>
  <si>
    <t>UAG-IC-SCOUT-iPad8/10.2-BLK</t>
  </si>
  <si>
    <t>UAG-IC-SCOUT-iPad9/10.2-BLK</t>
  </si>
  <si>
    <t>UAG-PC-AURA-i12-ASH</t>
  </si>
  <si>
    <t>UAG-PC-AURA-i12Pro-ASH</t>
  </si>
  <si>
    <t>UAG-PC-CI(MS)-i13ProMax-BLK</t>
  </si>
  <si>
    <t>UAG-PC-CIVIL-S20P-BLK</t>
  </si>
  <si>
    <t>UAG-PC-CIVIL-i11Pro-BLK</t>
  </si>
  <si>
    <t>UAG-PC-CIVIL-i11Pro-OLD</t>
  </si>
  <si>
    <t>UAG-PC-CIVIL-i13-BLK</t>
  </si>
  <si>
    <t>UAG-PC-CIVIL-i13-FRI</t>
  </si>
  <si>
    <t>UAG-PC-CIVIL-i13Pro-BLK</t>
  </si>
  <si>
    <t>UAG-PC-CIVIL-i13Pro-FRI</t>
  </si>
  <si>
    <t>UAG-PC-CIVIL-i13Pro-SLV</t>
  </si>
  <si>
    <t>UAG-PC-CIVIL-i13ProMax-BLK</t>
  </si>
  <si>
    <t>UAG-PC-CIVIL-i13ProMax-FRI</t>
  </si>
  <si>
    <t>UAG-PC-CIVIL-i13ProMax-SLV</t>
  </si>
  <si>
    <t>UAG-PC-DOT-i12-BLK</t>
  </si>
  <si>
    <t>UAG-PC-DOT-i12Pro-BLK</t>
  </si>
  <si>
    <t>UAG-PC-DOT-i12ProMax-BLK</t>
  </si>
  <si>
    <t>UAG-PC-LU2(MS)-i13ProMax-BLK</t>
  </si>
  <si>
    <t>UAG-PC-METRO(LT)-i12-LBR</t>
  </si>
  <si>
    <t>UAG-PC-METRO(LT)-i12-PUB</t>
  </si>
  <si>
    <t>UAG-PC-METRO(LT)-i12Pro-LBR</t>
  </si>
  <si>
    <t>UAG-PC-METRO(LT)-i12Pro-PUB</t>
  </si>
  <si>
    <t>UAG-PC-METRO(LT)-i12ProMax-LBK</t>
  </si>
  <si>
    <t>UAG-PC-METRO(LT)-i12ProMax-LBR</t>
  </si>
  <si>
    <t>UAG-PC-METRO-i12-LBR</t>
  </si>
  <si>
    <t>UAG-PC-METRO-i12Pro-LBR</t>
  </si>
  <si>
    <t>UAG-PC-MONA-Note20-BLK</t>
  </si>
  <si>
    <t>UAG-PC-MONA-Note20-CAR</t>
  </si>
  <si>
    <t>UAG-PC-MONA-Note20U-BLK</t>
  </si>
  <si>
    <t>UAG-PC-MONA-Note20U-CAR</t>
  </si>
  <si>
    <t>UAG-PC-MONA-i11-BLK</t>
  </si>
  <si>
    <t>UAG-PC-MONA-i11-CAR</t>
  </si>
  <si>
    <t>UAG-PC-MONA-i11-CRM</t>
  </si>
  <si>
    <t>UAG-PC-MONA-i11Max-CRM</t>
  </si>
  <si>
    <t>UAG-PC-MONA-i11Pro-BLK</t>
  </si>
  <si>
    <t>UAG-PC-MONA-i11Pro-CAR</t>
  </si>
  <si>
    <t>UAG-PC-MONA-i11Pro-CRM</t>
  </si>
  <si>
    <t>UAG-PC-MONA-i12-BLK</t>
  </si>
  <si>
    <t>UAG-PC-MONA-i12-CAR</t>
  </si>
  <si>
    <t>UAG-PC-MONA-i12-CRM</t>
  </si>
  <si>
    <t>UAG-PC-MONA-i12-MAL</t>
  </si>
  <si>
    <t>UAG-PC-MONA-i12Mini-BLK</t>
  </si>
  <si>
    <t>UAG-PC-MONA-i12Mini-CAR</t>
  </si>
  <si>
    <t>UAG-PC-MONA-i12Mini-MAL</t>
  </si>
  <si>
    <t>UAG-PC-MONA-i12Pro-BLK</t>
  </si>
  <si>
    <t>UAG-PC-MONA-i12Pro-CAR</t>
  </si>
  <si>
    <t>UAG-PC-MONA-i12Pro-CRM</t>
  </si>
  <si>
    <t>UAG-PC-MONA-i12Pro-MAL</t>
  </si>
  <si>
    <t>UAG-PC-MONA-i12ProMax-BLK</t>
  </si>
  <si>
    <t>UAG-PC-MONA-i12ProMax-CAR</t>
  </si>
  <si>
    <t>UAG-PC-MONA-i12ProMax-CRM</t>
  </si>
  <si>
    <t>UAG-PC-MONA-i12ProMax-MAL</t>
  </si>
  <si>
    <t>UAG-PC-MONA-i13-BLK</t>
  </si>
  <si>
    <t>UAG-PC-MONA-i13-CAR</t>
  </si>
  <si>
    <t>UAG-PC-MONA-i13Pro-BLK</t>
  </si>
  <si>
    <t>UAG-PC-MONA-i13Pro-CAR</t>
  </si>
  <si>
    <t>UAG-PC-MONA-i13Pro-CRM</t>
  </si>
  <si>
    <t>UAG-PC-MONA-i13Pro-KEB</t>
  </si>
  <si>
    <t>UAG-PC-MONA-i13ProMax-BLK</t>
  </si>
  <si>
    <t>UAG-PC-MONA-i13ProMax-CAR</t>
  </si>
  <si>
    <t>UAG-PC-MONA-i13ProMax-CRM</t>
  </si>
  <si>
    <t>UAG-PC-MONA-i13ProMax-KEB</t>
  </si>
  <si>
    <t>UAG-PC-MOP(MS)-i13ProMax-CAR</t>
  </si>
  <si>
    <t>UAG-PC-PLSMA-i11PRO-ASH</t>
  </si>
  <si>
    <t>UAG-PC-PLSMA-i11PRO-MMA</t>
  </si>
  <si>
    <t>UAG-PC-PLSMA-i12-ASH</t>
  </si>
  <si>
    <t>UAG-PC-PLSMA-i12-ICE</t>
  </si>
  <si>
    <t>UAG-PC-PLSMA-i12-MAL</t>
  </si>
  <si>
    <t>UAG-PC-PLSMA-i12Mini-ASH</t>
  </si>
  <si>
    <t>UAG-PC-PLSMA-i12Mini-ICE</t>
  </si>
  <si>
    <t>UAG-PC-PLSMA-i12Pro-ASH</t>
  </si>
  <si>
    <t>UAG-PC-PLSMA-i12Pro-ICE</t>
  </si>
  <si>
    <t>UAG-PC-PLSMA-i12Pro-MAL</t>
  </si>
  <si>
    <t>UAG-PC-PLSMA-i13-ASH</t>
  </si>
  <si>
    <t>UAG-PC-PLSMA-i13-ICE</t>
  </si>
  <si>
    <t>UAG-PC-PLSMA-i13Pro-ASH</t>
  </si>
  <si>
    <t>UAG-PC-PLSMA-i13Pro-ICE</t>
  </si>
  <si>
    <t>UAG-PC-PLSMA-i13ProMax-ASH</t>
  </si>
  <si>
    <t>UAG-PC-PLSMA-i13ProMax-ICE</t>
  </si>
  <si>
    <t>UAG-PC-PLYO-i12-ICE</t>
  </si>
  <si>
    <t>UAG-PC-PLYO-i12Pro-ICE</t>
  </si>
  <si>
    <t>UAG-PC-PLYO-i12ProMax-ICE</t>
  </si>
  <si>
    <t>UAG-PC-PY(MS)-i13Pro-ICE</t>
  </si>
  <si>
    <t>UAG-PC-PY(MS)-i13ProMax-ICE</t>
  </si>
  <si>
    <t>UAG-WAC-ACTIV(S)-38-BLK</t>
  </si>
  <si>
    <t>UAG-WAC-CIVIL(C)-40mm-BLK/ORG</t>
  </si>
  <si>
    <t>UAG-WAC-CIVIL(C)-44mm-BLK/ORG</t>
  </si>
  <si>
    <t>UAG-WAC-CIVIL(C)-44mm-MAL/SLV</t>
  </si>
  <si>
    <t>UAG-WAC-CIVIL(C)-44mm-OLV/ORG</t>
  </si>
  <si>
    <t>UAG-WAC-CIVIL(S)-42-BLK/ORG</t>
  </si>
  <si>
    <t>UAG-WAC-CIVIL(S)-42-SLT/ORG</t>
  </si>
  <si>
    <t>UAG-WAC-CIVIL(S)-45-GRA</t>
  </si>
  <si>
    <t>UAG-WAC-CIVIL(S)-45-MAL</t>
  </si>
  <si>
    <t>UAG-WAC-Case-H42-BLK</t>
  </si>
  <si>
    <t>UAG-WAC-Case-H42-BLK/ORG</t>
  </si>
  <si>
    <t>UAG-WAC-DOT(S)-42-BLK</t>
  </si>
  <si>
    <t>UAG-WAC-DOT(S)-42/44/45-AUB/ROS</t>
  </si>
  <si>
    <t>UAG-WAC-DOT(S)-42/44/45-BLK</t>
  </si>
  <si>
    <t>UAG-WAC-DOT(S)-42/44/45-GRY</t>
  </si>
  <si>
    <t>UAG-WAC-DOT(S)-42/44/45-MML</t>
  </si>
  <si>
    <t>UAG-WAC-SCOUT(C)-41mm-BLK</t>
  </si>
  <si>
    <t>UAG-WAC-SCOUT(C)-41mm-FRO/CLR</t>
  </si>
  <si>
    <t>UAG-WAC-SCOUT(C)-41mm-MAL</t>
  </si>
  <si>
    <t>UAG-WAC-SCOUT(C)-45mm-BLK</t>
  </si>
  <si>
    <t>UAG-WAC-SCOUT(C)-45mm-FRO/CLR</t>
  </si>
  <si>
    <t>UAG-WAC-SCOUT(C)-45mm-MAL</t>
  </si>
  <si>
    <t>UAG-WAC-SCOUT(S)-42-BLK</t>
  </si>
  <si>
    <t>UAG-WAC-SCOUT(S)-42-OLV</t>
  </si>
  <si>
    <t>UAG-WAC-SCOUT(S)-42-ORG</t>
  </si>
  <si>
    <t>UAG-WAC-SCOUT(S)-45-FOL/GRN</t>
  </si>
  <si>
    <t>UAG-WAC-SCOUT(S)-45-RUS</t>
  </si>
  <si>
    <t>UNIQ-AAC-TERRA-APP-BLK</t>
  </si>
  <si>
    <t>UNIQ-AAC-TERRA-APP-BRW</t>
  </si>
  <si>
    <t>UNIQ-AAC-TERRA-APP-RED</t>
  </si>
  <si>
    <t>UNIQ-AAC-TERRA-Airpods3-BLK</t>
  </si>
  <si>
    <t>UNIQ-AAC-TERRA-Airpods3-BLU</t>
  </si>
  <si>
    <t>UNIQ-AAC-TERRA-Airpods3-BRW</t>
  </si>
  <si>
    <t>UNIQ-AAC-VCR-APP-BLU</t>
  </si>
  <si>
    <t>UNIQ-AAC-VCR-APP-GRY</t>
  </si>
  <si>
    <t>UNIQ-AAC-VCR-APP-MRN</t>
  </si>
  <si>
    <t>UNIQ-AAC-VCR-Airpods3-BEI</t>
  </si>
  <si>
    <t>UNIQ-AAC-VCR-Airpods3-BLU</t>
  </si>
  <si>
    <t>UNIQ-AAC-VCR-Airpods3-GRY</t>
  </si>
  <si>
    <t>UNIQ-AAC-VCR-Airpods3-MRN</t>
  </si>
  <si>
    <t>UNIQ-ACE-LYFT-Wallet-BLK</t>
  </si>
  <si>
    <t>UNIQ-ACE-LYFT-Wallet-BLU</t>
  </si>
  <si>
    <t>UNIQ-ACE-LYFT-Wallet-BRW</t>
  </si>
  <si>
    <t>UNIQ-ACE-LYFT-Wallet-PNK</t>
  </si>
  <si>
    <t>UNIQ-IC-CAMD-Air4/10.9-BLU</t>
  </si>
  <si>
    <t>UNIQ-IC-CAMD-Air4/10.9-GRN</t>
  </si>
  <si>
    <t>UNIQ-IC-CAMD-Air4/10.9-GRY</t>
  </si>
  <si>
    <t>UNIQ-IC-CAMD-Air4/10.9-NOR/BLU</t>
  </si>
  <si>
    <t>UNIQ-IC-CAMD-Air5/10.9-BLU</t>
  </si>
  <si>
    <t>UNIQ-IC-CAMD-Air5/10.9-GRN</t>
  </si>
  <si>
    <t>UNIQ-IC-CAMD-Air5/10.9-GRY</t>
  </si>
  <si>
    <t>UNIQ-IC-CAMD-Air5/10.9-NOR/BLU</t>
  </si>
  <si>
    <t>UNIQ-IC-CAMD-Mini6-GRY</t>
  </si>
  <si>
    <t>UNIQ-IC-CAMD-Mini6-PNK</t>
  </si>
  <si>
    <t>UNIQ-IC-CAMD-Mini6-PRP</t>
  </si>
  <si>
    <t>UNIQ-IC-CAMD-Pro11(21)-GRY</t>
  </si>
  <si>
    <t>UNIQ-IC-CAMD-Pro11(21)-PNK</t>
  </si>
  <si>
    <t>UNIQ-IC-CAMD-Pro11(22)-GRY</t>
  </si>
  <si>
    <t>UNIQ-IC-CAMD-Pro11(22)-PNK</t>
  </si>
  <si>
    <t>UNIQ-IC-CAMD-iPad10/10.9-BLU</t>
  </si>
  <si>
    <t>UNIQ-IC-CAMD-iPad10/10.9-GRY</t>
  </si>
  <si>
    <t>UNIQ-IC-CAMD-iPad10/10.9-PNK</t>
  </si>
  <si>
    <t>UNIQ-IC-MOVE(N)-Air4/10.9-GRY</t>
  </si>
  <si>
    <t>UNIQ-IC-MOVE(N)-Air4/10.9-MRN</t>
  </si>
  <si>
    <t>UNIQ-IC-MOVE(N)-Air5/10.9-GRY</t>
  </si>
  <si>
    <t>UNIQ-IC-MOVE(N)-Air5/10.9-MRN</t>
  </si>
  <si>
    <t>UNIQ-IC-MOVE(N)-Pro11(20)-GRY</t>
  </si>
  <si>
    <t>UNIQ-IC-MOVE(N)-Pro11(20)-MRN</t>
  </si>
  <si>
    <t>UNIQ-IC-MOVE(N)-Pro11(21)-GRY</t>
  </si>
  <si>
    <t>UNIQ-IC-MOVE(N)-Pro11(21)-MRN</t>
  </si>
  <si>
    <t>UNIQ-IC-MOVE(N)-Pro11(22)-GRY</t>
  </si>
  <si>
    <t>UNIQ-IC-MOVE(N)-Pro11(22)-MRN</t>
  </si>
  <si>
    <t>UNIQ-IC-MOVE-Air4/10.9-CAP/BLU</t>
  </si>
  <si>
    <t>UNIQ-IC-MOVE-Air4/10.9-GRY</t>
  </si>
  <si>
    <t>UNIQ-IC-MOVE-Air4/10.9-IVO</t>
  </si>
  <si>
    <t>UNIQ-IC-MOVE-Air4/10.9-PNK</t>
  </si>
  <si>
    <t>UNIQ-IC-MOVE-Air5/10.9-CAP/BLU</t>
  </si>
  <si>
    <t>UNIQ-IC-MOVE-Air5/10.9-GRY</t>
  </si>
  <si>
    <t>UNIQ-IC-MOVE-Air5/10.9-IVO</t>
  </si>
  <si>
    <t>UNIQ-IC-MOVE-Air5/10.9-PNK</t>
  </si>
  <si>
    <t>UNIQ-IC-MOVE-Mini6-GRY</t>
  </si>
  <si>
    <t>UNIQ-IC-MOVE-Mini6-MRN</t>
  </si>
  <si>
    <t>UNIQ-IC-MOVE-Pro12.9(21)-GRY</t>
  </si>
  <si>
    <t>UNIQ-IC-MOVE-Pro12.9(22)-GRY</t>
  </si>
  <si>
    <t>UNIQ-IC-TRAN(N)-Air4/10.9-BLK</t>
  </si>
  <si>
    <t>UNIQ-IC-TRAN(N)-Air4/10.9-RED</t>
  </si>
  <si>
    <t>UNIQ-IC-TRAN(N)-Air5/10.9-BLK</t>
  </si>
  <si>
    <t>UNIQ-IC-TRAN(N)-Air5/10.9-RED</t>
  </si>
  <si>
    <t>UNIQ-IC-TRAN(N)-Pro11(20)-BLK</t>
  </si>
  <si>
    <t>UNIQ-IC-TRAN(N)-Pro11(20)-RED</t>
  </si>
  <si>
    <t>UNIQ-IC-TRAN(N)-Pro11(21)-BLK</t>
  </si>
  <si>
    <t>UNIQ-IC-TRAN(N)-Pro11(21)-RED</t>
  </si>
  <si>
    <t>UNIQ-IC-TRAN(N)-Pro11(22)-BLK</t>
  </si>
  <si>
    <t>UNIQ-IC-TRAN(N)-Pro11(22)-RED</t>
  </si>
  <si>
    <t>UNIQ-IC-TRAN-Air4/10.9-GRY</t>
  </si>
  <si>
    <t>UNIQ-IC-TRAN-Air4/10.9-RED</t>
  </si>
  <si>
    <t>UNIQ-PC-AIR-i12-BLU</t>
  </si>
  <si>
    <t>UNIQ-PC-AIR-i12-GRY</t>
  </si>
  <si>
    <t>UNIQ-PC-AIR-i12-TP</t>
  </si>
  <si>
    <t>UNIQ-PC-AIR-i12Mini-GRY</t>
  </si>
  <si>
    <t>UNIQ-PC-AIR-i12Mini-TP</t>
  </si>
  <si>
    <t>UNIQ-PC-AIR-i12Pro-BLU</t>
  </si>
  <si>
    <t>UNIQ-PC-AIR-i12Pro-GRY</t>
  </si>
  <si>
    <t>UNIQ-PC-AIR-i12Pro-TP</t>
  </si>
  <si>
    <t>UNIQ-PC-AIR-i12ProMax-BLU</t>
  </si>
  <si>
    <t>UNIQ-PC-AIR-i12ProMax-GRY</t>
  </si>
  <si>
    <t>UNIQ-PC-AIR-i12ProMax-TP</t>
  </si>
  <si>
    <t>UNIQ-PC-AIR-i13-GRY</t>
  </si>
  <si>
    <t>UNIQ-PC-AIR-i13-TP</t>
  </si>
  <si>
    <t>UNIQ-PC-AIR-i13Pro-GRY</t>
  </si>
  <si>
    <t>UNIQ-PC-AIR-i13Pro-TP</t>
  </si>
  <si>
    <t>UNIQ-PC-AIR-i13ProMax-GRY</t>
  </si>
  <si>
    <t>UNIQ-PC-AIR-i13ProMax-TP</t>
  </si>
  <si>
    <t>UNIQ-PC-COMB-S21-BLK</t>
  </si>
  <si>
    <t>UNIQ-PC-COMB-S21Plus-BLK</t>
  </si>
  <si>
    <t>UNIQ-PC-COMB-S22Ultra-BLK</t>
  </si>
  <si>
    <t>UNIQ-PC-HELD-i12-FROS</t>
  </si>
  <si>
    <t>UNIQ-PC-HELD-i12Pro-FROS</t>
  </si>
  <si>
    <t>UNIQ-PC-HELD-i12ProMax-FROS</t>
  </si>
  <si>
    <t>UNIQ-PC-HELD-i13-CLR</t>
  </si>
  <si>
    <t>UNIQ-PC-HELD-i13Pro-CLR</t>
  </si>
  <si>
    <t>UNIQ-PC-HELD-i13Pro-SMK</t>
  </si>
  <si>
    <t>UNIQ-PC-HELD-i13ProMax-CLR</t>
  </si>
  <si>
    <t>UNIQ-PC-HELD-i13ProMax-SMK</t>
  </si>
  <si>
    <t>UNIQ-PC-LIFE(MS)-i13-CLR</t>
  </si>
  <si>
    <t>UNIQ-PC-LIFE(MS)-i13-SMK</t>
  </si>
  <si>
    <t>UNIQ-PC-LIFE(MS)-i13Pro-CLR</t>
  </si>
  <si>
    <t>UNIQ-PC-LIFE(MS)-i13Pro-SMK</t>
  </si>
  <si>
    <t>UNIQ-PC-LIFE(MS)-i13ProMax-CLR</t>
  </si>
  <si>
    <t>UNIQ-PC-LIFE(MS)-i13ProMax-SMK</t>
  </si>
  <si>
    <t>UNIQ-PC-LIFE-S21-CLR</t>
  </si>
  <si>
    <t>UNIQ-PC-LIFE-S21Plus-CLR</t>
  </si>
  <si>
    <t>UNIQ-PC-LIFE-S21Ultra-CLR</t>
  </si>
  <si>
    <t>UNIQ-PC-LIFE-S22Ultra-CLR</t>
  </si>
  <si>
    <t>UNIQ-PC-LIFE-i12-CLR</t>
  </si>
  <si>
    <t>UNIQ-PC-LIFE-i12Mini-CLR</t>
  </si>
  <si>
    <t>UNIQ-PC-LIFE-i12Pro-CLR</t>
  </si>
  <si>
    <t>UNIQ-PC-LIFE-i12ProMax-CLR</t>
  </si>
  <si>
    <t>UNIQ-PC-LIFE-i13-CLR</t>
  </si>
  <si>
    <t>UNIQ-PC-LIFE-i13Pro-CLR</t>
  </si>
  <si>
    <t>UNIQ-PC-LIFE-i13ProMax-CLR</t>
  </si>
  <si>
    <t>UNIQ-PC-TRAN(MS)-i13-BLK</t>
  </si>
  <si>
    <t>UNIQ-PC-TRAN(MS)-i13-BLU</t>
  </si>
  <si>
    <t>UNIQ-PC-TRAN(MS)-i13-RED</t>
  </si>
  <si>
    <t>UNIQ-PC-TRAN(MS)-i13Pro-BLK</t>
  </si>
  <si>
    <t>UNIQ-PC-TRAN(MS)-i13Pro-BLU</t>
  </si>
  <si>
    <t>UNIQ-PC-TRAN(MS)-i13Pro-RED</t>
  </si>
  <si>
    <t>UNIQ-PC-TRAN(MS)-i13ProMax-BLK</t>
  </si>
  <si>
    <t>UNIQ-PC-TRAN(MS)-i13ProMax-BLU</t>
  </si>
  <si>
    <t>UNIQ-PC-TRAN(MS)-i13ProMax-RED</t>
  </si>
  <si>
    <t>UNIQ-PC-TRAN-i12-BLU</t>
  </si>
  <si>
    <t>UNIQ-PC-TRAN-i12-GRY</t>
  </si>
  <si>
    <t>UNIQ-PC-TRAN-i12-RED</t>
  </si>
  <si>
    <t>UNIQ-PC-TRAN-i12Pro-BLU</t>
  </si>
  <si>
    <t>UNIQ-PC-TRAN-i12Pro-GRY</t>
  </si>
  <si>
    <t>UNIQ-PC-TRAN-i12Pro-RED</t>
  </si>
  <si>
    <t>UNIQ-PC-TRAN-i12ProMax-BLU</t>
  </si>
  <si>
    <t>UNIQ-PC-TRAN-i12ProMax-GRY</t>
  </si>
  <si>
    <t>UNIQ-PC-TRAN-i12ProMax-RED</t>
  </si>
  <si>
    <t>UNIQ-WAC-DAN-38/40/41-COB/BLU</t>
  </si>
  <si>
    <t>UNIQ-WAC-DAN-38/40/41-GRN</t>
  </si>
  <si>
    <t>UNIQ-WAC-DAN-38/40/41-STA</t>
  </si>
  <si>
    <t>UNIQ-WAC-DAN-42/44/45-COB/BLU</t>
  </si>
  <si>
    <t>UNIQ-WAC-DAN-42/44/45-GRN</t>
  </si>
  <si>
    <t>UNIQ-WAC-DAN-42/44/45-STA</t>
  </si>
  <si>
    <t>UNIQ-WAC-GAR-41-CLR</t>
  </si>
  <si>
    <t>UNIQ-WAC-GAR-41-TIN/GRY</t>
  </si>
  <si>
    <t>UNIQ-WAC-GAR-45-CLR</t>
  </si>
  <si>
    <t>UNIQ-WAC-GAR-45-TIN/GRY</t>
  </si>
  <si>
    <t>UNIQ-WAC-LEGI-41-BLK</t>
  </si>
  <si>
    <t>UNIQ-WAC-LEGI-41-CLR</t>
  </si>
  <si>
    <t>UNIQ-WAC-LEGI-45-BLK</t>
  </si>
  <si>
    <t>UNIQ-WAC-LEGI-45-BLU</t>
  </si>
  <si>
    <t>UNIQ-WAC-LEGI-45-CLR</t>
  </si>
  <si>
    <t>UNIQ-WAC-LEGI-45-GRN</t>
  </si>
  <si>
    <t>UNIQ-WAC-LINUS-38/40/41-CHA/GRY</t>
  </si>
  <si>
    <t>UNIQ-WAC-LINUS-38/40/41-MID/BLK</t>
  </si>
  <si>
    <t>UNIQ-WAC-LINUS-38/40/41-ROS/PNK</t>
  </si>
  <si>
    <t>UNIQ-WAC-LINUS-42/44/45-CHA/GRY</t>
  </si>
  <si>
    <t>UNIQ-WAC-LINUS-42/44/45-MID/BLK</t>
  </si>
  <si>
    <t>UNIQ-WAC-LINUS-42/44/45-MOS/GRN</t>
  </si>
  <si>
    <t>UNIQ-WAC-LINUS-42/44/45-NTC/BLU</t>
  </si>
  <si>
    <t>UNIQ-WAC-LINUS-49-CHA/GRY</t>
  </si>
  <si>
    <t>UNIQ-WAC-LINUS-49-MID/BLK</t>
  </si>
  <si>
    <t>UNIQ-WAC-LINUS-49-MOS/GRN</t>
  </si>
  <si>
    <t>UNIQ-WAC-LINUS-49-NTC/BLU</t>
  </si>
  <si>
    <t>UNIQ-WAC-STR-42-44mm-BLK</t>
  </si>
  <si>
    <t>UNIQ-WAC-STR-42-44mm-SLV</t>
  </si>
  <si>
    <t>UNIQ-WAC-STR-45-BLK</t>
  </si>
  <si>
    <t>UNIQ-WAC-STR-45-SLV</t>
  </si>
  <si>
    <t>UNIQ-WAC-STR-49-BLK</t>
  </si>
  <si>
    <t>UNIQ-WAC-STR-49-SLV</t>
  </si>
  <si>
    <t>UNIQ-WAC-TORR-40mm-BLK</t>
  </si>
  <si>
    <t>UNIQ-WAC-TORR-40mm-BLU</t>
  </si>
  <si>
    <t>UNIQ-WAC-TORR-40mm-WHT</t>
  </si>
  <si>
    <t>UNIQ-WAC-TORR-44mm-BLK</t>
  </si>
  <si>
    <t>UNIQ-WAC-TORR-44mm-BLU</t>
  </si>
  <si>
    <t>UNIQ-WAC-TORR-44mm-WHT</t>
  </si>
  <si>
    <t>UNIU-AAC-SI-APP2-MAT/CLR</t>
  </si>
  <si>
    <t>UNIU-AAC-UYES-APP-BLK</t>
  </si>
  <si>
    <t>UNIU-AAC-UYES-APP-BLU</t>
  </si>
  <si>
    <t>UNIU-AAC-UYES-APP-BRW</t>
  </si>
  <si>
    <t>UNIU-AAC-UYES-APP-GRN</t>
  </si>
  <si>
    <t>UNIU-AAC-UYES-Airpods3-BLK</t>
  </si>
  <si>
    <t>UNIU-AAC-UYES-Airpods3-BLU</t>
  </si>
  <si>
    <t>UNIU-ACE-A1-Wallet-BLK</t>
  </si>
  <si>
    <t>UNIU-ACE-A1-Wallet-BRW</t>
  </si>
  <si>
    <t>UNIU-ACE-A1-Wallet-YLW</t>
  </si>
  <si>
    <t>UNIU-CL-AR-i13Mini-BLK</t>
  </si>
  <si>
    <t>UNIU-CL-AR-i13Mini-GLD</t>
  </si>
  <si>
    <t>UNIU-CL-AR-i13Mini-NAB</t>
  </si>
  <si>
    <t>UNIU-CL-AR-i13Pro-BLK</t>
  </si>
  <si>
    <t>UNIU-CL-AR-i13Pro-GLD</t>
  </si>
  <si>
    <t>UNIU-CL-AR-i13Pro-SRB</t>
  </si>
  <si>
    <t>UNIU-CL-PSS-i14-BLK</t>
  </si>
  <si>
    <t>UNIU-CL-PSS-i14-PRP</t>
  </si>
  <si>
    <t>UNIU-CL-PSS-i14-SLV</t>
  </si>
  <si>
    <t>UNIU-CL-PSS-i14Pro-BLK</t>
  </si>
  <si>
    <t>UNIU-CL-PSS-i14Pro-GLD</t>
  </si>
  <si>
    <t>UNIU-CL-PSS-i14Pro-PRP</t>
  </si>
  <si>
    <t>UNIU-CL-PSS-i14Pro-SLV</t>
  </si>
  <si>
    <t>UNIU-MAC-U+-Strap-BLK</t>
  </si>
  <si>
    <t>UNIU-MAC-U+-Strap-CAM</t>
  </si>
  <si>
    <t>UNIU-MAC-U+-Strap-PNK/WHT</t>
  </si>
  <si>
    <t>UNIU-MAC-U+-Strap-YLW/GRN</t>
  </si>
  <si>
    <t>UNIU-PC-COM+-i14-BLK</t>
  </si>
  <si>
    <t>UNIU-PC-COM+-i14Plus-BLK</t>
  </si>
  <si>
    <t>UNIU-PC-COM+-i14Pro-BLK</t>
  </si>
  <si>
    <t>UNIU-PC-COM+-i14ProMax-BLK</t>
  </si>
  <si>
    <t>UNIU-PC-CUERO-XR-BLK</t>
  </si>
  <si>
    <t>UNIU-PC-CUERO-XR-BRW</t>
  </si>
  <si>
    <t>UNIU-PC-CUERO-XR-GRN</t>
  </si>
  <si>
    <t>UNIU-PC-CUERO-XS-BLK</t>
  </si>
  <si>
    <t>UNIU-PC-CUERO-XS-BRW</t>
  </si>
  <si>
    <t>UNIU-PC-CUERO-XS-GRN</t>
  </si>
  <si>
    <t>UNIU-PC-CUERO-XSMAX-BLK</t>
  </si>
  <si>
    <t>UNIU-PC-CUERO-XSMAX-BRW</t>
  </si>
  <si>
    <t>UNIU-PC-CUERO-i11-BLK</t>
  </si>
  <si>
    <t>UNIU-PC-CUERO-i11-BRW</t>
  </si>
  <si>
    <t>UNIU-PC-CUERO-i11-GRN</t>
  </si>
  <si>
    <t>UNIU-PC-CUERO-i11Max-BLK</t>
  </si>
  <si>
    <t>UNIU-PC-CUERO-i11Max-BRW</t>
  </si>
  <si>
    <t>UNIU-PC-CUERO-i11Max-GRN</t>
  </si>
  <si>
    <t>UNIU-PC-CUERO-i11Pro-BLK</t>
  </si>
  <si>
    <t>UNIU-PC-CUERO-i11Pro-BRW</t>
  </si>
  <si>
    <t>UNIU-PC-CUERO-i11Pro-GRN</t>
  </si>
  <si>
    <t>UNIU-PC-CUERO-i12-FRG</t>
  </si>
  <si>
    <t>UNIU-PC-CUERO-i12-MNB</t>
  </si>
  <si>
    <t>UNIU-PC-CUERO-i12-SAB</t>
  </si>
  <si>
    <t>UNIU-PC-CUERO-i12Mini-FRG</t>
  </si>
  <si>
    <t>UNIU-PC-CUERO-i12Mini-MNB</t>
  </si>
  <si>
    <t>UNIU-PC-CUERO-i12Mini-SAB</t>
  </si>
  <si>
    <t>UNIU-PC-CUERO-i12ProMax-FRG</t>
  </si>
  <si>
    <t>UNIU-PC-CUERO-i12ProMax-MNB</t>
  </si>
  <si>
    <t>UNIU-PC-CUERO-i12ProMax-SAB</t>
  </si>
  <si>
    <t>UNIU-PC-CURO(X)-i13-BLK</t>
  </si>
  <si>
    <t>UNIU-PC-CURO(X)-i13-BLU</t>
  </si>
  <si>
    <t>UNIU-PC-CURO(X)-i13-BRW</t>
  </si>
  <si>
    <t>UNIU-PC-CURO(X)-i13Pro-BLK</t>
  </si>
  <si>
    <t>UNIU-PC-CURO(X)-i13Pro-BLU</t>
  </si>
  <si>
    <t>UNIU-PC-CURO(X)-i13Pro-BRW</t>
  </si>
  <si>
    <t>UNIU-PC-CURO(X)-i13ProMax-BLK</t>
  </si>
  <si>
    <t>UNIU-PC-CURO(X)-i13ProMax-BLU</t>
  </si>
  <si>
    <t>UNIU-PC-CURO(X)-i13ProMax-BRW</t>
  </si>
  <si>
    <t>UNIU-PC-DAP(P)-i15Pro-BLK</t>
  </si>
  <si>
    <t>UNIU-PC-DAP(P)-i15ProMax-BLK</t>
  </si>
  <si>
    <t>UNIU-PC-DAP(P/MS)-i15Pro-BLK</t>
  </si>
  <si>
    <t>UNIU-PC-DAP(P/MS)-i15ProMax-BLK</t>
  </si>
  <si>
    <t>UNIU-PC-DAPP-i13-BLK</t>
  </si>
  <si>
    <t>UNIU-PC-DAPP-i13-BLU</t>
  </si>
  <si>
    <t>UNIU-PC-DAPP-i13-GRY</t>
  </si>
  <si>
    <t>UNIU-PC-DAPP-i13-PNK</t>
  </si>
  <si>
    <t>UNIU-PC-DAPP-i13Pro-BLK</t>
  </si>
  <si>
    <t>UNIU-PC-DAPP-i13Pro-BLU</t>
  </si>
  <si>
    <t>UNIU-PC-DAPP-i13Pro-GRY</t>
  </si>
  <si>
    <t>UNIU-PC-DAPP-i13Pro-MOB</t>
  </si>
  <si>
    <t>UNIU-PC-DAPP-i13Pro-PNK</t>
  </si>
  <si>
    <t>UNIU-PC-DAPP-i13ProMax-BLK</t>
  </si>
  <si>
    <t>UNIU-PC-DAPP-i13ProMax-BLU</t>
  </si>
  <si>
    <t>UNIU-PC-DAPP-i13ProMax-GRY</t>
  </si>
  <si>
    <t>UNIU-PC-DAPP-i13ProMax-MOB</t>
  </si>
  <si>
    <t>UNIU-PC-DAPPER-i16-BLK</t>
  </si>
  <si>
    <t>UNIU-PC-DAPPER-i16Plus-BLK</t>
  </si>
  <si>
    <t>UNIU-PC-DAPPER-i16Pro-BLK</t>
  </si>
  <si>
    <t>UNIU-PC-DAPPER-i16ProMax-BLK</t>
  </si>
  <si>
    <t>UNIU-PC-DP+(MS)-i15-BLK</t>
  </si>
  <si>
    <t>UNIU-PC-DP+(MS)-i15Pro-BLK</t>
  </si>
  <si>
    <t>UNIU-PC-DP+(MS)-i15ProMax-BLK</t>
  </si>
  <si>
    <t>UNIU-PC-DP+-i14-BLK</t>
  </si>
  <si>
    <t>UNIU-PC-DP+-i14-BLU</t>
  </si>
  <si>
    <t>UNIU-PC-DP+-i14-PNK</t>
  </si>
  <si>
    <t>UNIU-PC-DP+-i14Plus-BLK</t>
  </si>
  <si>
    <t>UNIU-PC-DP+-i14Plus-BLU</t>
  </si>
  <si>
    <t>UNIU-PC-DP+-i14Plus-PNK</t>
  </si>
  <si>
    <t>UNIU-PC-DP+-i14Pro-BLK</t>
  </si>
  <si>
    <t>UNIU-PC-DP+-i14Pro-BLU</t>
  </si>
  <si>
    <t>UNIU-PC-DP+-i14Pro-PNK</t>
  </si>
  <si>
    <t>UNIU-PC-DP+-i14ProMax-BLK</t>
  </si>
  <si>
    <t>UNIU-PC-DP+-i14ProMax-BLU</t>
  </si>
  <si>
    <t>UNIU-PC-DP+-i14ProMax-PNK</t>
  </si>
  <si>
    <t>UNIU-PC-DP+-i15-BLK</t>
  </si>
  <si>
    <t>UNIU-PC-DP+-i15-GRY</t>
  </si>
  <si>
    <t>UNIU-PC-DP+-i15-PNK</t>
  </si>
  <si>
    <t>UNIU-PC-DP+-i15Pro-BLK</t>
  </si>
  <si>
    <t>UNIU-PC-DP+-i15Pro-BLU</t>
  </si>
  <si>
    <t>UNIU-PC-DP+-i15Pro-GRY</t>
  </si>
  <si>
    <t>UNIU-PC-DP+-i15Pro-PNK</t>
  </si>
  <si>
    <t>UNIU-PC-DP+-i15ProMax-BLK</t>
  </si>
  <si>
    <t>UNIU-PC-DP+-i15ProMax-BLU</t>
  </si>
  <si>
    <t>UNIU-PC-DP+-i15ProMax-GRY</t>
  </si>
  <si>
    <t>UNIU-PC-DP+-i15ProMax-PNK</t>
  </si>
  <si>
    <t>UNIU-PC-EMS+-i14-CLR</t>
  </si>
  <si>
    <t>UNIU-PC-EMS+-i14Plus-CLR</t>
  </si>
  <si>
    <t>UNIU-PC-EMS+-i14Pro-CLR</t>
  </si>
  <si>
    <t>UNIU-PC-EMS+-i14ProMax-CLR</t>
  </si>
  <si>
    <t>UNIU-PC-EUV(MS)-i15-CLR</t>
  </si>
  <si>
    <t>UNIU-PC-EUV(MS)-i15Pro-CLR</t>
  </si>
  <si>
    <t>UNIU-PC-EUV(MS)-i15ProMax-CLR</t>
  </si>
  <si>
    <t>UNIU-PC-EUV(P)-i15Pro-CLR</t>
  </si>
  <si>
    <t>UNIU-PC-EUV(P)-i15ProMax-CLR</t>
  </si>
  <si>
    <t>UNIU-PC-EUV(P/MS)-i15Pro-CLR</t>
  </si>
  <si>
    <t>UNIU-PC-EUV(P/MS)-i15ProMax-CLR</t>
  </si>
  <si>
    <t>UNIU-PC-EUV-i15-CLR</t>
  </si>
  <si>
    <t>UNIU-PC-EUV-i15Pro-CLR</t>
  </si>
  <si>
    <t>UNIU-PC-EUV-i15ProMax-CLR</t>
  </si>
  <si>
    <t>UNIU-PC-EV+-i14-CLR</t>
  </si>
  <si>
    <t>UNIU-PC-EV+-i14-GLO/BLK</t>
  </si>
  <si>
    <t>UNIU-PC-EV+-i14Plus-CLR</t>
  </si>
  <si>
    <t>UNIU-PC-EV+-i14Plus-GLO/BLK</t>
  </si>
  <si>
    <t>UNIU-PC-EV+-i14Pro-CLR</t>
  </si>
  <si>
    <t>UNIU-PC-EV+-i14Pro-GLO/BLK</t>
  </si>
  <si>
    <t>UNIU-PC-EV+-i14ProMax-CLR</t>
  </si>
  <si>
    <t>UNIU-PC-EV+-i14ProMax-GLO/BLK</t>
  </si>
  <si>
    <t>UNIU-PC-EVO(MS)-i12-CLR</t>
  </si>
  <si>
    <t>UNIU-PC-EVO(MS)-i12ProMax-CLR</t>
  </si>
  <si>
    <t>UNIU-PC-EVO-i12-CLR</t>
  </si>
  <si>
    <t>UNIU-PC-EVO-i12ProMax-CLR</t>
  </si>
  <si>
    <t>UNIU-PC-EVO-i13-CLR</t>
  </si>
  <si>
    <t>UNIU-PC-EVO-i13Pro-CLR</t>
  </si>
  <si>
    <t>UNIU-PC-EVO-i13ProMax-CLR</t>
  </si>
  <si>
    <t>UNIU-PC-NEAT(MS)-i12-BLK</t>
  </si>
  <si>
    <t>UNIU-PC-NEAT(MS)-i12-BLU</t>
  </si>
  <si>
    <t>UNIU-PC-NEAT(MS)-i12-PNK</t>
  </si>
  <si>
    <t>UNIU-PC-NEAT(MS)-i12-PRP</t>
  </si>
  <si>
    <t>UNIU-PC-NEAT(MS)-i12Pro-BLK</t>
  </si>
  <si>
    <t>UNIU-PC-NEAT(MS)-i12Pro-BLU</t>
  </si>
  <si>
    <t>UNIU-PC-NEAT(MS)-i12Pro-PNK</t>
  </si>
  <si>
    <t>UNIU-PC-NEAT(MS)-i12Pro-PRP</t>
  </si>
  <si>
    <t>UNIU-PC-NEAT(MS)-i12ProMax-PNK</t>
  </si>
  <si>
    <t>UNIU-PC-NEAT(MS)-i12ProMax-PRP</t>
  </si>
  <si>
    <t>UNIU-PC-NEAT(X)-i13-BLK</t>
  </si>
  <si>
    <t>UNIU-PC-NEAT(X)-i13-BLU</t>
  </si>
  <si>
    <t>UNIU-PC-NEAT(X)-i13Pro-BLK</t>
  </si>
  <si>
    <t>UNIU-PC-NEAT(X)-i13Pro-BLU</t>
  </si>
  <si>
    <t>UNIU-PC-NEAT(X)-i13ProMax-BLK</t>
  </si>
  <si>
    <t>UNIU-PC-NEAT(X)-i13ProMax-BLU</t>
  </si>
  <si>
    <t>UNIU-PC-NEAT-XR-BLK</t>
  </si>
  <si>
    <t>UNIU-PC-NEAT-XR-BLU</t>
  </si>
  <si>
    <t>UNIU-PC-NEAT-XR-GRN</t>
  </si>
  <si>
    <t>UNIU-PC-NEAT-XR-PNK</t>
  </si>
  <si>
    <t>UNIU-PC-NEAT-i12-BLK</t>
  </si>
  <si>
    <t>UNIU-PC-NEAT-i12-BLU</t>
  </si>
  <si>
    <t>UNIU-PC-NEAT-i12-PNK</t>
  </si>
  <si>
    <t>UNIU-PC-NEAT-i12-PRP</t>
  </si>
  <si>
    <t>UNIU-PC-NEAT-i12Pro-BLK</t>
  </si>
  <si>
    <t>UNIU-PC-NEAT-i12Pro-BLU</t>
  </si>
  <si>
    <t>UNIU-PC-NEAT-i12Pro-PNK</t>
  </si>
  <si>
    <t>UNIU-PC-NEAT-i12Pro-PRP</t>
  </si>
  <si>
    <t>UNIU-PC-NEAT-i12ProMax-PNK</t>
  </si>
  <si>
    <t>UNIU-PC-PURE(MS)-i16-CLR</t>
  </si>
  <si>
    <t>UNIU-PC-PURE(MS)-i16Plus-CLR</t>
  </si>
  <si>
    <t>UNIU-PC-PURE(MS)-i16Pro-CLR</t>
  </si>
  <si>
    <t>UNIU-PC-PURE(MS)-i16ProMax-CLR</t>
  </si>
  <si>
    <t>UNIU-PC-SI-XR-TP</t>
  </si>
  <si>
    <t>UNIU-PC-SI-XSMAX-TP</t>
  </si>
  <si>
    <t>UNIU-PC-SI-i11-BLK</t>
  </si>
  <si>
    <t>UNIU-PC-SI-i11-BLU</t>
  </si>
  <si>
    <t>UNIU-PC-SI-i11-PNK</t>
  </si>
  <si>
    <t>UNIU-PC-SI-i11-TPBLK</t>
  </si>
  <si>
    <t>UNIU-PC-SI-i11MAX-BLK</t>
  </si>
  <si>
    <t>UNIU-PC-SI-i11MAX-BLU</t>
  </si>
  <si>
    <t>UNIU-PC-SI-i11MAX-PNK</t>
  </si>
  <si>
    <t>UNIU-PC-SI-i11MAX-TP</t>
  </si>
  <si>
    <t>UNIU-PC-SI-i11MAX-TPBLK</t>
  </si>
  <si>
    <t>UNIU-PC-SI-i11PRO-BLK</t>
  </si>
  <si>
    <t>UNIU-PC-SI-i11PRO-BLU</t>
  </si>
  <si>
    <t>UNIU-PC-SI-i11PRO-GRN</t>
  </si>
  <si>
    <t>UNIU-PC-SI-i11PRO-PNK</t>
  </si>
  <si>
    <t>UNIU-PC-SI-i11PRO-TP</t>
  </si>
  <si>
    <t>UNIU-PC-SI-i11PRO-TPBLK</t>
  </si>
  <si>
    <t>UNIU-PC-SiBUM-i11-BLK</t>
  </si>
  <si>
    <t>UNIU-PC-SiBUM-i11-YLW</t>
  </si>
  <si>
    <t>UNIU-PC-SiBUM-i11Pro-BLK</t>
  </si>
  <si>
    <t>UNIU-PC-SiBUM-i11Pro-GRN</t>
  </si>
  <si>
    <t>UNIU-PC-SiBUM-i11ProMax-BLK</t>
  </si>
  <si>
    <t>UNIU-PC-SiBUM-i11ProMax-GRN</t>
  </si>
  <si>
    <t>UNIU-PC-SiBUM-i12-BLK</t>
  </si>
  <si>
    <t>UNIU-PC-SiBUM-i12-MNG</t>
  </si>
  <si>
    <t>UNIU-PC-SiBUM-i12-NAB</t>
  </si>
  <si>
    <t>UNIU-PC-SiBUM-i12-SPK</t>
  </si>
  <si>
    <t>UNIU-PC-SiBUM-i12-WHT</t>
  </si>
  <si>
    <t>UNIU-PC-SiBUM-i12Mini-BLK</t>
  </si>
  <si>
    <t>UNIU-PC-SiBUM-i12Mini-SPK</t>
  </si>
  <si>
    <t>UNIU-PC-SiBUM-i12Mini-WHT</t>
  </si>
  <si>
    <t>UNIU-PC-SiBUM-i12ProMax-BLK</t>
  </si>
  <si>
    <t>UNIU-PC-SiBUM-i12ProMax-MNG</t>
  </si>
  <si>
    <t>UNIU-PC-SiBUM-i12ProMax-WHT</t>
  </si>
  <si>
    <t>UNIU-PC-SiBUM-iXR-BLK</t>
  </si>
  <si>
    <t>UNIU-PC-SiBUM-iXR-MNG</t>
  </si>
  <si>
    <t>UNIU-PC-SiBUM-iXR-PRP</t>
  </si>
  <si>
    <t>UNIU-PC-SiBUM-iXR-YLW</t>
  </si>
  <si>
    <t>UNIU-PC-ULTRA-i16Pro-BLK</t>
  </si>
  <si>
    <t>UNIU-PC-ULTRA-i16Pro-GLD</t>
  </si>
  <si>
    <t>UNIU-PC-ULTRA-i16Pro-GRY</t>
  </si>
  <si>
    <t>UNIU-PC-ULTRA-i16Pro-WHT</t>
  </si>
  <si>
    <t>UNIU-PC-ULTRA-i16ProMax-BLK</t>
  </si>
  <si>
    <t>UNIU-PC-ULTRA-i16ProMax-GLD</t>
  </si>
  <si>
    <t>UNIU-PC-ULTRA-i16ProMax-GRY</t>
  </si>
  <si>
    <t>UNIU-PC-ULTRA-i16ProMax-WHT</t>
  </si>
  <si>
    <t>UNIU-WAC-CLICK-STEEL</t>
  </si>
  <si>
    <t>UNIU-WAC-CLICK-TTN</t>
  </si>
  <si>
    <t>UNIU-WAC-CLICK-TTN/BLK</t>
  </si>
  <si>
    <t>UNIU-WAC-MPRO-45-BLK</t>
  </si>
  <si>
    <t>UNIU-WAC-MPRO-45-SLV</t>
  </si>
  <si>
    <t>UNIU-WAC-MPRO-49-BLK</t>
  </si>
  <si>
    <t>UNIU-WAC-MPRO-49-TTN</t>
  </si>
  <si>
    <t>VDES-PC-ELPLT-ZFlip4-BLK</t>
  </si>
  <si>
    <t>VDES-PC-ELPLT-ZFlip4-BLU</t>
  </si>
  <si>
    <t>VDES-PC-ELPLT-ZFlip4-GRN</t>
  </si>
  <si>
    <t>VDES-PC-ELPLT-ZFlip4-PRP</t>
  </si>
  <si>
    <t>VDES-PC-ELPLT-ZFlip5-BLK</t>
  </si>
  <si>
    <t>VDES-PC-ELPLT-ZFlip5-BLU</t>
  </si>
  <si>
    <t>VDES-PC-ELPLT-ZFlip5-GRN</t>
  </si>
  <si>
    <t>VDES-PC-ELPLT-ZFlip5-PRP</t>
  </si>
  <si>
    <t>VDES-PC-SGP-ZFlip4-BLK</t>
  </si>
  <si>
    <t>VDES-PC-SGP-ZFlip4-BLU</t>
  </si>
  <si>
    <t>VDES-PC-SGP-ZFlip4-GLD</t>
  </si>
  <si>
    <t>VDES-PC-SGP-ZFlip4-PRP</t>
  </si>
  <si>
    <t>VDES-PC-SGP-ZFlip5-BLK</t>
  </si>
  <si>
    <t>VDES-PC-SGP-ZFlip5-BLU</t>
  </si>
  <si>
    <t>VDES-PC-SGP-ZFlip5-GLD</t>
  </si>
  <si>
    <t>VDES-PC-SGP-ZFlip5-PRP</t>
  </si>
  <si>
    <t>VOE-ACE-HAM-STAND-BLK</t>
  </si>
  <si>
    <t>VOE-ACE-HAM-STAND-BLU</t>
  </si>
  <si>
    <t>VOE-ACE-HAM-STAND-GLS/GRN</t>
  </si>
  <si>
    <t>VOE-ACE-HAM-STAND-LIG/CYA</t>
  </si>
  <si>
    <t>VOE-ACE-HAM-STAND-LIG/PNK</t>
  </si>
  <si>
    <t>VOE-ACE-HAM-STAND-PRP</t>
  </si>
  <si>
    <t>VOE-ACE-HAM-STAND-ROS/RED</t>
  </si>
  <si>
    <t>VOE-ACE-HAM-STAND-TP</t>
  </si>
  <si>
    <t>VOE-ACE-HAM-STAND-WHT</t>
  </si>
  <si>
    <t>VOERO-PC-CUBE-i11-BLU</t>
  </si>
  <si>
    <t>VOERO-PC-CUBE-i11-LAP</t>
  </si>
  <si>
    <t>VOERO-PC-CUBE-i13-NAB</t>
  </si>
  <si>
    <t>VOERO-PC-CUBE-i13Pro-BLK</t>
  </si>
  <si>
    <t>VOERO-PC-CUBE-i13Pro-MNG</t>
  </si>
  <si>
    <t>VOERO-PC-CUBE-i13Pro-NAB</t>
  </si>
  <si>
    <t>VOERO-PC-CUBE-i13ProMax-NAB</t>
  </si>
  <si>
    <t>VOERO-PC-CUBE-i14Pro-BLK</t>
  </si>
  <si>
    <t>VOERO-PC-CUBE-i14ProMax-BLK</t>
  </si>
  <si>
    <t>VOERO-PC-CUBE-i14ProMax-DRK/PRP</t>
  </si>
  <si>
    <t>VOERO-PC-CUBE-iXR-PNK</t>
  </si>
  <si>
    <t>VOERO-PC-CUBE-iXS-RED</t>
  </si>
  <si>
    <t>VOERO-PC-CUBE-iXSMax-RED</t>
  </si>
  <si>
    <t>VOERO-PC-DGLAS-i11-BLK</t>
  </si>
  <si>
    <t>VOERO-PC-DGLAS-i11-GRN</t>
  </si>
  <si>
    <t>VOERO-PC-DGLAS-i11-LIG</t>
  </si>
  <si>
    <t>VOERO-PC-DGLAS-i11-RED</t>
  </si>
  <si>
    <t>VOERO-PC-DGLAS-i11Max-BLK</t>
  </si>
  <si>
    <t>VOERO-PC-DGLAS-i11Max-GRN</t>
  </si>
  <si>
    <t>VOERO-PC-DGLAS-i11Max-LIG</t>
  </si>
  <si>
    <t>VOERO-PC-DGLAS-i11Max-RED</t>
  </si>
  <si>
    <t>VOERO-PC-DGLAS-i11Pro-BLK</t>
  </si>
  <si>
    <t>VOERO-PC-DGLAS-i11Pro-GRN</t>
  </si>
  <si>
    <t>VOERO-PC-DGLAS-i11Pro-LIG</t>
  </si>
  <si>
    <t>VOERO-PC-DGLAS-i11Pro-RED</t>
  </si>
  <si>
    <t>VOERO-PC-DGLAS-i12-BLK</t>
  </si>
  <si>
    <t>VOERO-PC-DGLAS-i12-BLU</t>
  </si>
  <si>
    <t>VOERO-PC-DGLAS-i12-RED</t>
  </si>
  <si>
    <t>VOERO-PC-DGLAS-i12Mini-BLK</t>
  </si>
  <si>
    <t>VOERO-PC-DGLAS-i12Mini-BLU</t>
  </si>
  <si>
    <t>VOERO-PC-DGLAS-i12Mini-RED</t>
  </si>
  <si>
    <t>VOERO-PC-DGLAS-i12Pro-BLK</t>
  </si>
  <si>
    <t>VOERO-PC-DGLAS-i12Pro-BLU</t>
  </si>
  <si>
    <t>VOERO-PC-DGLAS-i12Pro-RED</t>
  </si>
  <si>
    <t>VOERO-PC-DGLAS-i12ProMax-BLK</t>
  </si>
  <si>
    <t>VOERO-PC-DGLAS-i12ProMax-BLU</t>
  </si>
  <si>
    <t>VOERO-PC-DGLAS-i12ProMax-RED</t>
  </si>
  <si>
    <t>VOERO-PC-DGLAS-i13-BLK</t>
  </si>
  <si>
    <t>VOERO-PC-DGLAS-i13-BLU</t>
  </si>
  <si>
    <t>VOERO-PC-DGLAS-i13-MNG</t>
  </si>
  <si>
    <t>VOERO-PC-DGLAS-i13Pro-BLK</t>
  </si>
  <si>
    <t>VOERO-PC-DGLAS-i13Pro-BLU</t>
  </si>
  <si>
    <t>VOERO-PC-DGLAS-i13Pro-MNG</t>
  </si>
  <si>
    <t>VOERO-PC-DGLAS-i13ProMax-BLK</t>
  </si>
  <si>
    <t>VOERO-PC-DGLAS-i13ProMax-BLU</t>
  </si>
  <si>
    <t>VOERO-PC-DGLAS-i13ProMax-MNG</t>
  </si>
  <si>
    <t>VOERO-PC-DGLAS-iSE(22)-BLK</t>
  </si>
  <si>
    <t>VOERO-PC-DGLAS-iSE(22)-GRN</t>
  </si>
  <si>
    <t>VOERO-PC-DGLAS-iSE(22)-RED</t>
  </si>
  <si>
    <t>VOERO-PC-DGLAS-iSE-BLK</t>
  </si>
  <si>
    <t>VOERO-PC-DGLAS-iSE-GRN</t>
  </si>
  <si>
    <t>VOERO-PC-DGLAS-iSE-LIG</t>
  </si>
  <si>
    <t>VOERO-PC-DGLAS-iSE-RED</t>
  </si>
  <si>
    <t>VOERO-PC-DGLAS-iXR-BLK</t>
  </si>
  <si>
    <t>VOERO-PC-DGLAS-iXR-GRN</t>
  </si>
  <si>
    <t>VOERO-PC-DGLAS-iXR-LIG</t>
  </si>
  <si>
    <t>VOERO-PC-DGLAS-iXR-RED</t>
  </si>
  <si>
    <t>VOERO-PC-DGLAS-iXS-BLK</t>
  </si>
  <si>
    <t>VOERO-PC-DGLAS-iXS-GRN</t>
  </si>
  <si>
    <t>VOERO-PC-DGLAS-iXS-LIG</t>
  </si>
  <si>
    <t>VOERO-PC-DGLAS-iXS-RED</t>
  </si>
  <si>
    <t>VOERO-PC-DGLAS-iXsMax-BLK</t>
  </si>
  <si>
    <t>VOERO-PC-DGLAS-iXsMax-GRN</t>
  </si>
  <si>
    <t>VOERO-PC-DGLAS-iXsMax-LIG</t>
  </si>
  <si>
    <t>VOERO-PC-DGLAS-iXsMax-RED</t>
  </si>
  <si>
    <t>VRS-AAC-ACT-APP-BLK</t>
  </si>
  <si>
    <t>VRS-AAC-ACT-APP-BLU</t>
  </si>
  <si>
    <t>VRS-AAC-ACT-APP-GRN</t>
  </si>
  <si>
    <t>VRS-AAC-ACT-APP-RED</t>
  </si>
  <si>
    <t>VRS-AAC-ACT-Airpods3-BLK</t>
  </si>
  <si>
    <t>VRS-AAC-ACT-Airpods3-GRN</t>
  </si>
  <si>
    <t>VRS-AAC-ACT-Airpods3-SST</t>
  </si>
  <si>
    <t>VRS-AAC-ACT-Buds2-BLK</t>
  </si>
  <si>
    <t>VRS-AAC-ACT-Buds2-BLU</t>
  </si>
  <si>
    <t>VRS-AAC-ACT-Buds2-BRZ</t>
  </si>
  <si>
    <t>VRS-AAC-ACT-Buds2-GRN</t>
  </si>
  <si>
    <t>VRS-AAC-ACT-Buds2-PRP</t>
  </si>
  <si>
    <t>VRS-AAC-ACT-Buds2-SLV</t>
  </si>
  <si>
    <t>VRS-AAC-ACT-Buds2-SST</t>
  </si>
  <si>
    <t>VRS-AAC-ACT-Buds2Pro-BLK</t>
  </si>
  <si>
    <t>VRS-AAC-ACT-Buds2Pro-BLU</t>
  </si>
  <si>
    <t>VRS-AAC-ACT-Buds2Pro-BRZ</t>
  </si>
  <si>
    <t>VRS-AAC-ACT-Buds2Pro-GRN</t>
  </si>
  <si>
    <t>VRS-AAC-ACT-Buds2Pro-PRP</t>
  </si>
  <si>
    <t>VRS-AAC-ACT-Buds2Pro-SLV</t>
  </si>
  <si>
    <t>VRS-AAC-ACT-Buds2Pro-SST</t>
  </si>
  <si>
    <t>VRS-AAC-ACT-BudsLive-BLK</t>
  </si>
  <si>
    <t>VRS-AAC-ACT-BudsLive-BLU</t>
  </si>
  <si>
    <t>VRS-AAC-ACT-BudsLive-BRZ</t>
  </si>
  <si>
    <t>VRS-AAC-ACT-BudsLive-GRN</t>
  </si>
  <si>
    <t>VRS-AAC-ACT-BudsLive-PRP</t>
  </si>
  <si>
    <t>VRS-AAC-ACT-BudsLive-SLV</t>
  </si>
  <si>
    <t>VRS-AAC-ACT-BudsLive-SST</t>
  </si>
  <si>
    <t>VRS-AAC-ACT-BudsPro-BLK</t>
  </si>
  <si>
    <t>VRS-AAC-ACT-BudsPro-BLU</t>
  </si>
  <si>
    <t>VRS-AAC-ACT-BudsPro-BRZ</t>
  </si>
  <si>
    <t>VRS-AAC-ACT-BudsPro-GRN</t>
  </si>
  <si>
    <t>VRS-AAC-ACT-BudsPro-PRP</t>
  </si>
  <si>
    <t>VRS-AAC-ACT-BudsPro-SLV</t>
  </si>
  <si>
    <t>VRS-AAC-ACT-BudsPro-SST</t>
  </si>
  <si>
    <t>VRS-AAC-FIT-APP-BLK</t>
  </si>
  <si>
    <t>VRS-AAC-FIT-APP-GRN</t>
  </si>
  <si>
    <t>VRS-AAC-FIT-Airpods3-BLK</t>
  </si>
  <si>
    <t>VRS-AAC-FIT-Airpods3-GRN</t>
  </si>
  <si>
    <t>VRS-AAC-MDN-APP-BLK</t>
  </si>
  <si>
    <t>VRS-AAC-MDN-APP-PEA</t>
  </si>
  <si>
    <t>VRS-AAC-MDN-APP-SST</t>
  </si>
  <si>
    <t>VRS-AAC-MDN-APP-WHT</t>
  </si>
  <si>
    <t>VRS-AAC-MDN-APP2-SST</t>
  </si>
  <si>
    <t>VRS-AAC-MDN-Airpods3-BLK</t>
  </si>
  <si>
    <t>VRS-AAC-MDN-Airpods3-MIN</t>
  </si>
  <si>
    <t>VRS-AAC-MDN-Airpods3-SST</t>
  </si>
  <si>
    <t>VRS-AAC-MDN-Airpods3-WHT</t>
  </si>
  <si>
    <t>VRS-AAC-MDN-Buds2-BLK</t>
  </si>
  <si>
    <t>VRS-AAC-MDN-Buds2-BRZ</t>
  </si>
  <si>
    <t>VRS-AAC-MDN-Buds2-GRN</t>
  </si>
  <si>
    <t>VRS-AAC-MDN-Buds2-LMN</t>
  </si>
  <si>
    <t>VRS-AAC-MDN-Buds2-WHT</t>
  </si>
  <si>
    <t>VRS-AAC-MDN-Buds2Pro-BLK</t>
  </si>
  <si>
    <t>VRS-AAC-MDN-Buds2Pro-BRZ</t>
  </si>
  <si>
    <t>VRS-AAC-MDN-Buds2Pro-GRN</t>
  </si>
  <si>
    <t>VRS-AAC-MDN-Buds2Pro-LMN</t>
  </si>
  <si>
    <t>VRS-AAC-MDN-Buds2Pro-WHT</t>
  </si>
  <si>
    <t>VRS-AAC-MDN-BudsLive-BLK</t>
  </si>
  <si>
    <t>VRS-AAC-MDN-BudsLive-BRZ</t>
  </si>
  <si>
    <t>VRS-AAC-MDN-BudsLive-GRN</t>
  </si>
  <si>
    <t>VRS-AAC-MDN-BudsLive-LMN</t>
  </si>
  <si>
    <t>VRS-AAC-MDN-BudsLive-WHT</t>
  </si>
  <si>
    <t>VRS-AAC-MDN-BudsPro-BLK</t>
  </si>
  <si>
    <t>VRS-AAC-MDN-BudsPro-BRZ</t>
  </si>
  <si>
    <t>VRS-AAC-MDN-BudsPro-GRN</t>
  </si>
  <si>
    <t>VRS-AAC-MDN-BudsPro-LMN</t>
  </si>
  <si>
    <t>VRS-AAC-MDN-BudsPro-WHT</t>
  </si>
  <si>
    <t>VRS-AAC-TGF-APP2-BLK</t>
  </si>
  <si>
    <t>VRS-AAC-TGU-APP2-BLK</t>
  </si>
  <si>
    <t>VRS-AAC-TGU-Buds2-BLK</t>
  </si>
  <si>
    <t>VRS-AAC-TGU-Buds2Pro-BLK</t>
  </si>
  <si>
    <t>VRS-AAC-TGU-BudsLive-BLK</t>
  </si>
  <si>
    <t>VRS-AAC-TGU-BudsPro-BLK</t>
  </si>
  <si>
    <t>VRS-PC-ACT-ZFlip3-BLK</t>
  </si>
  <si>
    <t>VRS-PC-ACT-ZFlip3-GRN</t>
  </si>
  <si>
    <t>VRS-PC-ACT-ZFlip3-MAT/BLK</t>
  </si>
  <si>
    <t>VRS-PC-ACT-ZFlip4-MTL/BLK</t>
  </si>
  <si>
    <t>VRS-PC-ACT-ZFold4-MAT/BLK</t>
  </si>
  <si>
    <t>VRS-PC-AMC-ZFlip3-BLK</t>
  </si>
  <si>
    <t>VRS-PC-AMC-ZFlip3-GRN</t>
  </si>
  <si>
    <t>VRS-PC-AMC-ZFlip3-MAT/BLK</t>
  </si>
  <si>
    <t>VRS-PC-BAR-S22Plus-BLK</t>
  </si>
  <si>
    <t>VRS-PC-BAR-S22Ultra-BLK</t>
  </si>
  <si>
    <t>VRS-PC-BAR-S22Ultra-MTL/BLK</t>
  </si>
  <si>
    <t>VRS-PC-CMP-S20Plus-BLK</t>
  </si>
  <si>
    <t>VRS-PC-CMP-S21Plus-BLK</t>
  </si>
  <si>
    <t>VRS-PC-CMP-S21Ultra-BLK</t>
  </si>
  <si>
    <t>VRS-PC-CMP-i12-BLK</t>
  </si>
  <si>
    <t>VRS-PC-CMP-i12Pro-BLK</t>
  </si>
  <si>
    <t>VRS-PC-CPU-S23Ultra-CLR</t>
  </si>
  <si>
    <t>VRS-PC-CRY-S22-CLR</t>
  </si>
  <si>
    <t>VRS-PC-CRY-S22Ultra-CLR</t>
  </si>
  <si>
    <t>VRS-PC-DGP-Note20-BLO</t>
  </si>
  <si>
    <t>VRS-PC-DGP-Note20Ultra-GGR</t>
  </si>
  <si>
    <t>VRS-PC-DGP-Note20Ultra-GLO</t>
  </si>
  <si>
    <t>VRS-PC-DGP-S20-BLO</t>
  </si>
  <si>
    <t>VRS-PC-DGP-S20Plus-BLO</t>
  </si>
  <si>
    <t>VRS-PC-DGP-S21-BLO</t>
  </si>
  <si>
    <t>VRS-PC-DGP-S21-GLO</t>
  </si>
  <si>
    <t>VRS-PC-DGP-S21-SST</t>
  </si>
  <si>
    <t>VRS-PC-DGP-S21FE-BLO</t>
  </si>
  <si>
    <t>VRS-PC-DGP-S21Plus-GLO</t>
  </si>
  <si>
    <t>VRS-PC-DGP-S21Plus-GNE</t>
  </si>
  <si>
    <t>VRS-PC-DGP-S21Plus-GNT</t>
  </si>
  <si>
    <t>VRS-PC-DGP-S21Plus-SST</t>
  </si>
  <si>
    <t>VRS-PC-DGP-S21Ultra-GLO</t>
  </si>
  <si>
    <t>VRS-PC-DGP-S21Ultra-SST</t>
  </si>
  <si>
    <t>VRS-PC-DGP-S22Plus-BGR</t>
  </si>
  <si>
    <t>VRS-PC-DGP-S22Plus-BLB</t>
  </si>
  <si>
    <t>VRS-PC-DGP-S22Plus-BLO</t>
  </si>
  <si>
    <t>VRS-PC-DGP-S22Plus-MTL/BGR</t>
  </si>
  <si>
    <t>VRS-PC-DGP-S22Plus-SST</t>
  </si>
  <si>
    <t>VRS-PC-DGP-S22Ultra-BLB</t>
  </si>
  <si>
    <t>VRS-PC-DGP-S22Ultra-BLO</t>
  </si>
  <si>
    <t>VRS-PC-DGP-S22Ultra-MTL/BLO</t>
  </si>
  <si>
    <t>VRS-PC-DGP-i12-GLO</t>
  </si>
  <si>
    <t>VRS-PC-DGP-i12-GNE</t>
  </si>
  <si>
    <t>VRS-PC-DGP-i12-GNT</t>
  </si>
  <si>
    <t>VRS-PC-DGP-i12Pro-GLO</t>
  </si>
  <si>
    <t>VRS-PC-DGP-i12Pro-GNE</t>
  </si>
  <si>
    <t>VRS-PC-DGP-i12Pro-GNT</t>
  </si>
  <si>
    <t>VRS-PC-DGP-i12ProMax-GLO</t>
  </si>
  <si>
    <t>VRS-PC-DGP-i13-BGR</t>
  </si>
  <si>
    <t>VRS-PC-DGP-i13-BLO</t>
  </si>
  <si>
    <t>VRS-PC-DGP-i13-MBL</t>
  </si>
  <si>
    <t>VRS-PC-DGP-i13-MTL/BGR</t>
  </si>
  <si>
    <t>VRS-PC-DGP-i13-SST</t>
  </si>
  <si>
    <t>VRS-PC-DGP-i13Pro-BGR</t>
  </si>
  <si>
    <t>VRS-PC-DGP-i13Pro-BLO</t>
  </si>
  <si>
    <t>VRS-PC-DGP-i13Pro-MBL</t>
  </si>
  <si>
    <t>VRS-PC-DGP-i13Pro-MTL/BGR</t>
  </si>
  <si>
    <t>VRS-PC-DGP-i13Pro-SST</t>
  </si>
  <si>
    <t>VRS-PC-DGP-i13ProMax-BGR</t>
  </si>
  <si>
    <t>VRS-PC-DGP-i13ProMax-BLO</t>
  </si>
  <si>
    <t>VRS-PC-DGP-i13ProMax-MBL</t>
  </si>
  <si>
    <t>VRS-PC-DGP-i14Plus-BGR</t>
  </si>
  <si>
    <t>VRS-PC-DGP-i14Pro-BGR</t>
  </si>
  <si>
    <t>VRS-PC-DR(P)-ZFold3-BLK</t>
  </si>
  <si>
    <t>VRS-PC-DR(P)-ZFold3-GRN</t>
  </si>
  <si>
    <t>VRS-PC-DR(P)-ZFold3-MAT/BLK</t>
  </si>
  <si>
    <t>VRS-PC-GUAT-ZFlip4-MTL/BLK</t>
  </si>
  <si>
    <t>VRS-PC-GUAT-ZFold4-MAT/BLK</t>
  </si>
  <si>
    <t>VRS-PC-HYB-Note20-BLK</t>
  </si>
  <si>
    <t>VRS-PC-HYB-Note20-GRN</t>
  </si>
  <si>
    <t>VRS-PC-HYB-Note20-SST</t>
  </si>
  <si>
    <t>VRS-PC-HYB-Note20Ultra-GRN</t>
  </si>
  <si>
    <t>VRS-PC-HYB-S21-BLK</t>
  </si>
  <si>
    <t>VRS-PC-HYB-S21-GRN</t>
  </si>
  <si>
    <t>VRS-PC-HYB-S21-SST</t>
  </si>
  <si>
    <t>VRS-PC-HYB-S21FE-BLK</t>
  </si>
  <si>
    <t>VRS-PC-HYB-S21Plus-BLK</t>
  </si>
  <si>
    <t>VRS-PC-HYB-S21Plus-GRN</t>
  </si>
  <si>
    <t>VRS-PC-HYB-S21Plus-SST</t>
  </si>
  <si>
    <t>VRS-PC-HYB-S21Ultra-BLK</t>
  </si>
  <si>
    <t>VRS-PC-HYB-S21Ultra-GRN</t>
  </si>
  <si>
    <t>VRS-PC-HYB-S21Ultra-SST</t>
  </si>
  <si>
    <t>VRS-PC-HYB-S22Plus-BLK</t>
  </si>
  <si>
    <t>VRS-PC-HYB-S22Plus-SST</t>
  </si>
  <si>
    <t>VRS-PC-HYB-S22Ultra-BLK</t>
  </si>
  <si>
    <t>VRS-PC-HYB-S22Ultra-MTL/BLK</t>
  </si>
  <si>
    <t>VRS-PC-HYB-i12-BLK</t>
  </si>
  <si>
    <t>VRS-PC-HYB-i12-GRN</t>
  </si>
  <si>
    <t>VRS-PC-HYB-i12-SST</t>
  </si>
  <si>
    <t>VRS-PC-HYB-i12Pro-BLK</t>
  </si>
  <si>
    <t>VRS-PC-HYB-i12Pro-GRN</t>
  </si>
  <si>
    <t>VRS-PC-HYB-i12Pro-SST</t>
  </si>
  <si>
    <t>VRS-PC-HYB-i12ProMax-GRN</t>
  </si>
  <si>
    <t>VRS-PC-HYB-i12ProMax-SST</t>
  </si>
  <si>
    <t>VRS-PC-HYB-i13-BLK</t>
  </si>
  <si>
    <t>VRS-PC-HYB-i13-MTL/BLK</t>
  </si>
  <si>
    <t>VRS-PC-HYB-i13-SST</t>
  </si>
  <si>
    <t>VRS-PC-HYB-i13Pro-BLK</t>
  </si>
  <si>
    <t>VRS-PC-HYB-i13Pro-SST</t>
  </si>
  <si>
    <t>VRS-PC-HYB-i14Plus-BGR</t>
  </si>
  <si>
    <t>VRS-PC-MDN-ZFlip3-BLK</t>
  </si>
  <si>
    <t>VRS-PC-MDN-ZFlip3-CLR</t>
  </si>
  <si>
    <t>VRS-PC-MDN-ZFlip3-GRN</t>
  </si>
  <si>
    <t>VRS-PC-MDN-ZFlip3-SST</t>
  </si>
  <si>
    <t>VRS-PC-MDN-ZFold4-MAT/BLK</t>
  </si>
  <si>
    <t>VRS-PC-MIX-S23Ultra-CLR</t>
  </si>
  <si>
    <t>VRS-PC-MMC-ZFlip3-BLK</t>
  </si>
  <si>
    <t>VRS-PC-MMC-ZFlip3-CLR</t>
  </si>
  <si>
    <t>VRS-PC-MMC-ZFlip3-SST</t>
  </si>
  <si>
    <t>VRS-PC-MSC(S)-i14-CLR</t>
  </si>
  <si>
    <t>VRS-PC-MSC(S)-i14Plus-CLR</t>
  </si>
  <si>
    <t>VRS-PC-MSC(S)-i14Pro-CLR</t>
  </si>
  <si>
    <t>VRS-PC-MSC(S)-i14ProMax-CLR</t>
  </si>
  <si>
    <t>VRS-PC-NACT-S23Ultra-MAT/BLK</t>
  </si>
  <si>
    <t>VRS-PC-NACT-S23Ultra-TPR/WHT</t>
  </si>
  <si>
    <t>VRS-PC-NEO-i14Pro-MAT/BLK</t>
  </si>
  <si>
    <t>VRS-PC-NEO-i14Pro-TPR/WHT</t>
  </si>
  <si>
    <t>VRS-PC-NEO-i14ProMax-MAT/BLK</t>
  </si>
  <si>
    <t>VRS-PC-NEO-i14ProMax-TPR/WHT</t>
  </si>
  <si>
    <t>VRS-PC-QS(P)-S21-BLK/BLK</t>
  </si>
  <si>
    <t>VRS-PC-QS(P)-S21-GRN/BLK</t>
  </si>
  <si>
    <t>VRS-PC-QS(P)-S21FE-BLK</t>
  </si>
  <si>
    <t>VRS-PC-QS(P)-S21Plus-GRN/BLK</t>
  </si>
  <si>
    <t>VRS-PC-QS(P)-S21Ultra-BLK/BLK</t>
  </si>
  <si>
    <t>VRS-PC-QS(P)-ZFold3-BLK</t>
  </si>
  <si>
    <t>VRS-PC-QS(P)-ZFold3-GRN</t>
  </si>
  <si>
    <t>VRS-PC-QS(P)-ZFold3-MAT/BLK</t>
  </si>
  <si>
    <t>VRS-PC-QS-i12-BLK/BLK</t>
  </si>
  <si>
    <t>VRS-PC-QS-i12-BLK/BRZ</t>
  </si>
  <si>
    <t>VRS-PC-QS-i12-GRN/BLK</t>
  </si>
  <si>
    <t>VRS-PC-QS-i12-GRN/BRZ</t>
  </si>
  <si>
    <t>VRS-PC-QS-i12Mini-BLK/BRZ</t>
  </si>
  <si>
    <t>VRS-PC-QS-i12Mini-GRN/BLK</t>
  </si>
  <si>
    <t>VRS-PC-QS-i12Pro-BLK/BLK</t>
  </si>
  <si>
    <t>VRS-PC-QS-i12Pro-BLK/BRZ</t>
  </si>
  <si>
    <t>VRS-PC-QS-i12Pro-GRN/BLK</t>
  </si>
  <si>
    <t>VRS-PC-QS-i12Pro-GRN/BRZ</t>
  </si>
  <si>
    <t>VRS-PC-QS-i12ProMax-GRN/BLK</t>
  </si>
  <si>
    <t>VRS-PC-QS-i12ProMax-GRN/BRZ</t>
  </si>
  <si>
    <t>VRS-PC-QSP(MS)-i13-BLK</t>
  </si>
  <si>
    <t>VRS-PC-QSP(MS)-i13ProMax-MTL/BLK</t>
  </si>
  <si>
    <t>VRS-PC-TAG(S)-i14Pro-CLR</t>
  </si>
  <si>
    <t>VRS-PC-TAG(S)-i14ProMax-CLR</t>
  </si>
  <si>
    <t>VRS-PC-TAPO-ZFold4-MAT/BLK</t>
  </si>
  <si>
    <t>VRS-PC-TATS-ZFold4-MAT/BLK</t>
  </si>
  <si>
    <t>VRS-PC-TEG-ZFold4-MAT/BLK</t>
  </si>
  <si>
    <t>VRS-PC-TGM-ZFlip3-LMN</t>
  </si>
  <si>
    <t>VRS-PC-TGM-ZFlip3-MAT/BLK</t>
  </si>
  <si>
    <t>VRS-PC-TGM-ZFlip3-MRI/GRN</t>
  </si>
  <si>
    <t>VRS-PC-TGM-ZFlip3-SND/PNK</t>
  </si>
  <si>
    <t>VRS-PC-TGM-ZFlip3-WHT</t>
  </si>
  <si>
    <t>VRS-PC-TGM-ZFlip4-MIN</t>
  </si>
  <si>
    <t>VRS-PC-TGM-ZFold4-MAT/BLK</t>
  </si>
  <si>
    <t>VRS-PC-TGM-ZFold4-MIN</t>
  </si>
  <si>
    <t>VRS-PC-TRAV-S23Ultra-CRY/BLK</t>
  </si>
  <si>
    <t>VRS-PC-TRAV-S23Ultra-CRY/WHT</t>
  </si>
  <si>
    <t>VRS-PC-TRAV-S23Ultra-MAT/BLK</t>
  </si>
  <si>
    <t>VRS-PC-TRR(S)-ZFold3-DRK/GRN</t>
  </si>
  <si>
    <t>VRS-PC-TRR(S)-ZFold3-MAT/BLK</t>
  </si>
  <si>
    <t>VRS-PC-TRR-ZFlip3-MTL/BLK</t>
  </si>
  <si>
    <t>VRS-PC-TRR-ZFold3-CRM/WHT</t>
  </si>
  <si>
    <t>VRS-PC-TRR-ZFold3-DRK/GRN</t>
  </si>
  <si>
    <t>VRS-PC-TRR-ZFold3-MAT/BLK</t>
  </si>
  <si>
    <t>VRS-PC-TRR-ZFold3-MTL/BLK</t>
  </si>
  <si>
    <t>VRS-PC-UTIS-ZFold4-MAT/BLK</t>
  </si>
  <si>
    <t>XILI-MAC-METAL-Lanyard-BLK</t>
  </si>
  <si>
    <t>XILI-MAC-METAL-Lanyard-RG</t>
  </si>
  <si>
    <t>XILI-MAC-METAL-Lanyard-SLV</t>
  </si>
  <si>
    <t>XILI-MAC-MW-Lanyard-BLK</t>
  </si>
  <si>
    <t>XILI-MAC-MW-Lanyard-BLU</t>
  </si>
  <si>
    <t>XILI-MAC-MW-Lanyard-GRN</t>
  </si>
  <si>
    <t>XILI-MAC-MW-Lanyard-KHA</t>
  </si>
  <si>
    <t>XILI-MAC-MW-Lanyard-RED</t>
  </si>
  <si>
    <t>XILI-MAC-MW-Lanyard-SLV</t>
  </si>
  <si>
    <t>XILI-MAC-NH-Lanyard-BLK</t>
  </si>
  <si>
    <t>XILI-MAC-NH-Lanyard-BLU</t>
  </si>
  <si>
    <t>XILI-MAC-NH-Lanyard-GRN</t>
  </si>
  <si>
    <t>XILI-MAC-NH-Lanyard-KHA</t>
  </si>
  <si>
    <t>XILI-MAC-NH-Lanyard-RED</t>
  </si>
  <si>
    <t>XILI-MAC-NH-Lanyard-SLV</t>
  </si>
  <si>
    <t>XILI-MAC-SK-Lanyard-BLK</t>
  </si>
  <si>
    <t>XILI-MAC-SK-Lanyard-BLU</t>
  </si>
  <si>
    <t>XILI-MAC-SK-Lanyard-GRN</t>
  </si>
  <si>
    <t>XILI-MAC-SK-Lanyard-KHA</t>
  </si>
  <si>
    <t>XILI-MAC-SK-Lanyard-RED</t>
  </si>
  <si>
    <t>XILI-MAC-SK-Lanyard-SLV</t>
  </si>
  <si>
    <t>XINC-LAC-PAD-L9040-BLK</t>
  </si>
  <si>
    <t>XINC-LAC-PAD-L9040-BLU</t>
  </si>
  <si>
    <t>XINC-LAC-PAD-L9040-BRW</t>
  </si>
  <si>
    <t>XINC-LAC-PAD-L9040-GRY</t>
  </si>
  <si>
    <t>XINC-LAC-VERS-Bag/12inch-BLU</t>
  </si>
  <si>
    <t>XINC-LAC-VERS-Bag/12inch-BLU/YLW</t>
  </si>
  <si>
    <t>XINC-LAC-VERS-Bag/12inch-GRY</t>
  </si>
  <si>
    <t>XINC-LAC-VERS-Bag/14inch-BLU</t>
  </si>
  <si>
    <t>XINC-LAC-VERS-Bag/14inch-BLU/YLW</t>
  </si>
  <si>
    <t>XINC-LAC-VERS-Bag/14inch-BRW</t>
  </si>
  <si>
    <t>XINC-LAC-VERS-Bag/14inch-GRY</t>
  </si>
  <si>
    <t>XINC-LAC-VERS-Bag/15.4inch-BLK</t>
  </si>
  <si>
    <t>XINC-LAC-VERS-Bag/15.4inch-BLU/YLW</t>
  </si>
  <si>
    <t>XINC-LAC-VERS-Bag/15.4inch-BRW</t>
  </si>
  <si>
    <t>XINC-LAC-VERS-Bag/15.4inch-GRY</t>
  </si>
  <si>
    <t>XINC-LAC-VERS-Bag/16inch-BLU/YLW</t>
  </si>
  <si>
    <t>XINC-LAC-VERS-Bag/16inch-BRW</t>
  </si>
  <si>
    <t>XINC-LAC-VERS-Bag/16inch-GRY</t>
  </si>
  <si>
    <t>XUND-AAC-BEE-APP-BLK</t>
  </si>
  <si>
    <t>XUND-AAC-BEE-Airpods3-BLK</t>
  </si>
  <si>
    <t>XUND-AAC-BEE-Airpods3-BLU</t>
  </si>
  <si>
    <t>XUND-AAC-BEE-FBuds4-BLK</t>
  </si>
  <si>
    <t>XUND-AAC-BEE-FBuds4-SLV</t>
  </si>
  <si>
    <t>XUND-AAC-GAM-APP2-BLK</t>
  </si>
  <si>
    <t>XUND-AAC-GAM-Airpods3-BLK</t>
  </si>
  <si>
    <t>XUND-AAC-LEINO-AP12-BLK</t>
  </si>
  <si>
    <t>XUND-AAC-LEINO-AP12-MNG</t>
  </si>
  <si>
    <t>XUND-AAC-LEINO-AP12-YLW</t>
  </si>
  <si>
    <t>XUND-AAC-LEINO-APP-BLK</t>
  </si>
  <si>
    <t>XUND-AAC-LEINO-APP-LAP</t>
  </si>
  <si>
    <t>XUND-AAC-LEINO-Airpods3-BLK</t>
  </si>
  <si>
    <t>XUND-AAC-LEINO-Airpods3-BLU</t>
  </si>
  <si>
    <t>XUND-EP-XDHE-010-BLK</t>
  </si>
  <si>
    <t>XUND-EP-XDHE-010-SLV</t>
  </si>
  <si>
    <t>XUND-IC-ALP-Pro11(20)-BLK</t>
  </si>
  <si>
    <t>XUND-IC-ALP-Pro11(20)-GRN</t>
  </si>
  <si>
    <t>XUND-IC-ALP-Pro11(20)-RED</t>
  </si>
  <si>
    <t>XUND-IC-ALP-Pro12.9(20)-BLK</t>
  </si>
  <si>
    <t>XUND-IC-ALP-Pro12.9(20)-GRN</t>
  </si>
  <si>
    <t>XUND-IC-ALP-Pro12.9(20)-RED</t>
  </si>
  <si>
    <t>XUND-IC-ALP-iPad7(10.2)-GRN</t>
  </si>
  <si>
    <t>XUND-IC-ALP-iPad8(10.2)-GRN</t>
  </si>
  <si>
    <t>XUND-IC-ALP-iPad9(10.2)-GRN</t>
  </si>
  <si>
    <t>XUND-IC-BEE-Air3/Pro10.5-BLK</t>
  </si>
  <si>
    <t>XUND-IC-BEE-Air5/10.9-BLK</t>
  </si>
  <si>
    <t>XUND-IC-BEE-Air5/10.9-BLU</t>
  </si>
  <si>
    <t>XUND-IC-BEE-Air5/10.9-MNG</t>
  </si>
  <si>
    <t>XUND-IC-BEE-Mini4/5-BLK</t>
  </si>
  <si>
    <t>XUND-IC-BEE-Mini4/5-BLU</t>
  </si>
  <si>
    <t>XUND-IC-BEE-Mini6-BLK</t>
  </si>
  <si>
    <t>XUND-IC-BEE-Mini6-BLU</t>
  </si>
  <si>
    <t>XUND-IC-BEE-Pro11(18)-BLK</t>
  </si>
  <si>
    <t>XUND-IC-BEE-Pro11(18)-BLU</t>
  </si>
  <si>
    <t>XUND-IC-BEE-Pro11(18)-MNG</t>
  </si>
  <si>
    <t>XUND-IC-BEE-Pro11(20)-BLK</t>
  </si>
  <si>
    <t>XUND-IC-BEE-Pro11(20)-BLU</t>
  </si>
  <si>
    <t>XUND-IC-BEE-Pro11(20)-MNG</t>
  </si>
  <si>
    <t>XUND-IC-BEE-Pro11(21)-BLK</t>
  </si>
  <si>
    <t>XUND-IC-BEE-Pro11(21)-BLU</t>
  </si>
  <si>
    <t>XUND-IC-BEE-Pro11(21)-MNG</t>
  </si>
  <si>
    <t>XUND-IC-BEE-Pro11(22)-BLK</t>
  </si>
  <si>
    <t>XUND-IC-BEE-Pro11(22)-BLU</t>
  </si>
  <si>
    <t>XUND-IC-BEE-Pro11(22)-MNG</t>
  </si>
  <si>
    <t>XUND-IC-BEE-Pro12.9(18)-BLK</t>
  </si>
  <si>
    <t>XUND-IC-BEE-Pro12.9(18)-BLU</t>
  </si>
  <si>
    <t>XUND-IC-BEE-Pro12.9(18)-MNG</t>
  </si>
  <si>
    <t>XUND-IC-BEE-Pro12.9(20)-BLK</t>
  </si>
  <si>
    <t>XUND-IC-BEE-Pro12.9(20)-BLU</t>
  </si>
  <si>
    <t>XUND-IC-BEE-Pro12.9(20)-MNG</t>
  </si>
  <si>
    <t>XUND-IC-BEE-Pro12.9(21)-BLK</t>
  </si>
  <si>
    <t>XUND-IC-BEE-Pro12.9(21)-BLU</t>
  </si>
  <si>
    <t>XUND-IC-BEE-Pro12.9(21)-MNG</t>
  </si>
  <si>
    <t>XUND-IC-BEE-Pro12.9(22)-BLK</t>
  </si>
  <si>
    <t>XUND-IC-BEE-Pro12.9(22)-BLU</t>
  </si>
  <si>
    <t>XUND-IC-BEE-Pro12.9(22)-MNG</t>
  </si>
  <si>
    <t>XUND-IC-BEE-XMPad5-BLK</t>
  </si>
  <si>
    <t>XUND-IC-BEE-iPad10/10.9-BLK</t>
  </si>
  <si>
    <t>XUND-IC-BEE-iPadAir4(10.9)-BLK</t>
  </si>
  <si>
    <t>XUND-IC-BEE-iPadAir4(10.9)-BLU</t>
  </si>
  <si>
    <t>XUND-IC-BEE-iPadAir4(10.9)-MNG</t>
  </si>
  <si>
    <t>XUND-IC-BELEA-Pro11(20)-BLK</t>
  </si>
  <si>
    <t>XUND-IC-BELEA-Pro11(20)-BLU</t>
  </si>
  <si>
    <t>XUND-IC-BELEA-iPad7/10.2-BLU</t>
  </si>
  <si>
    <t>XUND-IC-BELEA-iPad8(10.2)-BLU</t>
  </si>
  <si>
    <t>XUND-IC-BELEA-iPad9.7(17/18)-RG</t>
  </si>
  <si>
    <t>XUND-IC-BELEA-iPad9/10.2-BLU</t>
  </si>
  <si>
    <t>XUND-IC-BEST-Mini6-MNG</t>
  </si>
  <si>
    <t>XUND-IC-BEST-Pro12.9(20)-BLK</t>
  </si>
  <si>
    <t>XUND-IC-BEST-Pro12.9(21)-BLK</t>
  </si>
  <si>
    <t>XUND-IC-BEST-Pro12.9(22)-BLK</t>
  </si>
  <si>
    <t>XUND-IC-BEST-iPad10/10.9-BLK</t>
  </si>
  <si>
    <t>XUND-IC-BLEA(N)-Air4/10.9-BLK</t>
  </si>
  <si>
    <t>XUND-IC-BLEA(N)-Air4/10.9-GRN</t>
  </si>
  <si>
    <t>XUND-IC-BLEA(N)-Air4/10.9-PNK</t>
  </si>
  <si>
    <t>XUND-IC-BLEA(N)-Air5/10.9-BLK</t>
  </si>
  <si>
    <t>XUND-IC-BLEA(N)-Air5/10.9-GRN</t>
  </si>
  <si>
    <t>XUND-IC-BLEA(N)-Air5/10.9-PNK</t>
  </si>
  <si>
    <t>XUND-IC-BLEA(N)-Mini6-BLK</t>
  </si>
  <si>
    <t>XUND-IC-BLEA(N)-Mini6-GRN</t>
  </si>
  <si>
    <t>XUND-IC-BLEA(N)-Mini6-PNK</t>
  </si>
  <si>
    <t>XUND-IC-BLEA(N)-Mini6-PRP</t>
  </si>
  <si>
    <t>XUND-IC-BLEA(N)-Pro11(18)-BLK</t>
  </si>
  <si>
    <t>XUND-IC-BLEA(N)-Pro11(18)-GRN</t>
  </si>
  <si>
    <t>XUND-IC-BLEA(N)-Pro11(18)-PRP</t>
  </si>
  <si>
    <t>XUND-IC-BLEA(N)-Pro11(20)-BLK</t>
  </si>
  <si>
    <t>XUND-IC-BLEA(N)-Pro11(20)-GRN</t>
  </si>
  <si>
    <t>XUND-IC-BLEA(N)-Pro11(20)-PRP</t>
  </si>
  <si>
    <t>XUND-IC-BLEA(N)-Pro11(21)-BLK</t>
  </si>
  <si>
    <t>XUND-IC-BLEA(N)-Pro11(21)-GRN</t>
  </si>
  <si>
    <t>XUND-IC-BLEA(N)-Pro11(21)-PRP</t>
  </si>
  <si>
    <t>XUND-IC-BLEA(N)-Pro11(22)-BLK</t>
  </si>
  <si>
    <t>XUND-IC-BLEA(N)-Pro11(22)-GRN</t>
  </si>
  <si>
    <t>XUND-IC-BLEA(N)-Pro11(22)-PRP</t>
  </si>
  <si>
    <t>XUND-IC-BLEA(N)-XMPad5-BLK</t>
  </si>
  <si>
    <t>XUND-IC-DREAM-Mini6-BLK</t>
  </si>
  <si>
    <t>XUND-IC-DREAM-Mini6-MNG</t>
  </si>
  <si>
    <t>XUND-IC-DREAM-Pro11(18)-BLK</t>
  </si>
  <si>
    <t>XUND-IC-DREAM-Pro11(18)-MNG</t>
  </si>
  <si>
    <t>XUND-IC-DREAM-Pro11(20)-BLK</t>
  </si>
  <si>
    <t>XUND-IC-DREAM-Pro11(20)-MNG</t>
  </si>
  <si>
    <t>XUND-IC-DREAM-Pro11(21)-BLK</t>
  </si>
  <si>
    <t>XUND-IC-DREAM-Pro11(21)-MNG</t>
  </si>
  <si>
    <t>XUND-IC-DREAM-Pro11(22)-BLK</t>
  </si>
  <si>
    <t>XUND-IC-DREAM-Pro11(22)-MNG</t>
  </si>
  <si>
    <t>XUND-IC-DREAM-Pro12.9(18)-BLK</t>
  </si>
  <si>
    <t>XUND-IC-DREAM-Pro12.9(20)-BLK</t>
  </si>
  <si>
    <t>XUND-IC-DREAM-Pro12.9(21)-BLK</t>
  </si>
  <si>
    <t>XUND-IC-DREAM-Pro12.9(22)-BLK</t>
  </si>
  <si>
    <t>XUND-IC-DREAM-iPad7/10.2-MNG</t>
  </si>
  <si>
    <t>XUND-IC-DREAM-iPad8/10.2-MNG</t>
  </si>
  <si>
    <t>XUND-IC-DREAM-iPad9/10.2-MNG</t>
  </si>
  <si>
    <t>XUND-IC-MFL-Air4/10.9-BLK</t>
  </si>
  <si>
    <t>XUND-IC-MFL-Air4/10.9-BLU</t>
  </si>
  <si>
    <t>XUND-IC-MFL-Air5/10.9-BLK</t>
  </si>
  <si>
    <t>XUND-IC-MFL-Air5/10.9-BLU</t>
  </si>
  <si>
    <t>XUND-IC-MFL-iPad7/10.2-BLU</t>
  </si>
  <si>
    <t>XUND-IC-MFL-iPad8/10.2-BLU</t>
  </si>
  <si>
    <t>XUND-IC-MFL-iPad9/10.2-BLU</t>
  </si>
  <si>
    <t>XUND-IC-MILI-Pro11(20)-MNG</t>
  </si>
  <si>
    <t>XUND-IC-MILI-Pro11(21)-MNG</t>
  </si>
  <si>
    <t>XUND-IC-MILI-Pro12.9(20)-BLK</t>
  </si>
  <si>
    <t>XUND-IC-MILI-Pro12.9(20)-MNG</t>
  </si>
  <si>
    <t>XUND-IC-MILI-Pro12.9(21)-BLK</t>
  </si>
  <si>
    <t>XUND-IC-MILI-Pro12.9(21)-MNG</t>
  </si>
  <si>
    <t>XUND-IC-PTOM-Pro12.9(20)-BLK</t>
  </si>
  <si>
    <t>XUND-IC-PTOM-Pro12.9(20)-MNG</t>
  </si>
  <si>
    <t>XUND-IC-PTOM-iPad7(10.2)-MNG</t>
  </si>
  <si>
    <t>XUND-IC-PTOM-iPad8(10.2)-MNG</t>
  </si>
  <si>
    <t>XUND-IC-PTOM-iPad9(10.2)-MNG</t>
  </si>
  <si>
    <t>XUND-MAGIC8Pro-BLK</t>
  </si>
  <si>
    <t>XUND-MAGIC8Pro-BLK(MS)</t>
  </si>
  <si>
    <t>XUND-MAGIC8Pro-BLK(RING)</t>
  </si>
  <si>
    <t>XUND-PC-BEE(B)-i13-BLK</t>
  </si>
  <si>
    <t>XUND-PC-BEE(B)-i13-BLU</t>
  </si>
  <si>
    <t>XUND-PC-BEE(B)-i13-TP</t>
  </si>
  <si>
    <t>XUND-PC-BEE(B)-i13Mini-BLK</t>
  </si>
  <si>
    <t>XUND-PC-BEE(B)-i13Mini-BLU</t>
  </si>
  <si>
    <t>XUND-PC-BEE(B)-i14-BLK</t>
  </si>
  <si>
    <t>XUND-PC-BEE(B)-i14Plus-BLK</t>
  </si>
  <si>
    <t>XUND-PC-BEE(B)-i14Plus-BLU</t>
  </si>
  <si>
    <t>XUND-PC-BEE(B)-i14Pro-BLK</t>
  </si>
  <si>
    <t>XUND-PC-BEE(B)-i14ProMax-BLU</t>
  </si>
  <si>
    <t>XUND-PC-BEE-A54-BLK</t>
  </si>
  <si>
    <t>XUND-PC-BEE-A92-BLK</t>
  </si>
  <si>
    <t>XUND-PC-BEE-HONOR400-BLK</t>
  </si>
  <si>
    <t>XUND-PC-BEE-HONOR400PRO-BLK</t>
  </si>
  <si>
    <t>XUND-PC-BEE-Honor50-BLK</t>
  </si>
  <si>
    <t>XUND-PC-BEE-Honor50Lite-BLK</t>
  </si>
  <si>
    <t>XUND-PC-BEE-Honor50Pro-BLK</t>
  </si>
  <si>
    <t>XUND-PC-BEE-HonorX7a-BLK</t>
  </si>
  <si>
    <t>XUND-PC-BEE-Magic5-LAS/BLK</t>
  </si>
  <si>
    <t>XUND-PC-BEE-Magic5Pro-LAS/BLK</t>
  </si>
  <si>
    <t>XUND-PC-BEE-Mate50-BLK</t>
  </si>
  <si>
    <t>XUND-PC-BEE-Mi11-BLK</t>
  </si>
  <si>
    <t>XUND-PC-BEE-NoPhone1-BLK</t>
  </si>
  <si>
    <t>XUND-PC-BEE-Nova8i-BLK</t>
  </si>
  <si>
    <t>XUND-PC-BEE-ROG6-BLK</t>
  </si>
  <si>
    <t>XUND-PC-BEE-ROG6Pro-BLK</t>
  </si>
  <si>
    <t>XUND-PC-BEE-ROG7-BLK</t>
  </si>
  <si>
    <t>XUND-PC-BEE-Realme8/4G-BLK</t>
  </si>
  <si>
    <t>XUND-PC-BEE-Realme8/5G-BLK</t>
  </si>
  <si>
    <t>XUND-PC-BEE-Realme8Pro/4G-BLK</t>
  </si>
  <si>
    <t>XUND-PC-BEE-RedmiK30P-BLK</t>
  </si>
  <si>
    <t>XUND-PC-BEE-Reno7Pro/5G-BLK</t>
  </si>
  <si>
    <t>XUND-PC-BEE-S-A53/5G-BLK</t>
  </si>
  <si>
    <t>XUND-PC-BEE-S21Plus-BLK</t>
  </si>
  <si>
    <t>XUND-PC-BEE-S21Ultra-BLK</t>
  </si>
  <si>
    <t>XUND-PC-BEE-S23-BLK</t>
  </si>
  <si>
    <t>XUND-PC-BEE-V21e-BLK</t>
  </si>
  <si>
    <t>XUND-PC-BEE-XM11T-BLK</t>
  </si>
  <si>
    <t>XUND-PC-BEE-XM11TPro-BLK</t>
  </si>
  <si>
    <t>XUND-PC-BEE-XM12-BLK</t>
  </si>
  <si>
    <t>XUND-PC-BEE-XM12Pro-BLK</t>
  </si>
  <si>
    <t>XUND-PC-BEE-XM12T-BLK</t>
  </si>
  <si>
    <t>XUND-PC-BEE-XM13-BLK</t>
  </si>
  <si>
    <t>XUND-PC-BEE-XM13Pro-BLK</t>
  </si>
  <si>
    <t>XUND-PC-BEER(B)-i13-BLK</t>
  </si>
  <si>
    <t>XUND-PC-BEER(B)-i13-BLU</t>
  </si>
  <si>
    <t>XUND-PC-BEER(B)-i13-TP</t>
  </si>
  <si>
    <t>XUND-PC-BEER(B)-i13Mini-BLK</t>
  </si>
  <si>
    <t>XUND-PC-BEER(B)-i13Mini-BLU</t>
  </si>
  <si>
    <t>XUND-PC-BEER(B)-i14-BLK</t>
  </si>
  <si>
    <t>XUND-PC-BEER(B)-i14Plus-BLK</t>
  </si>
  <si>
    <t>XUND-PC-BEER(B)-i14Pro-BLK</t>
  </si>
  <si>
    <t>XUND-PC-BEER-1+10Pro-BLK</t>
  </si>
  <si>
    <t>XUND-PC-BEER-1+10T-BLK</t>
  </si>
  <si>
    <t>XUND-PC-BEER-A54-BLK</t>
  </si>
  <si>
    <t>XUND-PC-BEER-A92-BLK</t>
  </si>
  <si>
    <t>XUND-PC-BEER-BShark5-BLK</t>
  </si>
  <si>
    <t>XUND-PC-BEER-BShark5Pro-BLK</t>
  </si>
  <si>
    <t>XUND-PC-BEER-Honor50-BLK</t>
  </si>
  <si>
    <t>XUND-PC-BEER-Honor50Lite-BLK</t>
  </si>
  <si>
    <t>XUND-PC-BEER-Honor50Pro-BLK</t>
  </si>
  <si>
    <t>XUND-PC-BEER-Mi11-BLK</t>
  </si>
  <si>
    <t>XUND-PC-BEER-NoPhone1-BLK</t>
  </si>
  <si>
    <t>XUND-PC-BEER-Nova8i-BLK</t>
  </si>
  <si>
    <t>XUND-PC-BEER-Nova9-BLK</t>
  </si>
  <si>
    <t>XUND-PC-BEER-PocoF4GT-BLK</t>
  </si>
  <si>
    <t>XUND-PC-BEER-PocoM4Pro-BLK</t>
  </si>
  <si>
    <t>XUND-PC-BEER-RMNote10/4G-BLK</t>
  </si>
  <si>
    <t>XUND-PC-BEER-RMNote10Pro/4G-BLK</t>
  </si>
  <si>
    <t>XUND-PC-BEER-RMNote10s/4G-BLK</t>
  </si>
  <si>
    <t>XUND-PC-BEER-RMNote11/4G-BLK</t>
  </si>
  <si>
    <t>XUND-PC-BEER-RMNote11s/4G-BLK</t>
  </si>
  <si>
    <t>XUND-PC-BEER-ROG6-BLK</t>
  </si>
  <si>
    <t>XUND-PC-BEER-ROG6Pro-BLK</t>
  </si>
  <si>
    <t>XUND-PC-BEER-Realme8/4G-BLK</t>
  </si>
  <si>
    <t>XUND-PC-BEER-Realme8/5G-BLK</t>
  </si>
  <si>
    <t>XUND-PC-BEER-Realme8Pro/4G-BLK</t>
  </si>
  <si>
    <t>XUND-PC-BEER-RedmiK30P-BLK</t>
  </si>
  <si>
    <t>XUND-PC-BEER-Reno6Z/5G-BLK</t>
  </si>
  <si>
    <t>XUND-PC-BEER-Reno7Pro/5G-BLK</t>
  </si>
  <si>
    <t>XUND-PC-BEER-Reno8-BLK</t>
  </si>
  <si>
    <t>XUND-PC-BEER-Reno8Pro-BLK</t>
  </si>
  <si>
    <t>XUND-PC-BEER-S-A53/5G-BLK</t>
  </si>
  <si>
    <t>XUND-PC-BEER-S21Plus-BLK</t>
  </si>
  <si>
    <t>XUND-PC-BEER-S22Ultra-BLK</t>
  </si>
  <si>
    <t>XUND-PC-BEER-S23-BLK</t>
  </si>
  <si>
    <t>XUND-PC-BEER-S23Plus-BLK</t>
  </si>
  <si>
    <t>XUND-PC-BEER-V21e-BLK</t>
  </si>
  <si>
    <t>XUND-PC-BEER-X80Pro-BLK</t>
  </si>
  <si>
    <t>XUND-PC-BEER-XM11T-BLK</t>
  </si>
  <si>
    <t>XUND-PC-BEER-XM11TPro-BLK</t>
  </si>
  <si>
    <t>XUND-PC-BEER-XM12-BLK</t>
  </si>
  <si>
    <t>XUND-PC-MEN-i14-BLK</t>
  </si>
  <si>
    <t>XUND-PC-MEN-i14-GRN</t>
  </si>
  <si>
    <t>XUND-PC-MEN-i14Plus-BLK</t>
  </si>
  <si>
    <t>XUND-PC-MEN-i14Plus-GRN</t>
  </si>
  <si>
    <t>XUND-PC-MEN-i14Pro-BLK</t>
  </si>
  <si>
    <t>XUND-PC-MEN-i14Pro-GRN</t>
  </si>
  <si>
    <t>XUND-PC-TPU(MS)-i14-TP</t>
  </si>
  <si>
    <t>XUND-PC-TPU(MS)-i14Plus-TP</t>
  </si>
  <si>
    <t>XUND-PC-TPU(MS)-i14Pro-TP</t>
  </si>
  <si>
    <t>XUND-PC-TPU(MS)-i14ProMax-TP</t>
  </si>
  <si>
    <t>XUND-SP-Air3(10.5)-CLR</t>
  </si>
  <si>
    <t>XUND-SP-Air4(10.9)-BR</t>
  </si>
  <si>
    <t>XUND-SP-Air4(10.9)-CLR</t>
  </si>
  <si>
    <t>XUND-SP-Air5/10.9-BR</t>
  </si>
  <si>
    <t>XUND-SP-Air5/10.9-CLR</t>
  </si>
  <si>
    <t>XUND-SP-Mini45-CLR</t>
  </si>
  <si>
    <t>XUND-SP-Mini6-BR</t>
  </si>
  <si>
    <t>XUND-SP-Mini6-CLR</t>
  </si>
  <si>
    <t>XUND-SP-Pro11(20)-BR</t>
  </si>
  <si>
    <t>XUND-SP-Pro11(20)-CLR</t>
  </si>
  <si>
    <t>XUND-SP-Pro11(21)-BR</t>
  </si>
  <si>
    <t>XUND-SP-Pro11(21)-CLR</t>
  </si>
  <si>
    <t>XUND-SP-Pro11(22)-BR</t>
  </si>
  <si>
    <t>XUND-SP-Pro11(22)-CLR</t>
  </si>
  <si>
    <t>XUND-SP-Pro12.9(18)-BR</t>
  </si>
  <si>
    <t>XUND-SP-Pro12.9(18)-CLR</t>
  </si>
  <si>
    <t>XUND-SP-Pro12.9(20)-BR</t>
  </si>
  <si>
    <t>XUND-SP-Pro12.9(20)-CLR</t>
  </si>
  <si>
    <t>XUND-SP-Pro12.9(21)-BR</t>
  </si>
  <si>
    <t>XUND-SP-Pro12.9(21)-CLR</t>
  </si>
  <si>
    <t>XUND-SP-Pro12.9(22)-BR</t>
  </si>
  <si>
    <t>XUND-SP-Pro12.9(22)-CLR</t>
  </si>
  <si>
    <t>XUND-SP-iPad10(10.9)-CLR</t>
  </si>
  <si>
    <t>XUND-SP-iPad7(10.2)-CLR</t>
  </si>
  <si>
    <t>XUND-SP-iPad7/10.2-BR</t>
  </si>
  <si>
    <t>XUND-SP-iPad8(10.2)-CLR</t>
  </si>
  <si>
    <t>XUND-SP-iPad8/10.2-BR</t>
  </si>
  <si>
    <t>XUND-SP-iPad9(10.2)-CLR</t>
  </si>
  <si>
    <t>XUND-SP-iPad9/10.2-BR</t>
  </si>
  <si>
    <t>XUND-WAC-H38-BLK</t>
  </si>
  <si>
    <t>XUND-WAC-H38-GRY</t>
  </si>
  <si>
    <t>XUND-WAC-H42- GRY</t>
  </si>
  <si>
    <t>XUND-WTF-Air2/9.7-MAT</t>
  </si>
  <si>
    <t>XUND-WTF-Air3/10.5-MAT</t>
  </si>
  <si>
    <t>XUND-WTF-Mini4-MAT</t>
  </si>
  <si>
    <t>XUND-WTF-Mini5-MAT</t>
  </si>
  <si>
    <t>XUND-WTF-Mini6-MAT</t>
  </si>
  <si>
    <t>XUND-WTF-Pro10.5-MAT</t>
  </si>
  <si>
    <t>XUND-WTF-Pro9.7-MAT</t>
  </si>
  <si>
    <t>XUND-WTF-iPad10/10.9-MAT</t>
  </si>
  <si>
    <t>XUND-WTF-iPad7/10.2-MAT</t>
  </si>
  <si>
    <t>XUND-WTF-iPad8/10.2-MAT</t>
  </si>
  <si>
    <t>XUND-WTF-iPad9.7(17)-MAT</t>
  </si>
  <si>
    <t>XUND-WTF-iPad9.7(18)-MAT</t>
  </si>
  <si>
    <t>XUND-WTF-iPad9/10.2-MAT</t>
  </si>
  <si>
    <t>YOYO-ACE-AIR/STARS-AirTag-4PACK</t>
  </si>
  <si>
    <t>YOYO-ACE-AIR/STARS-AirTag-BLK</t>
  </si>
  <si>
    <t>YOYO-ACE-AIR/STARS-AirTag-BLU</t>
  </si>
  <si>
    <t>YOYO-ACE-AIR/STARS-AirTag-PRP</t>
  </si>
  <si>
    <t>YOYO-ACE-AIR/STARS-AirTag-YLW</t>
  </si>
  <si>
    <t>YOYO-IC-AIR/RUN-Air11(2024)-BLK</t>
  </si>
  <si>
    <t>YOYO-IC-AIR/RUN-Air11(2024)-PRP</t>
  </si>
  <si>
    <t>YOYO-IC-AIR/RUN-Pro11(2024)-BLK</t>
  </si>
  <si>
    <t>YOYO-IC-AIR/RUN-Pro11(2024)-PRP</t>
  </si>
  <si>
    <t>YOYO-LANY-AIR/VOU-BLK/BLK</t>
  </si>
  <si>
    <t>YOYO-LANY-AIR/VOU-BLK/SLV</t>
  </si>
  <si>
    <t>YOYO-LANY-AIR/VOU-PRP</t>
  </si>
  <si>
    <t>YOYO-LANY-AIR/VOU-YLW</t>
  </si>
  <si>
    <t>ZFRI-CL-CLGOR-i13-SLV</t>
  </si>
  <si>
    <t>ZFRI-CL-CLGOR-i13Pro-BLU</t>
  </si>
  <si>
    <t>ZFRI-CL-CLGOR-i14-SLV</t>
  </si>
  <si>
    <t>ZFRI-CL-CLGOR-i14Pro-BLK</t>
  </si>
  <si>
    <t>ZFRI-CL-CLGOR-i14Pro-PRP</t>
  </si>
  <si>
    <t>ZFRI-CL-CLGOR-i14Pro-SLV</t>
  </si>
  <si>
    <t>ZFRI-CL-CLGOR-i15-BLK</t>
  </si>
  <si>
    <t>ZFRI-CL-CLGOR-i15Pro-TTN/BLK</t>
  </si>
  <si>
    <t>ZFRI-CL-CLGOR-i15Pro-TTN/NT</t>
  </si>
  <si>
    <t>ZFRI-CL-CLGOR-i15Pro-TTN/SLV</t>
  </si>
  <si>
    <t>ZFRI-CL-CLGOR-i16-BLK</t>
  </si>
  <si>
    <t>ZFRI-CL-CLGOR-i16-SLV</t>
  </si>
  <si>
    <t>ZFRI-CL-CLGOR-i16Pro-SLV</t>
  </si>
  <si>
    <t>ZFRI-CL-CLGOR-i16Pro-TTN/BLK</t>
  </si>
  <si>
    <t>ZFRI-CL-CLGOR-i16Pro-TTN/DST</t>
  </si>
  <si>
    <t>ZFRI-CL-CLGOR-i17-BLK</t>
  </si>
  <si>
    <t>ZFRI-CL-CLGOR-i17-SLV</t>
  </si>
  <si>
    <t>ZFRI-CL-CLGOR-i17Air-BLK</t>
  </si>
  <si>
    <t>ZFRI-CL-CLGOR-i17Air-BLU</t>
  </si>
  <si>
    <t>ZFRI-CL-CLGOR-i17Air-SLV</t>
  </si>
  <si>
    <t>ZFRI-CL-CLGOR-iP16E-BLK</t>
  </si>
  <si>
    <t>ZFRI-CL-CLGOR-iP16E-SLV</t>
  </si>
  <si>
    <t>ZFRI-CL-FULLG-17Pro-BLU</t>
  </si>
  <si>
    <t>ZFRI-CL-FULLG-17Pro-ORG</t>
  </si>
  <si>
    <t>ZFRI-CL-FULLG-17Pro-SLV</t>
  </si>
  <si>
    <t>ZFRI-CL-FULLG-17ProMax-BLU</t>
  </si>
  <si>
    <t>ZFRI-CL-FULLG-17ProMax-ORG</t>
  </si>
  <si>
    <t>ZFRI-CL-FULLG-17ProMax-SLV</t>
  </si>
  <si>
    <t>ZFRI-CL-HAWK-i11-BLK</t>
  </si>
  <si>
    <t>ZFRI-CL-HAWK-i11-BLU</t>
  </si>
  <si>
    <t>ZFRI-CL-HAWK-i11-WHT</t>
  </si>
  <si>
    <t>ZFRI-CL-HAWK-i12Pro-PCF</t>
  </si>
  <si>
    <t>ZFRI-CL-HAWK-i12Pro-SLV</t>
  </si>
  <si>
    <t>ZFRI-CL-HAWK-i12ProMax-GRA</t>
  </si>
  <si>
    <t>ZFRI-CL-HAWK-i12ProMax-PCF</t>
  </si>
  <si>
    <t>ZFRI-LC-MbookAir/13(12-17)-CLR</t>
  </si>
  <si>
    <t>ZFRI-LC-MbookAir/13(20)-PNK</t>
  </si>
  <si>
    <t>ZFRI-LC-MbookAir/15(23)-BLK</t>
  </si>
  <si>
    <t>ZFRI-LC-MbookNEO-BLK</t>
  </si>
  <si>
    <t>ZFRI-LC-MbookNEO-CLR</t>
  </si>
  <si>
    <t>ZFRI-LC-MbookNEO-PNK</t>
  </si>
  <si>
    <t>ZFRI-LC-MbookNEO-YLW</t>
  </si>
  <si>
    <t>ZFRI-LC-MbookPro/13(20)-PNK</t>
  </si>
  <si>
    <t>ZFRI-LC-MbookPro/14(2021)-CLR</t>
  </si>
  <si>
    <t>ZFRI-LC-MbookPro/16(2021)-BLK</t>
  </si>
  <si>
    <t>ZFRI-PLATEAU-17Pro</t>
  </si>
  <si>
    <t>ZFRI-PLATEAU-17ProMax</t>
  </si>
  <si>
    <t>ZFRI-SP-3D-i11/XR-CLR</t>
  </si>
  <si>
    <t>ZFRI-SP-3D-i11/XR-PVC</t>
  </si>
  <si>
    <t>ZFRI-SP-3D-i11Max-PVC</t>
  </si>
  <si>
    <t>ZFRI-SP-3D-i11Pro-CLR</t>
  </si>
  <si>
    <t>ZFRI-SP-3D-i11Pro-PVC</t>
  </si>
  <si>
    <t>ZFRI-SP-3D-i12-CLR</t>
  </si>
  <si>
    <t>ZFRI-SP-3D-i12Mini-CLR</t>
  </si>
  <si>
    <t>ZFRI-SP-3D-i12Mini-PVC</t>
  </si>
  <si>
    <t>ZFRI-SP-3D-i12ProMax-CLR</t>
  </si>
  <si>
    <t>ZFRI-SP-3D-i12ProMax-PVC</t>
  </si>
  <si>
    <t>ZFRI-SP-3D-i13-CLR</t>
  </si>
  <si>
    <t>ZFRI-SP-3D-i13-PVC</t>
  </si>
  <si>
    <t>ZFRI-SP-3D-i13Mini-CLR</t>
  </si>
  <si>
    <t>ZFRI-SP-3D-i13Mini-PVC</t>
  </si>
  <si>
    <t>ZFRI-SP-3D-i13ProMax-CLR</t>
  </si>
  <si>
    <t>ZFRI-SP-3D-i13ProMax-PVC</t>
  </si>
  <si>
    <t>ZFRI-SP-3D-iX/XS-CLR</t>
  </si>
  <si>
    <t>ZFRI-SP-3D-iX/XS-PVC</t>
  </si>
  <si>
    <t>ZFRI-SP-3D-iXSMax-CLR</t>
  </si>
  <si>
    <t>ZFRI-SP-3D-iXSMax-PVC</t>
  </si>
  <si>
    <t>ZFRI-SP-GOR-i17-CLR</t>
  </si>
  <si>
    <t>ZFRI-SP-GOR-i17-PVC</t>
  </si>
  <si>
    <t>ZFRI-SP-GOR-i17Air-PVC</t>
  </si>
  <si>
    <t>ZFRI-SP-GTM-i11Pro-CLR</t>
  </si>
  <si>
    <t>ZFRI-SP-GTM-i11ProMax-CLR</t>
  </si>
  <si>
    <t>ZFRI-SP-GTM-i12-CLR</t>
  </si>
  <si>
    <t>ZFRI-SP-GTM-i12ProMax-CLR</t>
  </si>
  <si>
    <t>ZFRI-SP-GTM-i13-CLR</t>
  </si>
  <si>
    <t>ZFRI-SP-GTM-i13ProMax-CLR</t>
  </si>
  <si>
    <t>ZFRI-SP-GTM-i14Pro-CLR</t>
  </si>
  <si>
    <t>ZFRI-SP-GTM-i14ProMax-CLR</t>
  </si>
  <si>
    <t>ZFRI-SP-GTM-iXR-CLR</t>
  </si>
  <si>
    <t>ZFRI-SP-GTM-iXS-CLR</t>
  </si>
  <si>
    <t>ZFRI-SP-GTM-iXSMax-CLR</t>
  </si>
  <si>
    <t>ZFRI-SP-HD-Mini6-CLR</t>
  </si>
  <si>
    <t>ZFRI-SP-HD-Pro10.5-CLR</t>
  </si>
  <si>
    <t>ZFRI-SP-HD-i12ProMax-CLR</t>
  </si>
  <si>
    <t>ZFRI-SP-MAGI-i11Pro-PVC</t>
  </si>
  <si>
    <t>ZFRI-SP-MAGI-i11ProMax-PVC</t>
  </si>
  <si>
    <t>ZFRI-SP-MAGI-i12-PVC</t>
  </si>
  <si>
    <t>ZFRI-SP-MAGI-i12ProMax-PVC</t>
  </si>
  <si>
    <t>ZFRI-SP-MAGI-i13-PVC</t>
  </si>
  <si>
    <t>ZFRI-SP-MAGI-i13ProMax-PVC</t>
  </si>
  <si>
    <t>ZFRI-SP-MAGI-i14Pro-PVC</t>
  </si>
  <si>
    <t>ZFRI-SP-MAGI-i14ProMax-PVC</t>
  </si>
  <si>
    <t>ZFRI-SP-MAGI-iXR-PVC</t>
  </si>
  <si>
    <t>ZFRI-SP-MAGI-iXS-PVC</t>
  </si>
  <si>
    <t>ZFRI-SP-MAGI-iXSMax-PVC</t>
  </si>
  <si>
    <t>ZFRI-SP-SILK(MOB)-i12-CLR</t>
  </si>
  <si>
    <t>ZFRI-SP-SILK(MOB)-i12-PVC</t>
  </si>
  <si>
    <t>ZFRI-SP-SILK(MOB)-i12ProMax-CLR</t>
  </si>
  <si>
    <t>ZFRI-SP-SILK(MOB)-i12ProMax-PVC</t>
  </si>
  <si>
    <t>ZFRI-SP-SILK(MOB)-i13-CLR</t>
  </si>
  <si>
    <t>ZFRI-SP-SILK(MOB)-i13-PVC</t>
  </si>
  <si>
    <t>ZFRI-SP-SILK(MOB)-i13ProMax-CLR</t>
  </si>
  <si>
    <t>ZFRI-SP-SILK(MOB)-i13ProMax-PVC</t>
  </si>
  <si>
    <t>ZFRI-SP-SILK(MOB)-i14Pro-CLR</t>
  </si>
  <si>
    <t>ZFRI-SP-SILK(MOB)-i14Pro-PVC</t>
  </si>
  <si>
    <t>ZFRI-SP-SILK(MOB)-i14ProMax-CLR</t>
  </si>
  <si>
    <t>ZFRI-SP-SILK(MOB)-i14ProMax-PVC</t>
  </si>
  <si>
    <t>ZFRI-SP-SILK(MOB)-i15-CLR</t>
  </si>
  <si>
    <t>ZFRI-SP-SILK(MOB)-i15-PVC</t>
  </si>
  <si>
    <t>ZFRI-SP-SILK(MOB)-i15Plus-CLR</t>
  </si>
  <si>
    <t>ZFRI-SP-SILK(MOB)-i15Plus-PVC</t>
  </si>
  <si>
    <t>ZFRI-SP-SILK(MOB)-i15Pro-CLR</t>
  </si>
  <si>
    <t>ZFRI-SP-SILK(MOB)-i15Pro-PVC</t>
  </si>
  <si>
    <t>ZFRI-SP-SILK(MOB)-i15ProMax-CLR</t>
  </si>
  <si>
    <t>ZFRI-SP-SILK(MOB)-i15ProMax-PVC</t>
  </si>
  <si>
    <t>ZFRI-SP-SILK(MOB)-i16Pro-PVC</t>
  </si>
  <si>
    <t>ZFRI-SP-SILK(MOB)-i16ProMax-CLR</t>
  </si>
  <si>
    <t>ZFRI-SP-SILK(MOB)-i16ProMax-PVC</t>
  </si>
  <si>
    <t>ZFRI-SP-SILK(MOB)-iXR-CLR</t>
  </si>
  <si>
    <t>ZFRI-SP-SILK(MOB)-iXR-PVC</t>
  </si>
  <si>
    <t>ZFRI-SP-SOL-i11Pro-MAT</t>
  </si>
  <si>
    <t>ZFRI-SP-SOL-i11ProMax-MAT</t>
  </si>
  <si>
    <t>ZFRI-SP-SOL-i12-MAT</t>
  </si>
  <si>
    <t>ZFRI-SP-SOL-i12ProMax-MAT</t>
  </si>
  <si>
    <t>ZFRI-SP-SOL-i13-MAT</t>
  </si>
  <si>
    <t>ZFRI-SP-SOL-i13ProMax-MAT</t>
  </si>
  <si>
    <t>ZFRI-SP-SOL-i14Pro-MAT</t>
  </si>
  <si>
    <t>ZFRI-SP-SOL-i14ProMax-MAT</t>
  </si>
  <si>
    <t>ZFRI-SP-SOL-iXR-MAT</t>
  </si>
  <si>
    <t>ZFRI-SP-SOL-iXS-MAT</t>
  </si>
  <si>
    <t>ZFRI-SP-SOL-iXSMax-MAT</t>
  </si>
  <si>
    <t>ZFRI-SP-XGO-i12-CLR</t>
  </si>
  <si>
    <t>ZFRI-SP-XGO-i12-PVC</t>
  </si>
  <si>
    <t>ZFRI-SP-XGO-i12ProMax-CLR</t>
  </si>
  <si>
    <t>ZFRI-SP-XGO-i12ProMax-PVC</t>
  </si>
  <si>
    <t>ZFRI-SP-XGO-i13-PVC</t>
  </si>
  <si>
    <t>ZFRI-SP-XGO-i13ProMax-CLR</t>
  </si>
  <si>
    <t>ZFRI-SP-XGO-i14Pro-CLR</t>
  </si>
  <si>
    <t>ZFRI-SP-XGO-i14Pro-PVC</t>
  </si>
  <si>
    <t>ZFRI-SP-XGO-i14ProMax-CLR</t>
  </si>
  <si>
    <t>ZFRI-SP-XGO-i14ProMax-PVC</t>
  </si>
  <si>
    <t>ZFRI-SP-XGO-i15-CLR</t>
  </si>
  <si>
    <t>ZFRI-SP-XGO-i15-PVC</t>
  </si>
  <si>
    <t>ZFRI-SP-XGO-i15Plus-CLR</t>
  </si>
  <si>
    <t>ZFRI-SP-XGO-i15Plus-PVC</t>
  </si>
  <si>
    <t>ZFRI-SP-XGO-i15Pro-CLR</t>
  </si>
  <si>
    <t>ZFRI-SP-XGO-i15Pro-PVC</t>
  </si>
  <si>
    <t>ZFRI-SP-XGO-i15ProMax-CLR</t>
  </si>
  <si>
    <t>ZFRI-SP-XGO-i15ProMax-PVC</t>
  </si>
  <si>
    <t>ZFRI-SP-XGO-i16Pro-CLR</t>
  </si>
  <si>
    <t>ZFRI-SP-XGO-i16Pro-PVC</t>
  </si>
  <si>
    <t>ZFRI-SP-XGO-i16ProMax-CLR</t>
  </si>
  <si>
    <t>ZFRI-SP-XGO-i16ProMax-PVC</t>
  </si>
  <si>
    <t>ZFRI-SP-XGO-i17-CLR</t>
  </si>
  <si>
    <t>ZFRI-SP-XGO-i17-PVC</t>
  </si>
  <si>
    <t>ZFRI-SP-XGO-i17Air-CLR</t>
  </si>
  <si>
    <t>ZFRI-SP-XGO-i17Air-PVC</t>
  </si>
  <si>
    <t>ZFRI-SP-XGO-i17Pro-PVC</t>
  </si>
  <si>
    <t>ZFRI-SP-XGO-i17ProMax-CLR</t>
  </si>
  <si>
    <t>ZFRI-WAC-CUBE(C)-40-OIL/BLK</t>
  </si>
  <si>
    <t>ZFRI-WAC-CUBE(C)-40-OIL/BLU</t>
  </si>
  <si>
    <t>ZFRI-WAC-CUBE(C)-40-PLT/BLU</t>
  </si>
  <si>
    <t>ZFRI-WAC-CUBE(C)-40-PLT/RG</t>
  </si>
  <si>
    <t>ZFRI-WAC-CUBE(C)-41-OIL/BLK</t>
  </si>
  <si>
    <t>ZFRI-WAC-CUBE(C)-41-OIL/BLU</t>
  </si>
  <si>
    <t>ZFRI-WAC-CUBE(C)-41-PLT/BLK</t>
  </si>
  <si>
    <t>ZFRI-WAC-CUBE(C)-41-PLT/BLU</t>
  </si>
  <si>
    <t>ZFRI-WAC-CUBE(C)-41-TPR</t>
  </si>
  <si>
    <t>ZFRI-WAC-CUBE(C)-44-OIL/BLK</t>
  </si>
  <si>
    <t>ZFRI-WAC-CUBE(C)-44-OIL/BLU</t>
  </si>
  <si>
    <t>ZFRI-WAC-CUBE(C)-44-PLT/BLK</t>
  </si>
  <si>
    <t>ZFRI-WAC-CUBE(C)-44-PLT/BLU</t>
  </si>
  <si>
    <t>ZFRI-WAC-CUBE(C)-44-PLT/RG</t>
  </si>
  <si>
    <t>ZFRI-WAC-CUBE(C)-45-OIL/BLK</t>
  </si>
  <si>
    <t>ZFRI-WAC-CUBE(C)-45-OIL/BLU</t>
  </si>
  <si>
    <t>ZFRI-WAC-CUBE(C)-45-PLT/BLK</t>
  </si>
  <si>
    <t>ZFRI-WAC-CUBE(C)-45-PLT/BLU</t>
  </si>
  <si>
    <t>ZFRI-WAC-CUBE(C)-45-PLT/RG</t>
  </si>
  <si>
    <t>ZFRI-WAC-CUBE(C)-45-TPR</t>
  </si>
  <si>
    <t>ZFRI-WAC-CUBE(C)-49-PLT/BLK</t>
  </si>
  <si>
    <t>ZFRI-WAC-CUBE(C)-49-TPR</t>
  </si>
  <si>
    <t>ZFRI-WAC-DC(S)-38/40/41-BLU/BLK</t>
  </si>
  <si>
    <t>ZFRI-WAC-DC(S)-38/40/41-ORG/BLK</t>
  </si>
  <si>
    <t>ZFRI-WAC-DC(S)-38/40/41-RED/BLK</t>
  </si>
  <si>
    <t>ZFRI-WAC-DC(S)-42/44/45-BLK/BLU</t>
  </si>
  <si>
    <t>ZFRI-WAC-DC(S)-42/44/45-BLU/BLK</t>
  </si>
  <si>
    <t>ZFRI-WAC-DC(S)-42/44/45-ORG/BLK</t>
  </si>
  <si>
    <t>ZFRI-WAC-DC(S)-42/44/45-RED/BLK</t>
  </si>
  <si>
    <t>ZFRI-WAC-DOCO(C)-40-CLR/BLK</t>
  </si>
  <si>
    <t>ZFRI-WAC-DOCO(C)-41-CLR/BLK</t>
  </si>
  <si>
    <t>ZFRI-WAC-DOCO(C)-44-CLR/BLK</t>
  </si>
  <si>
    <t>ZFRI-WAC-DOCO(C)-44-CLR/BLU</t>
  </si>
  <si>
    <t>ZFRI-WAC-DOCO(C)-44-CLR/MIB</t>
  </si>
  <si>
    <t>ZFRI-WAC-DOCO(C)-44-DRK/BLK</t>
  </si>
  <si>
    <t>ZFRI-WAC-DOCO(C)-45-CLR/BLK</t>
  </si>
  <si>
    <t>ZFRI-WAC-DOCO(C)-45-CLR/BLU</t>
  </si>
  <si>
    <t>ZFRI-WAC-DOCO(C)-45-CLR/MIB</t>
  </si>
  <si>
    <t>ZFRI-WAC-DOCO(C)-45-DRK/BLK</t>
  </si>
  <si>
    <t>ZFRI-WAC-OBO(C)-40-BLK</t>
  </si>
  <si>
    <t>ZFRI-WAC-OBO(C)-40-BLU</t>
  </si>
  <si>
    <t>ZFRI-WAC-OBO(C)-40-GRN</t>
  </si>
  <si>
    <t>ZFRI-WAC-OBO(C)-40-TPR</t>
  </si>
  <si>
    <t>ZFRI-WAC-OBO(C)-40-WHT</t>
  </si>
  <si>
    <t>ZFRI-WAC-OBO(C)-41-BLK</t>
  </si>
  <si>
    <t>ZFRI-WAC-OBO(C)-41-BLU</t>
  </si>
  <si>
    <t>ZFRI-WAC-OBO(C)-41-GRN</t>
  </si>
  <si>
    <t>ZFRI-WAC-OBO(C)-41-TPR</t>
  </si>
  <si>
    <t>ZFRI-WAC-OBO(C)-44-BLK</t>
  </si>
  <si>
    <t>ZFRI-WAC-OBO(C)-44-BLU</t>
  </si>
  <si>
    <t>ZFRI-WAC-OBO(C)-44-GRN</t>
  </si>
  <si>
    <t>ZFRI-WAC-OBO(C)-44-PNK</t>
  </si>
  <si>
    <t>ZFRI-WAC-OBO(C)-44-WHT</t>
  </si>
  <si>
    <t>ZFRI-WAC-OBO(C)-45-BLK</t>
  </si>
  <si>
    <t>ZFRI-WAC-OBO(C)-45-BLU</t>
  </si>
  <si>
    <t>ZFRI-WAC-OBO(C)-45-GRN</t>
  </si>
  <si>
    <t>ZFRI-WAC-OBO(C)-45-PNK</t>
  </si>
  <si>
    <t>ZFRI-WAC-OBO(C)-45-TPR</t>
  </si>
  <si>
    <t>ZFRI-WAC-PRIME(C)-40-BLK</t>
  </si>
  <si>
    <t>ZFRI-WAC-PRIME(C)-41-BLK</t>
  </si>
  <si>
    <t>ZFRI-WAC-PRIME(C)-41-BLU</t>
  </si>
  <si>
    <t>ZFRI-WAC-PRIME(C)-41-GRN</t>
  </si>
  <si>
    <t>ZFRI-WAC-PRIME(C)-44-BLK</t>
  </si>
  <si>
    <t>ZFRI-WAC-PRIME(C)-44-BLU</t>
  </si>
  <si>
    <t>ZFRI-WAC-PRIME(C)-44-GRN</t>
  </si>
  <si>
    <t>ZFRI-WAC-PRIME(C)-45-BLK</t>
  </si>
  <si>
    <t>ZFRI-WAC-PRIME(C)-45-BLU</t>
  </si>
  <si>
    <t>ZFRI-WAC-PRIME(C)-45-GRN</t>
  </si>
  <si>
    <t>ZFRI-WAC-PRIME(C)-49-BLK</t>
  </si>
  <si>
    <t>ZFRI-WAC-PRIME(C)-49-GRN</t>
  </si>
  <si>
    <t>iPKY-PC-BRIG-S23Ultra-BLK</t>
  </si>
  <si>
    <t>iPKY-PC-BRIG-S23Ultra-GRN</t>
  </si>
  <si>
    <t>iPKY-PC-CARB-i12-BLK</t>
  </si>
  <si>
    <t>iPKY-PC-CARB-i12Mini-BLK</t>
  </si>
  <si>
    <t>iPKY-PC-CARB-i12Pro-BLK</t>
  </si>
  <si>
    <t>iPKY-PC-CARB-i12ProMax-BLK</t>
  </si>
  <si>
    <t>iPKY-PC-CARB-i13-BLK</t>
  </si>
  <si>
    <t>iPKY-PC-CARB-i13-BLU</t>
  </si>
  <si>
    <t>iPKY-PC-CARB-i13Mini-BLK</t>
  </si>
  <si>
    <t>iPKY-PC-CARB-i13Mini-BLU</t>
  </si>
  <si>
    <t>iPKY-PC-CARB-i13Pro-BLK</t>
  </si>
  <si>
    <t>iPKY-PC-CARB-i13Pro-BLU</t>
  </si>
  <si>
    <t>iPKY-PC-CARB-i13ProMax-BLK</t>
  </si>
  <si>
    <t>iPKY-PC-CARB-i13ProMax-BLU</t>
  </si>
  <si>
    <t>iPKY-PC-COL-i11-BLK</t>
  </si>
  <si>
    <t>iPKY-PC-COL-i11-GRN</t>
  </si>
  <si>
    <t>iPKY-PC-COL-i11-PRP</t>
  </si>
  <si>
    <t>iPKY-PC-COL-i11-RED</t>
  </si>
  <si>
    <t>iPKY-PC-COL-i11-TP</t>
  </si>
  <si>
    <t>iPKY-PC-COL-i11Max-BLK</t>
  </si>
  <si>
    <t>iPKY-PC-COL-i11Max-GRN</t>
  </si>
  <si>
    <t>iPKY-PC-COL-i11Max-PRP</t>
  </si>
  <si>
    <t>iPKY-PC-COL-i11Max-RED</t>
  </si>
  <si>
    <t>iPKY-PC-COL-i11Max-TP</t>
  </si>
  <si>
    <t>iPKY-PC-COL-i11Pro-BLK</t>
  </si>
  <si>
    <t>iPKY-PC-COL-i11Pro-GRN</t>
  </si>
  <si>
    <t>iPKY-PC-COL-i11Pro-PRP</t>
  </si>
  <si>
    <t>iPKY-PC-COL-i11Pro-RED</t>
  </si>
  <si>
    <t>iPKY-PC-COL-i11Pro-TP</t>
  </si>
  <si>
    <t>iPKY-PC-COL-i12-BLK</t>
  </si>
  <si>
    <t>iPKY-PC-COL-i12-BLU</t>
  </si>
  <si>
    <t>iPKY-PC-COL-i12-GRN</t>
  </si>
  <si>
    <t>iPKY-PC-COL-i12-RED</t>
  </si>
  <si>
    <t>iPKY-PC-COL-i12-TP</t>
  </si>
  <si>
    <t>iPKY-PC-COL-i12Mini-BLK</t>
  </si>
  <si>
    <t>iPKY-PC-COL-i12Mini-BLU</t>
  </si>
  <si>
    <t>iPKY-PC-COL-i12Mini-GRN</t>
  </si>
  <si>
    <t>iPKY-PC-COL-i12Mini-RED</t>
  </si>
  <si>
    <t>iPKY-PC-COL-i12Mini-TP</t>
  </si>
  <si>
    <t>iPKY-PC-COL-i12Pro-BLK</t>
  </si>
  <si>
    <t>iPKY-PC-COL-i12Pro-BLU</t>
  </si>
  <si>
    <t>iPKY-PC-COL-i12Pro-GRN</t>
  </si>
  <si>
    <t>iPKY-PC-COL-i12Pro-RED</t>
  </si>
  <si>
    <t>iPKY-PC-COL-i12Pro-TP</t>
  </si>
  <si>
    <t>iPKY-PC-COL-i12ProMax-BLK</t>
  </si>
  <si>
    <t>iPKY-PC-COL-i12ProMax-BLU</t>
  </si>
  <si>
    <t>iPKY-PC-COL-i12ProMax-GRN</t>
  </si>
  <si>
    <t>iPKY-PC-COL-i12ProMax-RED</t>
  </si>
  <si>
    <t>iPKY-PC-COL-i12ProMax-TP</t>
  </si>
  <si>
    <t>iPKY-PC-COL-i13-BLK</t>
  </si>
  <si>
    <t>iPKY-PC-COL-i13-BLU</t>
  </si>
  <si>
    <t>iPKY-PC-COL-i13-TP</t>
  </si>
  <si>
    <t>iPKY-PC-COL-i13Mini-BLK</t>
  </si>
  <si>
    <t>iPKY-PC-COL-i13Mini-BLU</t>
  </si>
  <si>
    <t>iPKY-PC-COL-i13Mini-TP</t>
  </si>
  <si>
    <t>iPKY-PC-COL-i13Pro-BLK</t>
  </si>
  <si>
    <t>iPKY-PC-COL-i13Pro-BLU</t>
  </si>
  <si>
    <t>iPKY-PC-COL-i13Pro-TP</t>
  </si>
  <si>
    <t>iPKY-PC-COL-i13ProMax-BLK</t>
  </si>
  <si>
    <t>iPKY-PC-COL-i13ProMax-BLU</t>
  </si>
  <si>
    <t>iPKY-PC-COL-i13ProMax-TP</t>
  </si>
  <si>
    <t>iPKY-PC-COL-iXR-BLK</t>
  </si>
  <si>
    <t>iPKY-PC-COL-iXR-RED</t>
  </si>
  <si>
    <t>iPKY-PC-COL-iXR-TP</t>
  </si>
  <si>
    <t>iPKY-PC-COL-iXS-BLK</t>
  </si>
  <si>
    <t>iPKY-PC-COL-iXS-RED</t>
  </si>
  <si>
    <t>iPKY-PC-COL-iXS-TP</t>
  </si>
  <si>
    <t>iPKY-PC-COL-iXSMax-BLK</t>
  </si>
  <si>
    <t>iPKY-PC-COL-iXSMax-RED</t>
  </si>
  <si>
    <t>iPKY-PC-COL-iXSMax-TP</t>
  </si>
  <si>
    <t>iPKY-PC-CROWN-i13-BLK/BLK</t>
  </si>
  <si>
    <t>iPKY-PC-CROWN-i13-BLK/RED</t>
  </si>
  <si>
    <t>iPKY-PC-CROWN-i13Mini-BLK/BLK</t>
  </si>
  <si>
    <t>iPKY-PC-CROWN-i13Mini-BLK/RED</t>
  </si>
  <si>
    <t>iPKY-PC-CROWN-i13Pro-BLK/BLK</t>
  </si>
  <si>
    <t>iPKY-PC-CROWN-i13Pro-BLK/RED</t>
  </si>
  <si>
    <t>iPKY-PC-CROWN-i13ProMax-BLK/BLK</t>
  </si>
  <si>
    <t>iPKY-PC-CROWN-i13ProMax-BLK/RED</t>
  </si>
  <si>
    <t>iPKY-PC-CYBE-i14-BLK</t>
  </si>
  <si>
    <t>iPKY-PC-CYBE-i14-BLU</t>
  </si>
  <si>
    <t>iPKY-PC-CYBE-i14-MAC/GRN</t>
  </si>
  <si>
    <t>iPKY-PC-CYBE-i14-PRP</t>
  </si>
  <si>
    <t>iPKY-PC-CYBE-i14Plus-BLK</t>
  </si>
  <si>
    <t>iPKY-PC-CYBE-i14Plus-BLU</t>
  </si>
  <si>
    <t>iPKY-PC-CYBE-i14Plus-MAC/GRN</t>
  </si>
  <si>
    <t>iPKY-PC-CYBE-i14Plus-PRP</t>
  </si>
  <si>
    <t>iPKY-PC-CYBE-i14Pro-BLK</t>
  </si>
  <si>
    <t>iPKY-PC-CYBE-i14Pro-BLU</t>
  </si>
  <si>
    <t>iPKY-PC-CYBE-i14Pro-MAC/GRN</t>
  </si>
  <si>
    <t>iPKY-PC-CYBE-i14Pro-PRP</t>
  </si>
  <si>
    <t>iPKY-PC-CYBE-i14ProMax-BLK</t>
  </si>
  <si>
    <t>iPKY-PC-CYBE-i14ProMax-BLU</t>
  </si>
  <si>
    <t>iPKY-PC-CYBE-i14ProMax-MAC/GRN</t>
  </si>
  <si>
    <t>iPKY-PC-CYBE-i14ProMax-PRP</t>
  </si>
  <si>
    <t>iPKY-PC-GUARD-S23Ultra-BLK</t>
  </si>
  <si>
    <t>iPKY-PC-GUARD-S23Ultra-GRN</t>
  </si>
  <si>
    <t>iPKY-PC-MAIC-i14-BLK</t>
  </si>
  <si>
    <t>iPKY-PC-MAIC-i14-BLU</t>
  </si>
  <si>
    <t>iPKY-PC-MAIC-i14-MAC/GRN</t>
  </si>
  <si>
    <t>iPKY-PC-MAIC-i14-PRP</t>
  </si>
  <si>
    <t>iPKY-PC-MAIC-i14Plus-BLK</t>
  </si>
  <si>
    <t>iPKY-PC-MAIC-i14Plus-BLU</t>
  </si>
  <si>
    <t>iPKY-PC-MAIC-i14Plus-MAC/GRN</t>
  </si>
  <si>
    <t>iPKY-PC-MAIC-i14Plus-PRP</t>
  </si>
  <si>
    <t>iPKY-PC-MAIC-i14Pro-BLK</t>
  </si>
  <si>
    <t>iPKY-PC-MAIC-i14Pro-BLU</t>
  </si>
  <si>
    <t>iPKY-PC-MAIC-i14Pro-MAC/GRN</t>
  </si>
  <si>
    <t>iPKY-PC-MAIC-i14Pro-PRP</t>
  </si>
  <si>
    <t>iPKY-PC-MAIC-i14ProMax-BLK</t>
  </si>
  <si>
    <t>iPKY-PC-MAIC-i14ProMax-BLU</t>
  </si>
  <si>
    <t>iPKY-PC-MAIC-i14ProMax-MAC/GRN</t>
  </si>
  <si>
    <t>iPKY-PC-MAIC-i14ProMax-PRP</t>
  </si>
  <si>
    <t>iPKY-PC-MCC-i14-BLK</t>
  </si>
  <si>
    <t>iPKY-PC-MCC-i14Plus-BLK</t>
  </si>
  <si>
    <t>iPKY-PC-MCC-i14Pro-BLK</t>
  </si>
  <si>
    <t>iPKY-PC-MCC-i14ProMax-BLK</t>
  </si>
  <si>
    <t>iPKY-PC-ROYAL-S23Ultra-BLK</t>
  </si>
  <si>
    <t>iPKY-PC-ROYAL-S23Ultra-GRN</t>
  </si>
  <si>
    <t>iPKY-PC-STDY-S23Ultra-CLR</t>
  </si>
  <si>
    <t>Confirmed OK</t>
  </si>
  <si>
    <t>Confirmed Good — Remove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</si>
</sst>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4" x14ac:knownFonts="1">
    <font>
      <sz val="11"/>
      <color theme="1"/>
      <name val="Calibri"/>
      <family val="2"/>
      <charset val="1"/>
    </font>
    <font>
      <sz val="10"/>
      <name val="Arial"/>
      <family val="2"/>
    </font>
    <font>
      <b/>
      <sz val="16"/>
      <name val="Arial"/>
      <family val="2"/>
    </font>
    <font>
      <sz val="10"/>
      <name val="Arial"/>
      <family val="2"/>
    </font>
    <font>
      <b/>
      <sz val="14"/>
      <name val="Arial"/>
      <family val="2"/>
    </font>
    <font>
      <b/>
      <sz val="11"/>
      <name val="Arial"/>
      <family val="2"/>
    </font>
    <font>
      <sz val="11"/>
      <color rgb="FF0000FF"/>
      <name val="Arial"/>
      <family val="2"/>
    </font>
    <font>
      <sz val="11"/>
      <color rgb="FF000000"/>
      <name val="Arial"/>
      <family val="2"/>
    </font>
    <font>
      <b/>
      <sz val="11"/>
      <color rgb="FFFFFFFF"/>
      <name val="Arial"/>
      <family val="2"/>
    </font>
    <font>
      <b/>
      <sz val="12"/>
      <name val="Arial"/>
      <family val="2"/>
    </font>
    <font>
      <i/>
      <sz val="9"/>
      <name val="Arial"/>
      <family val="2"/>
    </font>
    <font>
      <i/>
      <sz val="10"/>
      <name val="Arial"/>
      <family val="2"/>
    </font>
    <font>
      <b/>
      <sz val="11"/>
      <color rgb="FF1F4E78"/>
      <name val="Arial"/>
      <family val="2"/>
    </font>
    <font>
      <b/>
      <sz val="11"/>
      <color rgb="FFC00000"/>
      <name val="Arial"/>
      <family val="2"/>
    </font>
    <font>
      <i/>
      <sz val="11"/>
      <name val="Arial"/>
      <family val="2"/>
    </font>
    <font>
      <sz val="11"/>
      <name val="Arial"/>
      <family val="2"/>
    </font>
    <font>
      <i/>
      <sz val="9"/>
      <color rgb="FF9C5700"/>
      <name val="Arial"/>
      <family val="2"/>
    </font>
    <font>
      <b/>
      <sz val="9"/>
      <name val="Arial"/>
      <family val="2"/>
    </font>
    <font>
      <sz val="9"/>
      <name val="Arial"/>
      <family val="2"/>
    </font>
    <font>
      <b/>
      <sz val="10"/>
      <name val="Arial"/>
      <family val="2"/>
    </font>
    <font>
      <sz val="11"/>
      <color rgb="FFC00000"/>
      <name val="Arial"/>
      <family val="2"/>
    </font>
    <font>
      <i/>
      <sz val="9"/>
      <color rgb="FF808080"/>
      <name val="Arial"/>
      <family val="2"/>
    </font>
    <font>
      <b/>
      <i/>
      <sz val="9"/>
      <name val="Arial"/>
      <family val="2"/>
    </font>
    <font>
      <sz val="10"/>
      <color theme="1"/>
      <name val="Arial"/>
      <family val="2"/>
    </font>
  </fonts>
  <fills count="12">
    <fill>
      <patternFill patternType="none"/>
    </fill>
    <fill>
      <patternFill patternType="gray125"/>
    </fill>
    <fill>
      <patternFill patternType="solid">
        <fgColor rgb="FF1F4E78"/>
        <bgColor rgb="FF2F5F8F"/>
      </patternFill>
    </fill>
    <fill>
      <patternFill patternType="solid">
        <fgColor rgb="FFD9E1F2"/>
        <bgColor rgb="FFD9D9D9"/>
      </patternFill>
    </fill>
    <fill>
      <patternFill patternType="solid">
        <fgColor rgb="FFFFF2CC"/>
        <bgColor rgb="FFE2EFDA"/>
      </patternFill>
    </fill>
    <fill>
      <patternFill patternType="solid">
        <fgColor rgb="FF2F5F8F"/>
        <bgColor rgb="FF1F4E78"/>
      </patternFill>
    </fill>
    <fill>
      <patternFill patternType="solid">
        <fgColor rgb="FFFFFF00"/>
        <bgColor rgb="FFFFFF00"/>
      </patternFill>
    </fill>
    <fill>
      <patternFill patternType="solid">
        <fgColor rgb="FFC6EFCE"/>
        <bgColor rgb="FFE2EFDA"/>
      </patternFill>
    </fill>
    <fill>
      <patternFill patternType="solid">
        <fgColor rgb="FFE2EFDA"/>
        <bgColor rgb="FFD9E1F2"/>
      </patternFill>
    </fill>
    <fill>
      <patternFill patternType="solid">
        <fgColor rgb="FFFFEB9C"/>
        <bgColor rgb="FFFFF2CC"/>
      </patternFill>
    </fill>
    <fill>
      <patternFill patternType="solid">
        <fgColor rgb="FFD9D9D9"/>
        <bgColor rgb="FFD9E1F2"/>
      </patternFill>
    </fill>
    <fill>
      <patternFill patternType="solid">
        <fgColor rgb="FFFFC7CE"/>
        <bgColor rgb="FFD9D9D9"/>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80">
    <xf numFmtId="0" fontId="0" fillId="0" borderId="0" xfId="0"/>
    <xf numFmtId="0" fontId="16" fillId="0" borderId="0" xfId="0" applyFont="1"/>
    <xf numFmtId="0" fontId="7" fillId="0" borderId="0" xfId="0" applyFont="1"/>
    <xf numFmtId="0" fontId="18" fillId="0" borderId="0" xfId="0" applyFont="1"/>
    <xf numFmtId="0" fontId="14" fillId="0" borderId="0" xfId="0" applyFont="1"/>
    <xf numFmtId="0" fontId="8" fillId="2" borderId="0" xfId="0" applyFont="1" applyFill="1"/>
    <xf numFmtId="0" fontId="0" fillId="0" borderId="0" xfId="0"/>
    <xf numFmtId="0" fontId="10"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1" xfId="0" applyFont="1" applyFill="1" applyBorder="1" applyAlignment="1">
      <alignment horizontal="center"/>
    </xf>
    <xf numFmtId="0" fontId="0" fillId="0" borderId="1" xfId="0" applyBorder="1"/>
    <xf numFmtId="4" fontId="0" fillId="0" borderId="1" xfId="0" applyNumberFormat="1" applyBorder="1"/>
    <xf numFmtId="0" fontId="5" fillId="0" borderId="1" xfId="0" applyFont="1" applyBorder="1"/>
    <xf numFmtId="4" fontId="5" fillId="0" borderId="1" xfId="0" applyNumberFormat="1" applyFont="1" applyBorder="1"/>
    <xf numFmtId="0" fontId="9" fillId="3" borderId="1" xfId="0" applyFont="1" applyFill="1" applyBorder="1"/>
    <xf numFmtId="4" fontId="9" fillId="3" borderId="1" xfId="0" applyNumberFormat="1" applyFont="1" applyFill="1" applyBorder="1"/>
    <xf numFmtId="0" fontId="5" fillId="4" borderId="1" xfId="0" applyFont="1" applyFill="1" applyBorder="1"/>
    <xf numFmtId="0" fontId="6" fillId="4" borderId="1" xfId="0" applyFont="1" applyFill="1" applyBorder="1"/>
    <xf numFmtId="0" fontId="10" fillId="0" borderId="0" xfId="0" applyFont="1"/>
    <xf numFmtId="0" fontId="11" fillId="0" borderId="0" xfId="0" applyFont="1"/>
    <xf numFmtId="0" fontId="8" fillId="5" borderId="1" xfId="0" applyFont="1" applyFill="1" applyBorder="1" applyAlignment="1">
      <alignment horizontal="center" wrapText="1"/>
    </xf>
    <xf numFmtId="0" fontId="6" fillId="6" borderId="1" xfId="0" applyFont="1" applyFill="1" applyBorder="1"/>
    <xf numFmtId="4" fontId="6" fillId="6" borderId="1" xfId="0" applyNumberFormat="1" applyFont="1" applyFill="1" applyBorder="1"/>
    <xf numFmtId="4" fontId="12" fillId="0" borderId="1" xfId="0" applyNumberFormat="1" applyFont="1" applyBorder="1"/>
    <xf numFmtId="164" fontId="0" fillId="0" borderId="1" xfId="0" applyNumberFormat="1" applyBorder="1"/>
    <xf numFmtId="0" fontId="0" fillId="7" borderId="1" xfId="0" applyFill="1" applyBorder="1"/>
    <xf numFmtId="0" fontId="6" fillId="8" borderId="1" xfId="0" applyFont="1" applyFill="1" applyBorder="1"/>
    <xf numFmtId="0" fontId="0" fillId="9" borderId="1" xfId="0" applyFill="1" applyBorder="1"/>
    <xf numFmtId="0" fontId="12" fillId="0" borderId="1" xfId="0" applyFont="1" applyBorder="1"/>
    <xf numFmtId="0" fontId="10" fillId="0" borderId="1" xfId="0" applyFont="1" applyBorder="1"/>
    <xf numFmtId="164" fontId="6" fillId="6" borderId="1" xfId="0" applyNumberFormat="1" applyFont="1" applyFill="1" applyBorder="1"/>
    <xf numFmtId="0" fontId="0" fillId="10" borderId="1" xfId="0" applyFill="1" applyBorder="1"/>
    <xf numFmtId="164" fontId="13" fillId="0" borderId="1" xfId="0" applyNumberFormat="1" applyFont="1" applyBorder="1"/>
    <xf numFmtId="0" fontId="5" fillId="11" borderId="1" xfId="0" applyFont="1" applyFill="1" applyBorder="1"/>
    <xf numFmtId="165" fontId="0" fillId="0" borderId="1" xfId="0" applyNumberFormat="1" applyBorder="1"/>
    <xf numFmtId="0" fontId="8" fillId="2" borderId="1" xfId="0" applyFont="1" applyFill="1" applyBorder="1" applyAlignment="1">
      <alignment horizontal="center" wrapText="1"/>
    </xf>
    <xf numFmtId="0" fontId="6" fillId="0" borderId="1" xfId="0" applyFont="1" applyBorder="1"/>
    <xf numFmtId="4" fontId="6" fillId="0" borderId="1" xfId="0" applyNumberFormat="1" applyFont="1" applyBorder="1"/>
    <xf numFmtId="164" fontId="6" fillId="0" borderId="1" xfId="0" applyNumberFormat="1" applyFont="1" applyBorder="1"/>
    <xf numFmtId="0" fontId="15" fillId="7" borderId="1" xfId="0" applyFont="1" applyFill="1" applyBorder="1"/>
    <xf numFmtId="0" fontId="15" fillId="9" borderId="1" xfId="0" applyFont="1" applyFill="1" applyBorder="1"/>
    <xf numFmtId="0" fontId="0" fillId="4" borderId="1" xfId="0" applyFill="1" applyBorder="1"/>
    <xf numFmtId="0" fontId="16" fillId="0" borderId="1" xfId="0" applyFont="1" applyBorder="1"/>
    <xf numFmtId="164" fontId="0" fillId="4" borderId="1" xfId="0" applyNumberFormat="1" applyFill="1" applyBorder="1"/>
    <xf numFmtId="0" fontId="15" fillId="10" borderId="1" xfId="0" applyFont="1" applyFill="1" applyBorder="1"/>
    <xf numFmtId="4" fontId="0" fillId="4" borderId="1" xfId="0" applyNumberFormat="1" applyFill="1" applyBorder="1"/>
    <xf numFmtId="0" fontId="5" fillId="3" borderId="1" xfId="0" applyFont="1" applyFill="1" applyBorder="1"/>
    <xf numFmtId="4" fontId="5" fillId="3" borderId="1" xfId="0" applyNumberFormat="1" applyFont="1" applyFill="1" applyBorder="1"/>
    <xf numFmtId="0" fontId="17" fillId="7" borderId="0" xfId="0" applyFont="1" applyFill="1"/>
    <xf numFmtId="0" fontId="17" fillId="11" borderId="0" xfId="0" applyFont="1" applyFill="1"/>
    <xf numFmtId="0" fontId="17" fillId="9" borderId="0" xfId="0" applyFont="1" applyFill="1"/>
    <xf numFmtId="0" fontId="17" fillId="10" borderId="0" xfId="0" applyFont="1" applyFill="1"/>
    <xf numFmtId="0" fontId="19" fillId="0" borderId="0" xfId="0" applyFont="1"/>
    <xf numFmtId="4" fontId="20" fillId="0" borderId="1" xfId="0" applyNumberFormat="1" applyFont="1" applyBorder="1"/>
    <xf numFmtId="0" fontId="0" fillId="3" borderId="1" xfId="0" applyFill="1" applyBorder="1"/>
    <xf numFmtId="0" fontId="18" fillId="0" borderId="1" xfId="0" applyFont="1" applyBorder="1"/>
    <xf numFmtId="0" fontId="0" fillId="6" borderId="1" xfId="0" applyFill="1" applyBorder="1"/>
    <xf numFmtId="4" fontId="0" fillId="6" borderId="1" xfId="0" applyNumberFormat="1" applyFill="1" applyBorder="1"/>
    <xf numFmtId="0" fontId="21" fillId="0" borderId="1" xfId="0" applyFont="1" applyBorder="1"/>
    <xf numFmtId="0" fontId="5" fillId="7" borderId="1" xfId="0" applyFont="1" applyFill="1" applyBorder="1"/>
    <xf numFmtId="4" fontId="5" fillId="7" borderId="1" xfId="0" applyNumberFormat="1" applyFont="1" applyFill="1" applyBorder="1"/>
    <xf numFmtId="0" fontId="22" fillId="0" borderId="0" xfId="0" applyFont="1"/>
    <xf numFmtId="0" fontId="21" fillId="0" borderId="0" xfId="0" applyFont="1"/>
    <xf numFmtId="4" fontId="21" fillId="0" borderId="0" xfId="0" applyNumberFormat="1" applyFont="1"/>
    <xf numFmtId="4" fontId="0" fillId="0" borderId="0" xfId="0" applyNumberFormat="1"/>
    <xf numFmtId="4" fontId="6" fillId="0" borderId="0" xfId="0" applyNumberFormat="1" applyFont="1"/>
    <xf numFmtId="4" fontId="9" fillId="3" borderId="0" xfId="0" applyNumberFormat="1" applyFont="1" applyFill="1"/>
    <xf numFmtId="0" fontId="23" fillId="0" borderId="0" xfId="0" applyFont="1"/>
    <xf numFmtId="0" fontId="2" fillId="0" borderId="0" xfId="0" applyFont="1" applyAlignment="1">
      <alignment wrapText="1"/>
    </xf>
    <xf numFmtId="0" fontId="5" fillId="0" borderId="0" xfId="0" applyFont="1" applyAlignment="1">
      <alignment wrapText="1"/>
    </xf>
    <xf numFmtId="0" fontId="7" fillId="0" borderId="0" xfId="0" applyFont="1" applyAlignment="1">
      <alignment wrapText="1"/>
    </xf>
    <xf numFmtId="0" fontId="9" fillId="3" borderId="0" xfId="0" applyFont="1" applyFill="1" applyAlignment="1">
      <alignment wrapText="1"/>
    </xf>
    <xf numFmtId="0" fontId="0" fillId="0" borderId="0" xfId="0" applyAlignment="1">
      <alignment wrapText="1"/>
    </xf>
    <xf numFmtId="0" fontId="8" fillId="2" borderId="0" xfId="0" applyFont="1" applyFill="1" applyAlignment="1">
      <alignment wrapText="1"/>
    </xf>
    <xf numFmtId="0" fontId="10"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6EFCE"/>
      <rgbColor rgb="FFFFEB9C"/>
      <rgbColor rgb="FF99CCFF"/>
      <rgbColor rgb="FFFF99CC"/>
      <rgbColor rgb="FFCC99FF"/>
      <rgbColor rgb="FFFFC7CE"/>
      <rgbColor rgb="FF3366FF"/>
      <rgbColor rgb="FF33CCCC"/>
      <rgbColor rgb="FF99CC00"/>
      <rgbColor rgb="FFFFCC00"/>
      <rgbColor rgb="FFFF9900"/>
      <rgbColor rgb="FFFF6600"/>
      <rgbColor rgb="FF2F5F8F"/>
      <rgbColor rgb="FF969696"/>
      <rgbColor rgb="FF003366"/>
      <rgbColor rgb="FF339966"/>
      <rgbColor rgb="FF003300"/>
      <rgbColor rgb="FF333300"/>
      <rgbColor rgb="FF9C57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41"/>
  <sheetViews>
    <sheetView showGridLines="0" zoomScaleNormal="100" workbookViewId="0">
      <selection activeCell="F25" sqref="F25"/>
    </sheetView>
  </sheetViews>
  <sheetFormatPr defaultColWidth="8.7109375" defaultRowHeight="15" x14ac:dyDescent="0.25"/>
  <cols>
    <col min="1" max="1" width="3" customWidth="1"/>
    <col min="2" max="3" width="22" customWidth="1"/>
    <col min="4" max="7" width="18" customWidth="1"/>
  </cols>
  <sheetData>
    <row r="1" spans="2:3" ht="19.5" customHeight="1" x14ac:dyDescent="0.3">
      <c r="B1" s="8" t="s">
        <v>0</v>
      </c>
    </row>
    <row r="2" spans="2:3" ht="15" customHeight="1" x14ac:dyDescent="0.25">
      <c r="B2" s="9" t="s">
        <v>1</v>
      </c>
    </row>
    <row r="3" spans="2:3" ht="15" customHeight="1" x14ac:dyDescent="0.25">
      <c r="B3" s="9" t="s">
        <v>2</v>
      </c>
    </row>
    <row r="4" spans="2:3" ht="15" customHeight="1" x14ac:dyDescent="0.25">
      <c r="B4" s="9" t="s">
        <v>3</v>
      </c>
    </row>
    <row r="5" spans="2:3" ht="15" customHeight="1" x14ac:dyDescent="0.25">
      <c r="B5" s="9" t="s">
        <v>4</v>
      </c>
    </row>
    <row r="7" spans="2:3" ht="17.25" customHeight="1" x14ac:dyDescent="0.25">
      <c r="B7" s="10" t="s">
        <v>5</v>
      </c>
    </row>
    <row r="9" spans="2:3" ht="15" customHeight="1" x14ac:dyDescent="0.25">
      <c r="B9" s="11" t="s">
        <v>6</v>
      </c>
      <c r="C9" s="12" t="s">
        <v>7</v>
      </c>
    </row>
    <row r="10" spans="2:3" ht="15" customHeight="1" x14ac:dyDescent="0.25">
      <c r="B10" s="11" t="s">
        <v>8</v>
      </c>
      <c r="C10" s="12" t="s">
        <v>9</v>
      </c>
    </row>
    <row r="11" spans="2:3" ht="15" customHeight="1" x14ac:dyDescent="0.25">
      <c r="B11" s="11" t="s">
        <v>10</v>
      </c>
      <c r="C11" s="12" t="s">
        <v>11</v>
      </c>
    </row>
    <row r="12" spans="2:3" ht="15" customHeight="1" x14ac:dyDescent="0.25">
      <c r="B12" s="11" t="s">
        <v>12</v>
      </c>
      <c r="C12" s="12" t="s">
        <v>13</v>
      </c>
    </row>
    <row r="14" spans="2:3" ht="15" customHeight="1" x14ac:dyDescent="0.25">
      <c r="B14" s="11" t="s">
        <v>14</v>
      </c>
    </row>
    <row r="15" spans="2:3" ht="15" customHeight="1" x14ac:dyDescent="0.25">
      <c r="B15" s="11" t="s">
        <v>15</v>
      </c>
    </row>
    <row r="16" spans="2:3" ht="15" customHeight="1" x14ac:dyDescent="0.25">
      <c r="B16" s="13" t="s">
        <v>16</v>
      </c>
    </row>
    <row r="17" spans="2:4" ht="15" customHeight="1" x14ac:dyDescent="0.25">
      <c r="B17" s="13" t="s">
        <v>17</v>
      </c>
    </row>
    <row r="19" spans="2:4" ht="15" customHeight="1" x14ac:dyDescent="0.25">
      <c r="B19" s="14" t="s">
        <v>18</v>
      </c>
      <c r="C19" s="14" t="s">
        <v>19</v>
      </c>
      <c r="D19" s="14" t="s">
        <v>20</v>
      </c>
    </row>
    <row r="20" spans="2:4" ht="15" customHeight="1" x14ac:dyDescent="0.25">
      <c r="B20" s="15" t="s">
        <v>21</v>
      </c>
      <c r="C20" s="15">
        <f>SUM('Itemized Calculation'!F2:F667)</f>
        <v>783</v>
      </c>
      <c r="D20" s="16">
        <f>SUM('Itemized Calculation'!K2:K667)</f>
        <v>12941.351000000011</v>
      </c>
    </row>
    <row r="21" spans="2:4" ht="15" customHeight="1" x14ac:dyDescent="0.25">
      <c r="B21" s="17" t="s">
        <v>22</v>
      </c>
      <c r="C21" s="15"/>
      <c r="D21" s="18">
        <f>D20</f>
        <v>12941.351000000011</v>
      </c>
    </row>
    <row r="22" spans="2:4" ht="15" customHeight="1" x14ac:dyDescent="0.25">
      <c r="B22" s="15" t="s">
        <v>23</v>
      </c>
      <c r="C22" s="15"/>
      <c r="D22" s="16">
        <f>-362*0.7</f>
        <v>-253.39999999999998</v>
      </c>
    </row>
    <row r="23" spans="2:4" ht="15" customHeight="1" x14ac:dyDescent="0.25">
      <c r="B23" s="15" t="s">
        <v>24</v>
      </c>
      <c r="C23" s="15"/>
      <c r="D23" s="16">
        <f>-Claims!F46</f>
        <v>0</v>
      </c>
    </row>
    <row r="24" spans="2:4" ht="15" customHeight="1" x14ac:dyDescent="0.25">
      <c r="B24" s="19" t="s">
        <v>25</v>
      </c>
      <c r="C24" s="15"/>
      <c r="D24" s="20">
        <f>D21+D22+D23</f>
        <v>12687.951000000012</v>
      </c>
    </row>
    <row r="25" spans="2:4" ht="15" customHeight="1" x14ac:dyDescent="0.25"/>
    <row r="26" spans="2:4" ht="15" customHeight="1" x14ac:dyDescent="0.25">
      <c r="B26" s="11" t="s">
        <v>26</v>
      </c>
    </row>
    <row r="27" spans="2:4" ht="15" customHeight="1" x14ac:dyDescent="0.25">
      <c r="B27" s="21" t="s">
        <v>27</v>
      </c>
      <c r="C27" s="22" t="s">
        <v>28</v>
      </c>
    </row>
    <row r="28" spans="2:4" ht="15" customHeight="1" x14ac:dyDescent="0.25">
      <c r="B28" s="21" t="s">
        <v>29</v>
      </c>
      <c r="C28" s="22" t="s">
        <v>30</v>
      </c>
    </row>
    <row r="29" spans="2:4" ht="15" customHeight="1" x14ac:dyDescent="0.25">
      <c r="B29" s="21" t="s">
        <v>31</v>
      </c>
      <c r="C29" s="22" t="s">
        <v>32</v>
      </c>
    </row>
    <row r="30" spans="2:4" ht="15" customHeight="1" x14ac:dyDescent="0.25"/>
    <row r="31" spans="2:4" ht="15" customHeight="1" x14ac:dyDescent="0.25">
      <c r="B31" s="11" t="s">
        <v>33</v>
      </c>
    </row>
    <row r="32" spans="2:4" ht="15" customHeight="1" x14ac:dyDescent="0.25">
      <c r="B32" s="23" t="s">
        <v>34</v>
      </c>
    </row>
    <row r="33" spans="2:6" ht="15" customHeight="1" x14ac:dyDescent="0.25">
      <c r="B33" s="7" t="s">
        <v>35</v>
      </c>
      <c r="C33" s="7"/>
      <c r="D33" s="7"/>
      <c r="E33" s="7"/>
      <c r="F33" s="7"/>
    </row>
    <row r="34" spans="2:6" ht="15" customHeight="1" x14ac:dyDescent="0.25">
      <c r="B34" s="7" t="s">
        <v>36</v>
      </c>
      <c r="C34" s="7"/>
      <c r="D34" s="7"/>
      <c r="E34" s="7"/>
      <c r="F34" s="7"/>
    </row>
    <row r="35" spans="2:6" ht="15" customHeight="1" x14ac:dyDescent="0.25">
      <c r="B35" s="7" t="s">
        <v>37</v>
      </c>
      <c r="C35" s="7"/>
      <c r="D35" s="7"/>
      <c r="E35" s="7"/>
      <c r="F35" s="7"/>
    </row>
    <row r="36" spans="2:6" ht="15" customHeight="1" x14ac:dyDescent="0.25">
      <c r="B36" s="7" t="s">
        <v>38</v>
      </c>
      <c r="C36" s="7"/>
      <c r="D36" s="7"/>
      <c r="E36" s="7"/>
      <c r="F36" s="7"/>
    </row>
    <row r="37" spans="2:6" ht="15" customHeight="1" x14ac:dyDescent="0.25">
      <c r="B37" s="7" t="s">
        <v>39</v>
      </c>
      <c r="C37" s="7"/>
      <c r="D37" s="7"/>
      <c r="E37" s="7"/>
      <c r="F37" s="7"/>
    </row>
    <row r="38" spans="2:6" ht="15" customHeight="1" x14ac:dyDescent="0.25">
      <c r="B38" s="7" t="s">
        <v>40</v>
      </c>
      <c r="C38" s="7"/>
      <c r="D38" s="7"/>
      <c r="E38" s="7"/>
      <c r="F38" s="7"/>
    </row>
    <row r="39" spans="2:6" ht="15" customHeight="1" x14ac:dyDescent="0.25">
      <c r="B39" s="7" t="s">
        <v>41</v>
      </c>
      <c r="C39" s="7"/>
      <c r="D39" s="7"/>
      <c r="E39" s="7"/>
      <c r="F39" s="7"/>
    </row>
    <row r="40" spans="2:6" ht="15" customHeight="1" x14ac:dyDescent="0.25">
      <c r="B40" s="7" t="s">
        <v>42</v>
      </c>
      <c r="C40" s="7"/>
      <c r="D40" s="7"/>
      <c r="E40" s="7"/>
      <c r="F40" s="7"/>
    </row>
    <row r="41" spans="2:6" ht="15" customHeight="1" x14ac:dyDescent="0.25">
      <c r="B41" s="6"/>
      <c r="C41" s="6"/>
      <c r="D41" s="6"/>
      <c r="E41" s="6"/>
      <c r="F41" s="6"/>
    </row>
  </sheetData>
  <mergeCells count="9">
    <mergeCell ref="B38:F38"/>
    <mergeCell ref="B39:F39"/>
    <mergeCell ref="B40:F40"/>
    <mergeCell ref="B41:F41"/>
    <mergeCell ref="B33:F33"/>
    <mergeCell ref="B34:F34"/>
    <mergeCell ref="B35:F35"/>
    <mergeCell ref="B36:F36"/>
    <mergeCell ref="B37:F37"/>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10"/>
  <sheetViews>
    <sheetView topLeftCell="A118" zoomScaleNormal="100" workbookViewId="0">
      <selection activeCell="H111" sqref="H111"/>
    </sheetView>
  </sheetViews>
  <sheetFormatPr defaultColWidth="8.7109375" defaultRowHeight="15" x14ac:dyDescent="0.25"/>
  <cols>
    <col min="1" max="1" width="8" customWidth="1"/>
    <col min="2" max="2" width="16" customWidth="1"/>
    <col min="3" max="3" width="20" customWidth="1"/>
    <col min="4" max="4" width="26" customWidth="1"/>
    <col min="5" max="5" width="6" customWidth="1"/>
    <col min="6" max="6" width="24" customWidth="1"/>
    <col min="7" max="7" width="16" customWidth="1"/>
    <col min="8" max="8" width="20" customWidth="1"/>
    <col min="9" max="9" width="16" customWidth="1"/>
    <col min="10" max="11" width="20" customWidth="1"/>
    <col min="12" max="12" width="26" customWidth="1"/>
    <col min="13" max="13" width="40" customWidth="1"/>
  </cols>
  <sheetData>
    <row r="1" spans="1:13" ht="19.5" customHeight="1" x14ac:dyDescent="0.3">
      <c r="A1" s="8" t="s">
        <v>43</v>
      </c>
    </row>
    <row r="2" spans="1:13" ht="15" customHeight="1" x14ac:dyDescent="0.25">
      <c r="A2" s="24" t="s">
        <v>44</v>
      </c>
    </row>
    <row r="4" spans="1:13" ht="15" customHeight="1" x14ac:dyDescent="0.25">
      <c r="A4" s="5" t="s">
        <v>45</v>
      </c>
      <c r="B4" s="5"/>
      <c r="C4" s="5"/>
      <c r="D4" s="5"/>
      <c r="E4" s="5"/>
      <c r="F4" s="5"/>
      <c r="G4" s="5"/>
      <c r="H4" s="5"/>
      <c r="I4" s="5"/>
      <c r="J4" s="5"/>
      <c r="K4" s="5"/>
      <c r="L4" s="5"/>
      <c r="M4" s="5"/>
    </row>
    <row r="5" spans="1:13" ht="26.25" customHeight="1" x14ac:dyDescent="0.25">
      <c r="A5" s="25" t="s">
        <v>46</v>
      </c>
      <c r="B5" s="25" t="s">
        <v>47</v>
      </c>
      <c r="C5" s="25" t="s">
        <v>48</v>
      </c>
      <c r="D5" s="25" t="s">
        <v>49</v>
      </c>
      <c r="E5" s="25" t="s">
        <v>50</v>
      </c>
      <c r="F5" s="25" t="s">
        <v>51</v>
      </c>
      <c r="G5" s="25" t="s">
        <v>52</v>
      </c>
      <c r="H5" s="25" t="s">
        <v>53</v>
      </c>
      <c r="I5" s="25" t="s">
        <v>54</v>
      </c>
      <c r="J5" s="25" t="s">
        <v>55</v>
      </c>
      <c r="K5" s="25" t="s">
        <v>56</v>
      </c>
      <c r="L5" s="25" t="s">
        <v>57</v>
      </c>
      <c r="M5" s="25" t="s">
        <v>58</v>
      </c>
    </row>
    <row r="6" spans="1:13" ht="15" customHeight="1" x14ac:dyDescent="0.25">
      <c r="A6" s="15">
        <v>96</v>
      </c>
      <c r="B6" s="15" t="s">
        <v>59</v>
      </c>
      <c r="C6" s="15" t="s">
        <v>60</v>
      </c>
      <c r="D6" s="26" t="s">
        <v>61</v>
      </c>
      <c r="E6" s="15">
        <v>1</v>
      </c>
      <c r="F6" s="27">
        <f>IFERROR(VLOOKUP(D6,'DSP Lookup'!A:B,2,FALSE()),"")</f>
        <v>12.3</v>
      </c>
      <c r="G6" s="16">
        <v>15.9</v>
      </c>
      <c r="H6" s="28">
        <v>11.1</v>
      </c>
      <c r="I6" s="29">
        <v>0.3019</v>
      </c>
      <c r="J6" s="29">
        <f>IFERROR(VLOOKUP(D6,'DSP Lookup'!A:C,3,FALSE()),0)</f>
        <v>0.3</v>
      </c>
      <c r="K6" s="30" t="s">
        <v>62</v>
      </c>
      <c r="L6" s="31" t="s">
        <v>63</v>
      </c>
      <c r="M6" s="15" t="s">
        <v>64</v>
      </c>
    </row>
    <row r="7" spans="1:13" ht="15" customHeight="1" x14ac:dyDescent="0.25">
      <c r="A7" s="15">
        <v>558</v>
      </c>
      <c r="B7" s="15" t="s">
        <v>65</v>
      </c>
      <c r="C7" s="15" t="s">
        <v>66</v>
      </c>
      <c r="D7" s="26" t="s">
        <v>67</v>
      </c>
      <c r="E7" s="15">
        <v>1</v>
      </c>
      <c r="F7" s="72">
        <v>49.5</v>
      </c>
      <c r="G7" s="16">
        <v>67.900000000000006</v>
      </c>
      <c r="H7" s="28">
        <v>67.900000000000006</v>
      </c>
      <c r="I7" s="29">
        <v>0</v>
      </c>
      <c r="J7" s="29">
        <f>IFERROR(VLOOKUP(D7,'DSP Lookup'!A:C,3,FALSE()),0)</f>
        <v>0</v>
      </c>
      <c r="K7" s="32" t="s">
        <v>68</v>
      </c>
      <c r="L7" s="31" t="s">
        <v>69</v>
      </c>
      <c r="M7" s="15" t="s">
        <v>64</v>
      </c>
    </row>
    <row r="8" spans="1:13" ht="15" customHeight="1" x14ac:dyDescent="0.25">
      <c r="A8" s="15">
        <v>561</v>
      </c>
      <c r="B8" s="15" t="s">
        <v>70</v>
      </c>
      <c r="C8" s="15" t="s">
        <v>71</v>
      </c>
      <c r="D8" s="26" t="s">
        <v>67</v>
      </c>
      <c r="E8" s="15">
        <v>1</v>
      </c>
      <c r="F8" s="72">
        <v>49.5</v>
      </c>
      <c r="G8" s="16">
        <v>67.900000000000006</v>
      </c>
      <c r="H8" s="28">
        <v>67.900000000000006</v>
      </c>
      <c r="I8" s="29">
        <v>0</v>
      </c>
      <c r="J8" s="29">
        <f>IFERROR(VLOOKUP(D8,'DSP Lookup'!A:C,3,FALSE()),0)</f>
        <v>0</v>
      </c>
      <c r="K8" s="32" t="s">
        <v>68</v>
      </c>
      <c r="L8" s="31" t="s">
        <v>69</v>
      </c>
      <c r="M8" s="15" t="s">
        <v>64</v>
      </c>
    </row>
    <row r="9" spans="1:13" ht="15" customHeight="1" x14ac:dyDescent="0.25">
      <c r="A9" s="15">
        <v>627</v>
      </c>
      <c r="B9" s="15" t="s">
        <v>72</v>
      </c>
      <c r="C9" s="15" t="s">
        <v>73</v>
      </c>
      <c r="D9" s="26" t="s">
        <v>67</v>
      </c>
      <c r="E9" s="15">
        <v>1</v>
      </c>
      <c r="F9" s="72">
        <v>49.5</v>
      </c>
      <c r="G9" s="16">
        <v>67.900000000000006</v>
      </c>
      <c r="H9" s="28">
        <v>67.900000000000006</v>
      </c>
      <c r="I9" s="29">
        <v>0</v>
      </c>
      <c r="J9" s="29">
        <f>IFERROR(VLOOKUP(D9,'DSP Lookup'!A:C,3,FALSE()),0)</f>
        <v>0</v>
      </c>
      <c r="K9" s="32" t="s">
        <v>68</v>
      </c>
      <c r="L9" s="31" t="s">
        <v>69</v>
      </c>
      <c r="M9" s="15" t="s">
        <v>64</v>
      </c>
    </row>
    <row r="11" spans="1:13" ht="15" customHeight="1" x14ac:dyDescent="0.25">
      <c r="A11" s="5" t="s">
        <v>74</v>
      </c>
      <c r="B11" s="5"/>
      <c r="C11" s="5"/>
      <c r="D11" s="5"/>
      <c r="E11" s="5"/>
      <c r="F11" s="5"/>
      <c r="G11" s="5"/>
      <c r="H11" s="5"/>
      <c r="I11" s="5"/>
      <c r="J11" s="5"/>
      <c r="K11" s="5"/>
      <c r="L11" s="5"/>
      <c r="M11" s="5"/>
    </row>
    <row r="12" spans="1:13" ht="26.25" customHeight="1" x14ac:dyDescent="0.25">
      <c r="A12" s="25" t="s">
        <v>46</v>
      </c>
      <c r="B12" s="25" t="s">
        <v>47</v>
      </c>
      <c r="C12" s="25" t="s">
        <v>48</v>
      </c>
      <c r="D12" s="25" t="s">
        <v>75</v>
      </c>
      <c r="E12" s="25" t="s">
        <v>50</v>
      </c>
      <c r="F12" s="25" t="s">
        <v>76</v>
      </c>
      <c r="G12" s="25" t="s">
        <v>52</v>
      </c>
      <c r="H12" s="25" t="s">
        <v>77</v>
      </c>
      <c r="I12" s="25" t="s">
        <v>54</v>
      </c>
      <c r="J12" s="25" t="s">
        <v>78</v>
      </c>
      <c r="K12" s="25" t="s">
        <v>56</v>
      </c>
      <c r="L12" s="25" t="s">
        <v>79</v>
      </c>
      <c r="M12" s="25" t="s">
        <v>58</v>
      </c>
    </row>
    <row r="13" spans="1:13" ht="15" customHeight="1" x14ac:dyDescent="0.25">
      <c r="A13" s="15">
        <v>40</v>
      </c>
      <c r="B13" s="15" t="s">
        <v>80</v>
      </c>
      <c r="C13" s="15" t="s">
        <v>81</v>
      </c>
      <c r="D13" s="33" t="s">
        <v>82</v>
      </c>
      <c r="E13" s="15">
        <v>1</v>
      </c>
      <c r="F13" s="16">
        <v>15.5</v>
      </c>
      <c r="G13" s="16">
        <v>19.899999999999999</v>
      </c>
      <c r="H13" s="16">
        <v>18.899999999999999</v>
      </c>
      <c r="I13" s="29">
        <v>5.0299999999999997E-2</v>
      </c>
      <c r="J13" s="29">
        <v>0.05</v>
      </c>
      <c r="K13" s="30" t="s">
        <v>62</v>
      </c>
      <c r="L13" s="26" t="s">
        <v>12836</v>
      </c>
      <c r="M13" s="34" t="s">
        <v>84</v>
      </c>
    </row>
    <row r="14" spans="1:13" ht="15" customHeight="1" x14ac:dyDescent="0.25">
      <c r="A14" s="15">
        <v>110</v>
      </c>
      <c r="B14" s="15" t="s">
        <v>85</v>
      </c>
      <c r="C14" s="15" t="s">
        <v>86</v>
      </c>
      <c r="D14" s="33" t="s">
        <v>87</v>
      </c>
      <c r="E14" s="15">
        <v>1</v>
      </c>
      <c r="F14" s="16">
        <v>15.7</v>
      </c>
      <c r="G14" s="16">
        <v>19.899999999999999</v>
      </c>
      <c r="H14" s="16">
        <v>18.899999999999999</v>
      </c>
      <c r="I14" s="29">
        <v>5.0299999999999997E-2</v>
      </c>
      <c r="J14" s="29">
        <v>0.05</v>
      </c>
      <c r="K14" s="30" t="s">
        <v>62</v>
      </c>
      <c r="L14" s="26" t="s">
        <v>12836</v>
      </c>
      <c r="M14" s="34" t="s">
        <v>84</v>
      </c>
    </row>
    <row r="15" spans="1:13" ht="15" customHeight="1" x14ac:dyDescent="0.25">
      <c r="A15" s="15">
        <v>121</v>
      </c>
      <c r="B15" s="15" t="s">
        <v>88</v>
      </c>
      <c r="C15" s="15" t="s">
        <v>89</v>
      </c>
      <c r="D15" s="33" t="s">
        <v>87</v>
      </c>
      <c r="E15" s="15">
        <v>1</v>
      </c>
      <c r="F15" s="16">
        <v>15.7</v>
      </c>
      <c r="G15" s="16">
        <v>19.899999999999999</v>
      </c>
      <c r="H15" s="16">
        <v>18.899999999999999</v>
      </c>
      <c r="I15" s="29">
        <v>5.0299999999999997E-2</v>
      </c>
      <c r="J15" s="29">
        <v>0.05</v>
      </c>
      <c r="K15" s="30" t="s">
        <v>62</v>
      </c>
      <c r="L15" s="26" t="s">
        <v>12836</v>
      </c>
      <c r="M15" s="34" t="s">
        <v>84</v>
      </c>
    </row>
    <row r="16" spans="1:13" ht="15" customHeight="1" x14ac:dyDescent="0.25">
      <c r="A16" s="15">
        <v>123</v>
      </c>
      <c r="B16" s="15" t="s">
        <v>90</v>
      </c>
      <c r="C16" s="15" t="s">
        <v>91</v>
      </c>
      <c r="D16" s="33" t="s">
        <v>87</v>
      </c>
      <c r="E16" s="15">
        <v>1</v>
      </c>
      <c r="F16" s="16">
        <v>15.7</v>
      </c>
      <c r="G16" s="16">
        <v>19.899999999999999</v>
      </c>
      <c r="H16" s="16">
        <v>18.899999999999999</v>
      </c>
      <c r="I16" s="29">
        <v>5.0299999999999997E-2</v>
      </c>
      <c r="J16" s="29">
        <v>0.05</v>
      </c>
      <c r="K16" s="30" t="s">
        <v>62</v>
      </c>
      <c r="L16" s="26" t="s">
        <v>12836</v>
      </c>
      <c r="M16" s="34" t="s">
        <v>84</v>
      </c>
    </row>
    <row r="17" spans="1:13" ht="15" customHeight="1" x14ac:dyDescent="0.25">
      <c r="A17" s="15">
        <v>140</v>
      </c>
      <c r="B17" s="15" t="s">
        <v>92</v>
      </c>
      <c r="C17" s="15" t="s">
        <v>93</v>
      </c>
      <c r="D17" s="33" t="s">
        <v>82</v>
      </c>
      <c r="E17" s="15">
        <v>1</v>
      </c>
      <c r="F17" s="16">
        <v>15.5</v>
      </c>
      <c r="G17" s="16">
        <v>19.899999999999999</v>
      </c>
      <c r="H17" s="16">
        <v>18.899999999999999</v>
      </c>
      <c r="I17" s="29">
        <v>5.0299999999999997E-2</v>
      </c>
      <c r="J17" s="29">
        <v>0.05</v>
      </c>
      <c r="K17" s="30" t="s">
        <v>62</v>
      </c>
      <c r="L17" s="26" t="s">
        <v>12836</v>
      </c>
      <c r="M17" s="34" t="s">
        <v>84</v>
      </c>
    </row>
    <row r="18" spans="1:13" ht="15" customHeight="1" x14ac:dyDescent="0.25">
      <c r="A18" s="15">
        <v>153</v>
      </c>
      <c r="B18" s="15" t="s">
        <v>94</v>
      </c>
      <c r="C18" s="15" t="s">
        <v>95</v>
      </c>
      <c r="D18" s="33" t="s">
        <v>87</v>
      </c>
      <c r="E18" s="15">
        <v>1</v>
      </c>
      <c r="F18" s="16">
        <v>15.7</v>
      </c>
      <c r="G18" s="16">
        <v>19.899999999999999</v>
      </c>
      <c r="H18" s="16">
        <v>18.899999999999999</v>
      </c>
      <c r="I18" s="29">
        <v>5.0299999999999997E-2</v>
      </c>
      <c r="J18" s="29">
        <v>0.05</v>
      </c>
      <c r="K18" s="30" t="s">
        <v>62</v>
      </c>
      <c r="L18" s="26" t="s">
        <v>12836</v>
      </c>
      <c r="M18" s="34" t="s">
        <v>84</v>
      </c>
    </row>
    <row r="19" spans="1:13" ht="15" customHeight="1" x14ac:dyDescent="0.25">
      <c r="A19" s="15">
        <v>171</v>
      </c>
      <c r="B19" s="15" t="s">
        <v>96</v>
      </c>
      <c r="C19" s="15" t="s">
        <v>97</v>
      </c>
      <c r="D19" s="33" t="s">
        <v>98</v>
      </c>
      <c r="E19" s="15">
        <v>1</v>
      </c>
      <c r="F19" s="16">
        <v>17.100000000000001</v>
      </c>
      <c r="G19" s="16">
        <v>21.9</v>
      </c>
      <c r="H19" s="16">
        <v>20.8</v>
      </c>
      <c r="I19" s="29">
        <v>5.0200000000000002E-2</v>
      </c>
      <c r="J19" s="29">
        <v>0.05</v>
      </c>
      <c r="K19" s="30" t="s">
        <v>62</v>
      </c>
      <c r="L19" s="26" t="s">
        <v>12836</v>
      </c>
      <c r="M19" s="34" t="s">
        <v>84</v>
      </c>
    </row>
    <row r="20" spans="1:13" ht="15" customHeight="1" x14ac:dyDescent="0.25">
      <c r="A20" s="15">
        <v>390</v>
      </c>
      <c r="B20" s="15" t="s">
        <v>99</v>
      </c>
      <c r="C20" s="15" t="s">
        <v>100</v>
      </c>
      <c r="D20" s="33" t="s">
        <v>87</v>
      </c>
      <c r="E20" s="15">
        <v>1</v>
      </c>
      <c r="F20" s="16">
        <v>15.7</v>
      </c>
      <c r="G20" s="16">
        <v>19.899999999999999</v>
      </c>
      <c r="H20" s="16">
        <v>18.899999999999999</v>
      </c>
      <c r="I20" s="29">
        <v>5.0299999999999997E-2</v>
      </c>
      <c r="J20" s="29">
        <v>0.05</v>
      </c>
      <c r="K20" s="30" t="s">
        <v>62</v>
      </c>
      <c r="L20" s="26" t="s">
        <v>12836</v>
      </c>
      <c r="M20" s="34" t="s">
        <v>84</v>
      </c>
    </row>
    <row r="21" spans="1:13" ht="15" customHeight="1" x14ac:dyDescent="0.25">
      <c r="A21" s="15">
        <v>421</v>
      </c>
      <c r="B21" s="15" t="s">
        <v>101</v>
      </c>
      <c r="C21" s="15" t="s">
        <v>102</v>
      </c>
      <c r="D21" s="33" t="s">
        <v>87</v>
      </c>
      <c r="E21" s="15">
        <v>1</v>
      </c>
      <c r="F21" s="16">
        <v>15.7</v>
      </c>
      <c r="G21" s="16">
        <v>19.899999999999999</v>
      </c>
      <c r="H21" s="16">
        <v>18.899999999999999</v>
      </c>
      <c r="I21" s="29">
        <v>5.0299999999999997E-2</v>
      </c>
      <c r="J21" s="29">
        <v>0.05</v>
      </c>
      <c r="K21" s="30" t="s">
        <v>62</v>
      </c>
      <c r="L21" s="26" t="s">
        <v>12836</v>
      </c>
      <c r="M21" s="34" t="s">
        <v>84</v>
      </c>
    </row>
    <row r="22" spans="1:13" ht="15" customHeight="1" x14ac:dyDescent="0.25">
      <c r="A22" s="15">
        <v>422</v>
      </c>
      <c r="B22" s="15" t="s">
        <v>101</v>
      </c>
      <c r="C22" s="15" t="s">
        <v>102</v>
      </c>
      <c r="D22" s="33" t="s">
        <v>87</v>
      </c>
      <c r="E22" s="15">
        <v>1</v>
      </c>
      <c r="F22" s="16">
        <v>15.7</v>
      </c>
      <c r="G22" s="16">
        <v>19.899999999999999</v>
      </c>
      <c r="H22" s="16">
        <v>18.899999999999999</v>
      </c>
      <c r="I22" s="29">
        <v>5.0299999999999997E-2</v>
      </c>
      <c r="J22" s="29">
        <v>0.05</v>
      </c>
      <c r="K22" s="30" t="s">
        <v>62</v>
      </c>
      <c r="L22" s="26" t="s">
        <v>12836</v>
      </c>
      <c r="M22" s="34" t="s">
        <v>84</v>
      </c>
    </row>
    <row r="23" spans="1:13" ht="15" customHeight="1" x14ac:dyDescent="0.25">
      <c r="A23" s="15">
        <v>483</v>
      </c>
      <c r="B23" s="15" t="s">
        <v>103</v>
      </c>
      <c r="C23" s="15" t="s">
        <v>104</v>
      </c>
      <c r="D23" s="33" t="s">
        <v>105</v>
      </c>
      <c r="E23" s="15">
        <v>1</v>
      </c>
      <c r="F23" s="16">
        <v>35.299999999999997</v>
      </c>
      <c r="G23" s="16">
        <v>44.9</v>
      </c>
      <c r="H23" s="16">
        <v>41.3</v>
      </c>
      <c r="I23" s="29">
        <v>8.0199999999999994E-2</v>
      </c>
      <c r="J23" s="29">
        <v>0.08</v>
      </c>
      <c r="K23" s="30" t="s">
        <v>62</v>
      </c>
      <c r="L23" s="26" t="s">
        <v>12836</v>
      </c>
      <c r="M23" s="34" t="s">
        <v>84</v>
      </c>
    </row>
    <row r="24" spans="1:13" ht="15" customHeight="1" x14ac:dyDescent="0.25">
      <c r="A24" s="15">
        <v>589</v>
      </c>
      <c r="B24" s="15" t="s">
        <v>106</v>
      </c>
      <c r="C24" s="15" t="s">
        <v>107</v>
      </c>
      <c r="D24" s="33" t="s">
        <v>98</v>
      </c>
      <c r="E24" s="15">
        <v>1</v>
      </c>
      <c r="F24" s="16">
        <v>17.100000000000001</v>
      </c>
      <c r="G24" s="16">
        <v>21.9</v>
      </c>
      <c r="H24" s="16">
        <v>20.8</v>
      </c>
      <c r="I24" s="29">
        <v>5.0200000000000002E-2</v>
      </c>
      <c r="J24" s="29">
        <v>0.05</v>
      </c>
      <c r="K24" s="30" t="s">
        <v>62</v>
      </c>
      <c r="L24" s="26" t="s">
        <v>12836</v>
      </c>
      <c r="M24" s="34" t="s">
        <v>84</v>
      </c>
    </row>
    <row r="25" spans="1:13" ht="15" customHeight="1" x14ac:dyDescent="0.25">
      <c r="A25" s="15">
        <v>612</v>
      </c>
      <c r="B25" s="15" t="s">
        <v>108</v>
      </c>
      <c r="C25" s="15" t="s">
        <v>109</v>
      </c>
      <c r="D25" s="33" t="s">
        <v>87</v>
      </c>
      <c r="E25" s="15">
        <v>1</v>
      </c>
      <c r="F25" s="16">
        <v>15.7</v>
      </c>
      <c r="G25" s="16">
        <v>19.899999999999999</v>
      </c>
      <c r="H25" s="16">
        <v>18.899999999999999</v>
      </c>
      <c r="I25" s="29">
        <v>5.0299999999999997E-2</v>
      </c>
      <c r="J25" s="29">
        <v>0.05</v>
      </c>
      <c r="K25" s="30" t="s">
        <v>62</v>
      </c>
      <c r="L25" s="26" t="s">
        <v>12836</v>
      </c>
      <c r="M25" s="34" t="s">
        <v>84</v>
      </c>
    </row>
    <row r="26" spans="1:13" ht="15" customHeight="1" x14ac:dyDescent="0.25">
      <c r="A26" s="15">
        <v>648</v>
      </c>
      <c r="B26" s="15" t="s">
        <v>110</v>
      </c>
      <c r="C26" s="15" t="s">
        <v>111</v>
      </c>
      <c r="D26" s="33" t="s">
        <v>98</v>
      </c>
      <c r="E26" s="15">
        <v>1</v>
      </c>
      <c r="F26" s="16">
        <v>17.100000000000001</v>
      </c>
      <c r="G26" s="16">
        <v>21.9</v>
      </c>
      <c r="H26" s="16">
        <v>20.8</v>
      </c>
      <c r="I26" s="29">
        <v>5.0200000000000002E-2</v>
      </c>
      <c r="J26" s="29">
        <v>0.05</v>
      </c>
      <c r="K26" s="30" t="s">
        <v>62</v>
      </c>
      <c r="L26" s="26" t="s">
        <v>12836</v>
      </c>
      <c r="M26" s="34" t="s">
        <v>84</v>
      </c>
    </row>
    <row r="28" spans="1:13" ht="15" customHeight="1" x14ac:dyDescent="0.25">
      <c r="A28" s="5" t="s">
        <v>112</v>
      </c>
      <c r="B28" s="5"/>
      <c r="C28" s="5"/>
      <c r="D28" s="5"/>
      <c r="E28" s="5"/>
      <c r="F28" s="5"/>
      <c r="G28" s="5"/>
      <c r="H28" s="5"/>
      <c r="I28" s="5"/>
      <c r="J28" s="5"/>
      <c r="K28" s="5"/>
      <c r="L28" s="5"/>
      <c r="M28" s="5"/>
    </row>
    <row r="29" spans="1:13" ht="26.25" customHeight="1" x14ac:dyDescent="0.25">
      <c r="A29" s="25" t="s">
        <v>46</v>
      </c>
      <c r="B29" s="25" t="s">
        <v>47</v>
      </c>
      <c r="C29" s="25" t="s">
        <v>48</v>
      </c>
      <c r="D29" s="25" t="s">
        <v>113</v>
      </c>
      <c r="E29" s="25" t="s">
        <v>50</v>
      </c>
      <c r="F29" s="25" t="s">
        <v>76</v>
      </c>
      <c r="G29" s="25" t="s">
        <v>52</v>
      </c>
      <c r="H29" s="25" t="s">
        <v>77</v>
      </c>
      <c r="I29" s="25" t="s">
        <v>54</v>
      </c>
      <c r="J29" s="25" t="s">
        <v>114</v>
      </c>
      <c r="K29" s="25" t="s">
        <v>56</v>
      </c>
      <c r="L29" s="25" t="s">
        <v>115</v>
      </c>
      <c r="M29" s="25" t="s">
        <v>58</v>
      </c>
    </row>
    <row r="30" spans="1:13" ht="15" customHeight="1" x14ac:dyDescent="0.25">
      <c r="A30" s="15">
        <v>38</v>
      </c>
      <c r="B30" s="15" t="s">
        <v>116</v>
      </c>
      <c r="C30" s="15" t="s">
        <v>117</v>
      </c>
      <c r="D30" s="15" t="s">
        <v>118</v>
      </c>
      <c r="E30" s="15">
        <v>1</v>
      </c>
      <c r="F30" s="16">
        <v>14.9</v>
      </c>
      <c r="G30" s="16">
        <v>24.9</v>
      </c>
      <c r="H30" s="16">
        <v>24.16</v>
      </c>
      <c r="I30" s="29">
        <v>2.9700000000000001E-2</v>
      </c>
      <c r="J30" s="35">
        <v>0.03</v>
      </c>
      <c r="K30" s="36" t="s">
        <v>119</v>
      </c>
      <c r="L30" s="15" t="str">
        <f>IF(J30=0,"No","Yes")</f>
        <v>Yes</v>
      </c>
      <c r="M30" s="34" t="s">
        <v>120</v>
      </c>
    </row>
    <row r="32" spans="1:13" ht="15" customHeight="1" x14ac:dyDescent="0.25">
      <c r="A32" s="5" t="s">
        <v>121</v>
      </c>
      <c r="B32" s="5"/>
      <c r="C32" s="5"/>
      <c r="D32" s="5"/>
      <c r="E32" s="5"/>
      <c r="F32" s="5"/>
      <c r="G32" s="5"/>
      <c r="H32" s="5"/>
      <c r="I32" s="5"/>
      <c r="J32" s="5"/>
      <c r="K32" s="5"/>
      <c r="L32" s="5"/>
      <c r="M32" s="5"/>
    </row>
    <row r="33" spans="1:13" ht="39" customHeight="1" x14ac:dyDescent="0.25">
      <c r="A33" s="25" t="s">
        <v>46</v>
      </c>
      <c r="B33" s="25" t="s">
        <v>47</v>
      </c>
      <c r="C33" s="25" t="s">
        <v>48</v>
      </c>
      <c r="D33" s="25" t="s">
        <v>113</v>
      </c>
      <c r="E33" s="25" t="s">
        <v>50</v>
      </c>
      <c r="F33" s="25" t="s">
        <v>76</v>
      </c>
      <c r="G33" s="25" t="s">
        <v>52</v>
      </c>
      <c r="H33" s="25" t="s">
        <v>77</v>
      </c>
      <c r="I33" s="25" t="s">
        <v>122</v>
      </c>
      <c r="J33" s="25" t="s">
        <v>123</v>
      </c>
      <c r="K33" s="25" t="s">
        <v>56</v>
      </c>
      <c r="L33" s="25" t="s">
        <v>124</v>
      </c>
      <c r="M33" s="25" t="s">
        <v>125</v>
      </c>
    </row>
    <row r="34" spans="1:13" ht="15" customHeight="1" x14ac:dyDescent="0.25">
      <c r="A34" s="15">
        <v>397</v>
      </c>
      <c r="B34" s="15" t="s">
        <v>126</v>
      </c>
      <c r="C34" s="15" t="s">
        <v>127</v>
      </c>
      <c r="D34" s="15" t="s">
        <v>128</v>
      </c>
      <c r="E34" s="15">
        <v>1</v>
      </c>
      <c r="F34" s="16">
        <v>53.3</v>
      </c>
      <c r="G34" s="16">
        <v>69.900000000000006</v>
      </c>
      <c r="H34" s="16">
        <v>48.9</v>
      </c>
      <c r="I34" s="37">
        <v>0.3004</v>
      </c>
      <c r="J34" s="29">
        <v>0.03</v>
      </c>
      <c r="K34" s="38" t="s">
        <v>129</v>
      </c>
      <c r="L34" s="26" t="s">
        <v>130</v>
      </c>
      <c r="M34" s="39">
        <f t="shared" ref="M34:M65" si="0">I34-J34</f>
        <v>0.27039999999999997</v>
      </c>
    </row>
    <row r="35" spans="1:13" ht="15" customHeight="1" x14ac:dyDescent="0.25">
      <c r="A35" s="15">
        <v>380</v>
      </c>
      <c r="B35" s="15" t="s">
        <v>131</v>
      </c>
      <c r="C35" s="15" t="s">
        <v>132</v>
      </c>
      <c r="D35" s="15" t="s">
        <v>133</v>
      </c>
      <c r="E35" s="15">
        <v>1</v>
      </c>
      <c r="F35" s="16">
        <v>15.8</v>
      </c>
      <c r="G35" s="16">
        <v>24.9</v>
      </c>
      <c r="H35" s="16">
        <v>14.89</v>
      </c>
      <c r="I35" s="37">
        <v>0.40200000000000002</v>
      </c>
      <c r="J35" s="29">
        <v>0.2</v>
      </c>
      <c r="K35" s="38" t="s">
        <v>129</v>
      </c>
      <c r="L35" s="26" t="s">
        <v>130</v>
      </c>
      <c r="M35" s="39">
        <f t="shared" si="0"/>
        <v>0.20200000000000001</v>
      </c>
    </row>
    <row r="36" spans="1:13" ht="15" customHeight="1" x14ac:dyDescent="0.25">
      <c r="A36" s="15">
        <v>584</v>
      </c>
      <c r="B36" s="15" t="s">
        <v>134</v>
      </c>
      <c r="C36" s="15" t="s">
        <v>135</v>
      </c>
      <c r="D36" s="15" t="s">
        <v>136</v>
      </c>
      <c r="E36" s="15">
        <v>1</v>
      </c>
      <c r="F36" s="16">
        <v>15</v>
      </c>
      <c r="G36" s="16">
        <v>20.9</v>
      </c>
      <c r="H36" s="16">
        <v>19.64</v>
      </c>
      <c r="I36" s="37">
        <v>6.0299999999999999E-2</v>
      </c>
      <c r="J36" s="29">
        <v>0.01</v>
      </c>
      <c r="K36" s="38" t="s">
        <v>129</v>
      </c>
      <c r="L36" s="26" t="s">
        <v>130</v>
      </c>
      <c r="M36" s="39">
        <f t="shared" si="0"/>
        <v>5.0299999999999997E-2</v>
      </c>
    </row>
    <row r="37" spans="1:13" ht="15" customHeight="1" x14ac:dyDescent="0.25">
      <c r="A37" s="15">
        <v>625</v>
      </c>
      <c r="B37" s="15" t="s">
        <v>137</v>
      </c>
      <c r="C37" s="15" t="s">
        <v>138</v>
      </c>
      <c r="D37" s="15" t="s">
        <v>136</v>
      </c>
      <c r="E37" s="15">
        <v>2</v>
      </c>
      <c r="F37" s="16">
        <v>15</v>
      </c>
      <c r="G37" s="16">
        <v>20.9</v>
      </c>
      <c r="H37" s="16">
        <v>19.64</v>
      </c>
      <c r="I37" s="37">
        <v>6.0299999999999999E-2</v>
      </c>
      <c r="J37" s="29">
        <v>0.01</v>
      </c>
      <c r="K37" s="38" t="s">
        <v>129</v>
      </c>
      <c r="L37" s="26" t="s">
        <v>130</v>
      </c>
      <c r="M37" s="39">
        <f t="shared" si="0"/>
        <v>5.0299999999999997E-2</v>
      </c>
    </row>
    <row r="38" spans="1:13" ht="15" customHeight="1" x14ac:dyDescent="0.25">
      <c r="A38" s="15">
        <v>129</v>
      </c>
      <c r="B38" s="15" t="s">
        <v>139</v>
      </c>
      <c r="C38" s="15" t="s">
        <v>140</v>
      </c>
      <c r="D38" s="15" t="s">
        <v>136</v>
      </c>
      <c r="E38" s="15">
        <v>1</v>
      </c>
      <c r="F38" s="16">
        <v>15</v>
      </c>
      <c r="G38" s="16">
        <v>20.9</v>
      </c>
      <c r="H38" s="16">
        <v>19.84</v>
      </c>
      <c r="I38" s="37">
        <v>5.0700000000000002E-2</v>
      </c>
      <c r="J38" s="29">
        <v>0.01</v>
      </c>
      <c r="K38" s="38" t="s">
        <v>129</v>
      </c>
      <c r="L38" s="26" t="s">
        <v>130</v>
      </c>
      <c r="M38" s="39">
        <f t="shared" si="0"/>
        <v>4.07E-2</v>
      </c>
    </row>
    <row r="39" spans="1:13" ht="15" customHeight="1" x14ac:dyDescent="0.25">
      <c r="A39" s="15">
        <v>309</v>
      </c>
      <c r="B39" s="15" t="s">
        <v>141</v>
      </c>
      <c r="C39" s="15" t="s">
        <v>142</v>
      </c>
      <c r="D39" s="15" t="s">
        <v>136</v>
      </c>
      <c r="E39" s="15">
        <v>1</v>
      </c>
      <c r="F39" s="16">
        <v>15</v>
      </c>
      <c r="G39" s="16">
        <v>20.9</v>
      </c>
      <c r="H39" s="16">
        <v>19.84</v>
      </c>
      <c r="I39" s="37">
        <v>5.0700000000000002E-2</v>
      </c>
      <c r="J39" s="29">
        <v>0.01</v>
      </c>
      <c r="K39" s="38" t="s">
        <v>129</v>
      </c>
      <c r="L39" s="26" t="s">
        <v>130</v>
      </c>
      <c r="M39" s="39">
        <f t="shared" si="0"/>
        <v>4.07E-2</v>
      </c>
    </row>
    <row r="40" spans="1:13" ht="15" customHeight="1" x14ac:dyDescent="0.25">
      <c r="A40" s="15">
        <v>406</v>
      </c>
      <c r="B40" s="15" t="s">
        <v>143</v>
      </c>
      <c r="C40" s="15" t="s">
        <v>144</v>
      </c>
      <c r="D40" s="15" t="s">
        <v>136</v>
      </c>
      <c r="E40" s="15">
        <v>1</v>
      </c>
      <c r="F40" s="16">
        <v>15</v>
      </c>
      <c r="G40" s="16">
        <v>20.9</v>
      </c>
      <c r="H40" s="16">
        <v>19.84</v>
      </c>
      <c r="I40" s="37">
        <v>5.0700000000000002E-2</v>
      </c>
      <c r="J40" s="29">
        <v>0.01</v>
      </c>
      <c r="K40" s="38" t="s">
        <v>129</v>
      </c>
      <c r="L40" s="26" t="s">
        <v>130</v>
      </c>
      <c r="M40" s="39">
        <f t="shared" si="0"/>
        <v>4.07E-2</v>
      </c>
    </row>
    <row r="41" spans="1:13" ht="15" customHeight="1" x14ac:dyDescent="0.25">
      <c r="A41" s="15">
        <v>504</v>
      </c>
      <c r="B41" s="15" t="s">
        <v>145</v>
      </c>
      <c r="C41" s="15" t="s">
        <v>146</v>
      </c>
      <c r="D41" s="15" t="s">
        <v>136</v>
      </c>
      <c r="E41" s="15">
        <v>1</v>
      </c>
      <c r="F41" s="16">
        <v>15</v>
      </c>
      <c r="G41" s="16">
        <v>20.9</v>
      </c>
      <c r="H41" s="16">
        <v>19.84</v>
      </c>
      <c r="I41" s="37">
        <v>5.0700000000000002E-2</v>
      </c>
      <c r="J41" s="29">
        <v>0.01</v>
      </c>
      <c r="K41" s="38" t="s">
        <v>129</v>
      </c>
      <c r="L41" s="26" t="s">
        <v>130</v>
      </c>
      <c r="M41" s="39">
        <f t="shared" si="0"/>
        <v>4.07E-2</v>
      </c>
    </row>
    <row r="42" spans="1:13" ht="15" customHeight="1" x14ac:dyDescent="0.25">
      <c r="A42" s="15">
        <v>98</v>
      </c>
      <c r="B42" s="15" t="s">
        <v>147</v>
      </c>
      <c r="C42" s="15" t="s">
        <v>148</v>
      </c>
      <c r="D42" s="15" t="s">
        <v>149</v>
      </c>
      <c r="E42" s="15">
        <v>1</v>
      </c>
      <c r="F42" s="16">
        <v>31.5</v>
      </c>
      <c r="G42" s="16">
        <v>39.9</v>
      </c>
      <c r="H42" s="16">
        <v>37.89</v>
      </c>
      <c r="I42" s="37">
        <v>5.04E-2</v>
      </c>
      <c r="J42" s="29">
        <v>0.01</v>
      </c>
      <c r="K42" s="38" t="s">
        <v>129</v>
      </c>
      <c r="L42" s="26" t="s">
        <v>130</v>
      </c>
      <c r="M42" s="39">
        <f t="shared" si="0"/>
        <v>4.0399999999999998E-2</v>
      </c>
    </row>
    <row r="43" spans="1:13" ht="15" customHeight="1" x14ac:dyDescent="0.25">
      <c r="A43" s="15">
        <v>353</v>
      </c>
      <c r="B43" s="15" t="s">
        <v>150</v>
      </c>
      <c r="C43" s="15" t="s">
        <v>151</v>
      </c>
      <c r="D43" s="15" t="s">
        <v>152</v>
      </c>
      <c r="E43" s="15">
        <v>1</v>
      </c>
      <c r="F43" s="16">
        <v>31.5</v>
      </c>
      <c r="G43" s="16">
        <v>39.9</v>
      </c>
      <c r="H43" s="16">
        <v>37.89</v>
      </c>
      <c r="I43" s="37">
        <v>5.04E-2</v>
      </c>
      <c r="J43" s="29">
        <v>0.01</v>
      </c>
      <c r="K43" s="38" t="s">
        <v>129</v>
      </c>
      <c r="L43" s="26" t="s">
        <v>130</v>
      </c>
      <c r="M43" s="39">
        <f t="shared" si="0"/>
        <v>4.0399999999999998E-2</v>
      </c>
    </row>
    <row r="44" spans="1:13" ht="15" customHeight="1" x14ac:dyDescent="0.25">
      <c r="A44" s="15">
        <v>522</v>
      </c>
      <c r="B44" s="15" t="s">
        <v>153</v>
      </c>
      <c r="C44" s="15" t="s">
        <v>154</v>
      </c>
      <c r="D44" s="15" t="s">
        <v>152</v>
      </c>
      <c r="E44" s="15">
        <v>1</v>
      </c>
      <c r="F44" s="16">
        <v>31.5</v>
      </c>
      <c r="G44" s="16">
        <v>39.9</v>
      </c>
      <c r="H44" s="16">
        <v>37.89</v>
      </c>
      <c r="I44" s="37">
        <v>5.04E-2</v>
      </c>
      <c r="J44" s="29">
        <v>0.01</v>
      </c>
      <c r="K44" s="38" t="s">
        <v>129</v>
      </c>
      <c r="L44" s="26" t="s">
        <v>130</v>
      </c>
      <c r="M44" s="39">
        <f t="shared" si="0"/>
        <v>4.0399999999999998E-2</v>
      </c>
    </row>
    <row r="45" spans="1:13" ht="15" customHeight="1" x14ac:dyDescent="0.25">
      <c r="A45" s="15">
        <v>537</v>
      </c>
      <c r="B45" s="15" t="s">
        <v>155</v>
      </c>
      <c r="C45" s="15" t="s">
        <v>156</v>
      </c>
      <c r="D45" s="15" t="s">
        <v>149</v>
      </c>
      <c r="E45" s="15">
        <v>1</v>
      </c>
      <c r="F45" s="16">
        <v>31.5</v>
      </c>
      <c r="G45" s="16">
        <v>39.9</v>
      </c>
      <c r="H45" s="16">
        <v>37.89</v>
      </c>
      <c r="I45" s="37">
        <v>5.04E-2</v>
      </c>
      <c r="J45" s="29">
        <v>0.01</v>
      </c>
      <c r="K45" s="38" t="s">
        <v>129</v>
      </c>
      <c r="L45" s="26" t="s">
        <v>130</v>
      </c>
      <c r="M45" s="39">
        <f t="shared" si="0"/>
        <v>4.0399999999999998E-2</v>
      </c>
    </row>
    <row r="46" spans="1:13" ht="15" customHeight="1" x14ac:dyDescent="0.25">
      <c r="A46" s="15">
        <v>104</v>
      </c>
      <c r="B46" s="15" t="s">
        <v>157</v>
      </c>
      <c r="C46" s="15" t="s">
        <v>158</v>
      </c>
      <c r="D46" s="15" t="s">
        <v>159</v>
      </c>
      <c r="E46" s="15">
        <v>1</v>
      </c>
      <c r="F46" s="16">
        <v>15</v>
      </c>
      <c r="G46" s="16">
        <v>20.9</v>
      </c>
      <c r="H46" s="16">
        <v>19.89</v>
      </c>
      <c r="I46" s="37">
        <v>4.8300000000000003E-2</v>
      </c>
      <c r="J46" s="29">
        <v>0.01</v>
      </c>
      <c r="K46" s="38" t="s">
        <v>129</v>
      </c>
      <c r="L46" s="26" t="s">
        <v>130</v>
      </c>
      <c r="M46" s="39">
        <f t="shared" si="0"/>
        <v>3.8300000000000001E-2</v>
      </c>
    </row>
    <row r="47" spans="1:13" ht="15" customHeight="1" x14ac:dyDescent="0.25">
      <c r="A47" s="15">
        <v>282</v>
      </c>
      <c r="B47" s="15" t="s">
        <v>160</v>
      </c>
      <c r="C47" s="15" t="s">
        <v>161</v>
      </c>
      <c r="D47" s="15" t="s">
        <v>159</v>
      </c>
      <c r="E47" s="15">
        <v>1</v>
      </c>
      <c r="F47" s="16">
        <v>15</v>
      </c>
      <c r="G47" s="16">
        <v>20.9</v>
      </c>
      <c r="H47" s="16">
        <v>19.89</v>
      </c>
      <c r="I47" s="37">
        <v>4.8300000000000003E-2</v>
      </c>
      <c r="J47" s="29">
        <v>0.01</v>
      </c>
      <c r="K47" s="38" t="s">
        <v>129</v>
      </c>
      <c r="L47" s="26" t="s">
        <v>130</v>
      </c>
      <c r="M47" s="39">
        <f t="shared" si="0"/>
        <v>3.8300000000000001E-2</v>
      </c>
    </row>
    <row r="48" spans="1:13" ht="15" customHeight="1" x14ac:dyDescent="0.25">
      <c r="A48" s="15">
        <v>458</v>
      </c>
      <c r="B48" s="15" t="s">
        <v>162</v>
      </c>
      <c r="C48" s="15" t="s">
        <v>163</v>
      </c>
      <c r="D48" s="15" t="s">
        <v>159</v>
      </c>
      <c r="E48" s="15">
        <v>1</v>
      </c>
      <c r="F48" s="16">
        <v>15</v>
      </c>
      <c r="G48" s="16">
        <v>20.9</v>
      </c>
      <c r="H48" s="16">
        <v>19.89</v>
      </c>
      <c r="I48" s="37">
        <v>4.8300000000000003E-2</v>
      </c>
      <c r="J48" s="29">
        <v>0.01</v>
      </c>
      <c r="K48" s="38" t="s">
        <v>129</v>
      </c>
      <c r="L48" s="26" t="s">
        <v>130</v>
      </c>
      <c r="M48" s="39">
        <f t="shared" si="0"/>
        <v>3.8300000000000001E-2</v>
      </c>
    </row>
    <row r="49" spans="1:13" ht="15" customHeight="1" x14ac:dyDescent="0.25">
      <c r="A49" s="15">
        <v>100</v>
      </c>
      <c r="B49" s="15" t="s">
        <v>164</v>
      </c>
      <c r="C49" s="15" t="s">
        <v>165</v>
      </c>
      <c r="D49" s="15" t="s">
        <v>166</v>
      </c>
      <c r="E49" s="15">
        <v>1</v>
      </c>
      <c r="F49" s="16">
        <v>18.3</v>
      </c>
      <c r="G49" s="16">
        <v>24.9</v>
      </c>
      <c r="H49" s="16">
        <v>22.89</v>
      </c>
      <c r="I49" s="37">
        <v>8.0699999999999994E-2</v>
      </c>
      <c r="J49" s="29">
        <v>0.05</v>
      </c>
      <c r="K49" s="38" t="s">
        <v>129</v>
      </c>
      <c r="L49" s="26" t="s">
        <v>130</v>
      </c>
      <c r="M49" s="39">
        <f t="shared" si="0"/>
        <v>3.0699999999999991E-2</v>
      </c>
    </row>
    <row r="50" spans="1:13" ht="15" customHeight="1" x14ac:dyDescent="0.25">
      <c r="A50" s="15">
        <v>239</v>
      </c>
      <c r="B50" s="15" t="s">
        <v>167</v>
      </c>
      <c r="C50" s="15" t="s">
        <v>168</v>
      </c>
      <c r="D50" s="15" t="s">
        <v>166</v>
      </c>
      <c r="E50" s="15">
        <v>1</v>
      </c>
      <c r="F50" s="16">
        <v>18.3</v>
      </c>
      <c r="G50" s="16">
        <v>24.9</v>
      </c>
      <c r="H50" s="16">
        <v>22.89</v>
      </c>
      <c r="I50" s="37">
        <v>8.0699999999999994E-2</v>
      </c>
      <c r="J50" s="29">
        <v>0.05</v>
      </c>
      <c r="K50" s="38" t="s">
        <v>129</v>
      </c>
      <c r="L50" s="26" t="s">
        <v>130</v>
      </c>
      <c r="M50" s="39">
        <f t="shared" si="0"/>
        <v>3.0699999999999991E-2</v>
      </c>
    </row>
    <row r="51" spans="1:13" ht="15" customHeight="1" x14ac:dyDescent="0.25">
      <c r="A51" s="15">
        <v>365</v>
      </c>
      <c r="B51" s="15" t="s">
        <v>169</v>
      </c>
      <c r="C51" s="15" t="s">
        <v>170</v>
      </c>
      <c r="D51" s="15" t="s">
        <v>166</v>
      </c>
      <c r="E51" s="15">
        <v>1</v>
      </c>
      <c r="F51" s="16">
        <v>18.3</v>
      </c>
      <c r="G51" s="16">
        <v>24.9</v>
      </c>
      <c r="H51" s="16">
        <v>22.89</v>
      </c>
      <c r="I51" s="37">
        <v>8.0699999999999994E-2</v>
      </c>
      <c r="J51" s="29">
        <v>0.05</v>
      </c>
      <c r="K51" s="38" t="s">
        <v>129</v>
      </c>
      <c r="L51" s="26" t="s">
        <v>130</v>
      </c>
      <c r="M51" s="39">
        <f t="shared" si="0"/>
        <v>3.0699999999999991E-2</v>
      </c>
    </row>
    <row r="52" spans="1:13" ht="15" customHeight="1" x14ac:dyDescent="0.25">
      <c r="A52" s="15">
        <v>360</v>
      </c>
      <c r="B52" s="15" t="s">
        <v>171</v>
      </c>
      <c r="C52" s="15" t="s">
        <v>172</v>
      </c>
      <c r="D52" s="15" t="s">
        <v>173</v>
      </c>
      <c r="E52" s="15">
        <v>1</v>
      </c>
      <c r="F52" s="16">
        <v>5.4</v>
      </c>
      <c r="G52" s="16">
        <v>7.5</v>
      </c>
      <c r="H52" s="16">
        <v>7.33</v>
      </c>
      <c r="I52" s="37">
        <v>2.2700000000000001E-2</v>
      </c>
      <c r="J52" s="29">
        <v>0.01</v>
      </c>
      <c r="K52" s="38" t="s">
        <v>129</v>
      </c>
      <c r="L52" s="26" t="s">
        <v>130</v>
      </c>
      <c r="M52" s="39">
        <f t="shared" si="0"/>
        <v>1.2700000000000001E-2</v>
      </c>
    </row>
    <row r="53" spans="1:13" ht="15" customHeight="1" x14ac:dyDescent="0.25">
      <c r="A53" s="15">
        <v>638</v>
      </c>
      <c r="B53" s="15" t="s">
        <v>174</v>
      </c>
      <c r="C53" s="15" t="s">
        <v>175</v>
      </c>
      <c r="D53" s="15" t="s">
        <v>176</v>
      </c>
      <c r="E53" s="15">
        <v>1</v>
      </c>
      <c r="F53" s="16">
        <v>5.4</v>
      </c>
      <c r="G53" s="16">
        <v>7.5</v>
      </c>
      <c r="H53" s="16">
        <v>7.33</v>
      </c>
      <c r="I53" s="37">
        <v>2.2700000000000001E-2</v>
      </c>
      <c r="J53" s="29">
        <v>0.01</v>
      </c>
      <c r="K53" s="38" t="s">
        <v>129</v>
      </c>
      <c r="L53" s="26" t="s">
        <v>130</v>
      </c>
      <c r="M53" s="39">
        <f t="shared" si="0"/>
        <v>1.2700000000000001E-2</v>
      </c>
    </row>
    <row r="54" spans="1:13" ht="15" customHeight="1" x14ac:dyDescent="0.25">
      <c r="A54" s="15">
        <v>253</v>
      </c>
      <c r="B54" s="15" t="s">
        <v>177</v>
      </c>
      <c r="C54" s="15" t="s">
        <v>178</v>
      </c>
      <c r="D54" s="15" t="s">
        <v>179</v>
      </c>
      <c r="E54" s="15">
        <v>3</v>
      </c>
      <c r="F54" s="16">
        <v>11.3</v>
      </c>
      <c r="G54" s="16">
        <v>15.9</v>
      </c>
      <c r="H54" s="16">
        <v>15.54</v>
      </c>
      <c r="I54" s="37">
        <v>2.2599999999999999E-2</v>
      </c>
      <c r="J54" s="29">
        <v>0.01</v>
      </c>
      <c r="K54" s="38" t="s">
        <v>129</v>
      </c>
      <c r="L54" s="26" t="s">
        <v>130</v>
      </c>
      <c r="M54" s="39">
        <f t="shared" si="0"/>
        <v>1.2599999999999998E-2</v>
      </c>
    </row>
    <row r="55" spans="1:13" ht="15" customHeight="1" x14ac:dyDescent="0.25">
      <c r="A55" s="15">
        <v>432</v>
      </c>
      <c r="B55" s="15" t="s">
        <v>180</v>
      </c>
      <c r="C55" s="15" t="s">
        <v>181</v>
      </c>
      <c r="D55" s="15" t="s">
        <v>179</v>
      </c>
      <c r="E55" s="15">
        <v>3</v>
      </c>
      <c r="F55" s="16">
        <v>11.3</v>
      </c>
      <c r="G55" s="16">
        <v>15.9</v>
      </c>
      <c r="H55" s="16">
        <v>15.54</v>
      </c>
      <c r="I55" s="37">
        <v>2.2599999999999999E-2</v>
      </c>
      <c r="J55" s="29">
        <v>0.01</v>
      </c>
      <c r="K55" s="38" t="s">
        <v>129</v>
      </c>
      <c r="L55" s="26" t="s">
        <v>130</v>
      </c>
      <c r="M55" s="39">
        <f t="shared" si="0"/>
        <v>1.2599999999999998E-2</v>
      </c>
    </row>
    <row r="56" spans="1:13" ht="15" customHeight="1" x14ac:dyDescent="0.25">
      <c r="A56" s="15">
        <v>472</v>
      </c>
      <c r="B56" s="15" t="s">
        <v>182</v>
      </c>
      <c r="C56" s="15" t="s">
        <v>183</v>
      </c>
      <c r="D56" s="15" t="s">
        <v>179</v>
      </c>
      <c r="E56" s="15">
        <v>3</v>
      </c>
      <c r="F56" s="16">
        <v>11.3</v>
      </c>
      <c r="G56" s="16">
        <v>15.9</v>
      </c>
      <c r="H56" s="16">
        <v>15.54</v>
      </c>
      <c r="I56" s="37">
        <v>2.2599999999999999E-2</v>
      </c>
      <c r="J56" s="29">
        <v>0.01</v>
      </c>
      <c r="K56" s="38" t="s">
        <v>129</v>
      </c>
      <c r="L56" s="26" t="s">
        <v>130</v>
      </c>
      <c r="M56" s="39">
        <f t="shared" si="0"/>
        <v>1.2599999999999998E-2</v>
      </c>
    </row>
    <row r="57" spans="1:13" ht="15" customHeight="1" x14ac:dyDescent="0.25">
      <c r="A57" s="15">
        <v>321</v>
      </c>
      <c r="B57" s="15" t="s">
        <v>184</v>
      </c>
      <c r="C57" s="15" t="s">
        <v>185</v>
      </c>
      <c r="D57" s="15" t="s">
        <v>186</v>
      </c>
      <c r="E57" s="15">
        <v>1</v>
      </c>
      <c r="F57" s="16">
        <v>12.4</v>
      </c>
      <c r="G57" s="16">
        <v>17.899999999999999</v>
      </c>
      <c r="H57" s="16">
        <v>17.52</v>
      </c>
      <c r="I57" s="37">
        <v>2.12E-2</v>
      </c>
      <c r="J57" s="29">
        <v>0.01</v>
      </c>
      <c r="K57" s="38" t="s">
        <v>129</v>
      </c>
      <c r="L57" s="26" t="s">
        <v>130</v>
      </c>
      <c r="M57" s="39">
        <f t="shared" si="0"/>
        <v>1.12E-2</v>
      </c>
    </row>
    <row r="58" spans="1:13" ht="15" customHeight="1" x14ac:dyDescent="0.25">
      <c r="A58" s="15">
        <v>413</v>
      </c>
      <c r="B58" s="15" t="s">
        <v>187</v>
      </c>
      <c r="C58" s="15" t="s">
        <v>188</v>
      </c>
      <c r="D58" s="15" t="s">
        <v>186</v>
      </c>
      <c r="E58" s="15">
        <v>2</v>
      </c>
      <c r="F58" s="16">
        <v>12.4</v>
      </c>
      <c r="G58" s="16">
        <v>17.899999999999999</v>
      </c>
      <c r="H58" s="16">
        <v>17.53</v>
      </c>
      <c r="I58" s="37">
        <v>2.07E-2</v>
      </c>
      <c r="J58" s="29">
        <v>0.01</v>
      </c>
      <c r="K58" s="38" t="s">
        <v>129</v>
      </c>
      <c r="L58" s="26" t="s">
        <v>130</v>
      </c>
      <c r="M58" s="39">
        <f t="shared" si="0"/>
        <v>1.0699999999999999E-2</v>
      </c>
    </row>
    <row r="59" spans="1:13" ht="15" customHeight="1" x14ac:dyDescent="0.25">
      <c r="A59" s="15">
        <v>77</v>
      </c>
      <c r="B59" s="15" t="s">
        <v>189</v>
      </c>
      <c r="C59" s="15" t="s">
        <v>190</v>
      </c>
      <c r="D59" s="15" t="s">
        <v>191</v>
      </c>
      <c r="E59" s="15">
        <v>1</v>
      </c>
      <c r="F59" s="16">
        <v>31.5</v>
      </c>
      <c r="G59" s="16">
        <v>39.9</v>
      </c>
      <c r="H59" s="16">
        <v>39.11</v>
      </c>
      <c r="I59" s="37">
        <v>1.9800000000000002E-2</v>
      </c>
      <c r="J59" s="29">
        <v>0.01</v>
      </c>
      <c r="K59" s="38" t="s">
        <v>129</v>
      </c>
      <c r="L59" s="26" t="s">
        <v>130</v>
      </c>
      <c r="M59" s="39">
        <f t="shared" si="0"/>
        <v>9.8000000000000014E-3</v>
      </c>
    </row>
    <row r="60" spans="1:13" ht="15" customHeight="1" x14ac:dyDescent="0.25">
      <c r="A60" s="15">
        <v>580</v>
      </c>
      <c r="B60" s="15" t="s">
        <v>192</v>
      </c>
      <c r="C60" s="15" t="s">
        <v>193</v>
      </c>
      <c r="D60" s="15" t="s">
        <v>194</v>
      </c>
      <c r="E60" s="15">
        <v>1</v>
      </c>
      <c r="F60" s="16">
        <v>31.5</v>
      </c>
      <c r="G60" s="16">
        <v>39.9</v>
      </c>
      <c r="H60" s="16">
        <v>39.11</v>
      </c>
      <c r="I60" s="37">
        <v>1.9800000000000002E-2</v>
      </c>
      <c r="J60" s="29">
        <v>0.01</v>
      </c>
      <c r="K60" s="38" t="s">
        <v>129</v>
      </c>
      <c r="L60" s="26" t="s">
        <v>130</v>
      </c>
      <c r="M60" s="39">
        <f t="shared" si="0"/>
        <v>9.8000000000000014E-3</v>
      </c>
    </row>
    <row r="61" spans="1:13" ht="15" customHeight="1" x14ac:dyDescent="0.25">
      <c r="A61" s="15">
        <v>78</v>
      </c>
      <c r="B61" s="15" t="s">
        <v>189</v>
      </c>
      <c r="C61" s="15" t="s">
        <v>190</v>
      </c>
      <c r="D61" s="15" t="s">
        <v>195</v>
      </c>
      <c r="E61" s="15">
        <v>1</v>
      </c>
      <c r="F61" s="16">
        <v>10</v>
      </c>
      <c r="G61" s="16">
        <v>15.9</v>
      </c>
      <c r="H61" s="16">
        <v>14.95</v>
      </c>
      <c r="I61" s="37">
        <v>5.9700000000000003E-2</v>
      </c>
      <c r="J61" s="29">
        <v>0.05</v>
      </c>
      <c r="K61" s="38" t="s">
        <v>129</v>
      </c>
      <c r="L61" s="26" t="s">
        <v>130</v>
      </c>
      <c r="M61" s="39">
        <f t="shared" si="0"/>
        <v>9.7000000000000003E-3</v>
      </c>
    </row>
    <row r="62" spans="1:13" ht="15" customHeight="1" x14ac:dyDescent="0.25">
      <c r="A62" s="15">
        <v>271</v>
      </c>
      <c r="B62" s="15" t="s">
        <v>196</v>
      </c>
      <c r="C62" s="15" t="s">
        <v>197</v>
      </c>
      <c r="D62" s="15" t="s">
        <v>198</v>
      </c>
      <c r="E62" s="15">
        <v>2</v>
      </c>
      <c r="F62" s="16">
        <v>10</v>
      </c>
      <c r="G62" s="16">
        <v>15.9</v>
      </c>
      <c r="H62" s="16">
        <v>14.95</v>
      </c>
      <c r="I62" s="37">
        <v>5.9700000000000003E-2</v>
      </c>
      <c r="J62" s="29">
        <v>0.05</v>
      </c>
      <c r="K62" s="38" t="s">
        <v>129</v>
      </c>
      <c r="L62" s="26" t="s">
        <v>130</v>
      </c>
      <c r="M62" s="39">
        <f t="shared" si="0"/>
        <v>9.7000000000000003E-3</v>
      </c>
    </row>
    <row r="63" spans="1:13" ht="15" customHeight="1" x14ac:dyDescent="0.25">
      <c r="A63" s="15">
        <v>450</v>
      </c>
      <c r="B63" s="15" t="s">
        <v>199</v>
      </c>
      <c r="C63" s="15" t="s">
        <v>200</v>
      </c>
      <c r="D63" s="15" t="s">
        <v>201</v>
      </c>
      <c r="E63" s="15">
        <v>1</v>
      </c>
      <c r="F63" s="16">
        <v>10.3</v>
      </c>
      <c r="G63" s="16">
        <v>15.9</v>
      </c>
      <c r="H63" s="16">
        <v>14.95</v>
      </c>
      <c r="I63" s="37">
        <v>5.9700000000000003E-2</v>
      </c>
      <c r="J63" s="29">
        <v>0.05</v>
      </c>
      <c r="K63" s="38" t="s">
        <v>129</v>
      </c>
      <c r="L63" s="26" t="s">
        <v>130</v>
      </c>
      <c r="M63" s="39">
        <f t="shared" si="0"/>
        <v>9.7000000000000003E-3</v>
      </c>
    </row>
    <row r="64" spans="1:13" ht="15" customHeight="1" x14ac:dyDescent="0.25">
      <c r="A64" s="15">
        <v>614</v>
      </c>
      <c r="B64" s="15" t="s">
        <v>202</v>
      </c>
      <c r="C64" s="15" t="s">
        <v>203</v>
      </c>
      <c r="D64" s="15" t="s">
        <v>198</v>
      </c>
      <c r="E64" s="15">
        <v>1</v>
      </c>
      <c r="F64" s="16">
        <v>10</v>
      </c>
      <c r="G64" s="16">
        <v>15.9</v>
      </c>
      <c r="H64" s="16">
        <v>14.95</v>
      </c>
      <c r="I64" s="37">
        <v>5.9700000000000003E-2</v>
      </c>
      <c r="J64" s="29">
        <v>0.05</v>
      </c>
      <c r="K64" s="38" t="s">
        <v>129</v>
      </c>
      <c r="L64" s="26" t="s">
        <v>130</v>
      </c>
      <c r="M64" s="39">
        <f t="shared" si="0"/>
        <v>9.7000000000000003E-3</v>
      </c>
    </row>
    <row r="65" spans="1:13" ht="15" customHeight="1" x14ac:dyDescent="0.25">
      <c r="A65" s="15">
        <v>585</v>
      </c>
      <c r="B65" s="15" t="s">
        <v>134</v>
      </c>
      <c r="C65" s="15" t="s">
        <v>135</v>
      </c>
      <c r="D65" s="15" t="s">
        <v>204</v>
      </c>
      <c r="E65" s="15">
        <v>1</v>
      </c>
      <c r="F65" s="16">
        <v>14.8</v>
      </c>
      <c r="G65" s="16">
        <v>20.9</v>
      </c>
      <c r="H65" s="16">
        <v>20.49</v>
      </c>
      <c r="I65" s="37">
        <v>1.9599999999999999E-2</v>
      </c>
      <c r="J65" s="29">
        <v>0.01</v>
      </c>
      <c r="K65" s="38" t="s">
        <v>129</v>
      </c>
      <c r="L65" s="26" t="s">
        <v>130</v>
      </c>
      <c r="M65" s="39">
        <f t="shared" si="0"/>
        <v>9.5999999999999992E-3</v>
      </c>
    </row>
    <row r="66" spans="1:13" ht="15" customHeight="1" x14ac:dyDescent="0.25">
      <c r="A66" s="15">
        <v>586</v>
      </c>
      <c r="B66" s="15" t="s">
        <v>134</v>
      </c>
      <c r="C66" s="15" t="s">
        <v>135</v>
      </c>
      <c r="D66" s="15" t="s">
        <v>205</v>
      </c>
      <c r="E66" s="15">
        <v>1</v>
      </c>
      <c r="F66" s="16">
        <v>14.8</v>
      </c>
      <c r="G66" s="16">
        <v>20.9</v>
      </c>
      <c r="H66" s="16">
        <v>20.49</v>
      </c>
      <c r="I66" s="37">
        <v>1.9599999999999999E-2</v>
      </c>
      <c r="J66" s="29">
        <v>0.01</v>
      </c>
      <c r="K66" s="38" t="s">
        <v>129</v>
      </c>
      <c r="L66" s="26" t="s">
        <v>130</v>
      </c>
      <c r="M66" s="39">
        <f t="shared" ref="M66:M97" si="1">I66-J66</f>
        <v>9.5999999999999992E-3</v>
      </c>
    </row>
    <row r="67" spans="1:13" ht="15" customHeight="1" x14ac:dyDescent="0.25">
      <c r="A67" s="15">
        <v>624</v>
      </c>
      <c r="B67" s="15" t="s">
        <v>137</v>
      </c>
      <c r="C67" s="15" t="s">
        <v>138</v>
      </c>
      <c r="D67" s="15" t="s">
        <v>206</v>
      </c>
      <c r="E67" s="15">
        <v>1</v>
      </c>
      <c r="F67" s="16">
        <v>14.9</v>
      </c>
      <c r="G67" s="16">
        <v>20.9</v>
      </c>
      <c r="H67" s="16">
        <v>20.49</v>
      </c>
      <c r="I67" s="37">
        <v>1.9599999999999999E-2</v>
      </c>
      <c r="J67" s="29">
        <v>0.01</v>
      </c>
      <c r="K67" s="38" t="s">
        <v>129</v>
      </c>
      <c r="L67" s="26" t="s">
        <v>130</v>
      </c>
      <c r="M67" s="39">
        <f t="shared" si="1"/>
        <v>9.5999999999999992E-3</v>
      </c>
    </row>
    <row r="68" spans="1:13" ht="15" customHeight="1" x14ac:dyDescent="0.25">
      <c r="A68" s="15">
        <v>79</v>
      </c>
      <c r="B68" s="15" t="s">
        <v>189</v>
      </c>
      <c r="C68" s="15" t="s">
        <v>190</v>
      </c>
      <c r="D68" s="15" t="s">
        <v>207</v>
      </c>
      <c r="E68" s="15">
        <v>1</v>
      </c>
      <c r="F68" s="16">
        <v>6.5</v>
      </c>
      <c r="G68" s="16">
        <v>9.9</v>
      </c>
      <c r="H68" s="16">
        <v>9.31</v>
      </c>
      <c r="I68" s="37">
        <v>5.96E-2</v>
      </c>
      <c r="J68" s="29">
        <v>0.05</v>
      </c>
      <c r="K68" s="38" t="s">
        <v>129</v>
      </c>
      <c r="L68" s="26" t="s">
        <v>130</v>
      </c>
      <c r="M68" s="39">
        <f t="shared" si="1"/>
        <v>9.5999999999999974E-3</v>
      </c>
    </row>
    <row r="69" spans="1:13" ht="15" customHeight="1" x14ac:dyDescent="0.25">
      <c r="A69" s="15">
        <v>273</v>
      </c>
      <c r="B69" s="15" t="s">
        <v>196</v>
      </c>
      <c r="C69" s="15" t="s">
        <v>197</v>
      </c>
      <c r="D69" s="15" t="s">
        <v>208</v>
      </c>
      <c r="E69" s="15">
        <v>1</v>
      </c>
      <c r="F69" s="16">
        <v>6.5</v>
      </c>
      <c r="G69" s="16">
        <v>9.9</v>
      </c>
      <c r="H69" s="16">
        <v>9.31</v>
      </c>
      <c r="I69" s="37">
        <v>5.96E-2</v>
      </c>
      <c r="J69" s="29">
        <v>0.05</v>
      </c>
      <c r="K69" s="38" t="s">
        <v>129</v>
      </c>
      <c r="L69" s="26" t="s">
        <v>130</v>
      </c>
      <c r="M69" s="39">
        <f t="shared" si="1"/>
        <v>9.5999999999999974E-3</v>
      </c>
    </row>
    <row r="70" spans="1:13" ht="15" customHeight="1" x14ac:dyDescent="0.25">
      <c r="A70" s="15">
        <v>274</v>
      </c>
      <c r="B70" s="15" t="s">
        <v>196</v>
      </c>
      <c r="C70" s="15" t="s">
        <v>197</v>
      </c>
      <c r="D70" s="15" t="s">
        <v>209</v>
      </c>
      <c r="E70" s="15">
        <v>1</v>
      </c>
      <c r="F70" s="16">
        <v>6.5</v>
      </c>
      <c r="G70" s="16">
        <v>9.9</v>
      </c>
      <c r="H70" s="16">
        <v>9.31</v>
      </c>
      <c r="I70" s="37">
        <v>5.96E-2</v>
      </c>
      <c r="J70" s="29">
        <v>0.05</v>
      </c>
      <c r="K70" s="38" t="s">
        <v>129</v>
      </c>
      <c r="L70" s="26" t="s">
        <v>130</v>
      </c>
      <c r="M70" s="39">
        <f t="shared" si="1"/>
        <v>9.5999999999999974E-3</v>
      </c>
    </row>
    <row r="71" spans="1:13" ht="15" customHeight="1" x14ac:dyDescent="0.25">
      <c r="A71" s="15">
        <v>448</v>
      </c>
      <c r="B71" s="15" t="s">
        <v>199</v>
      </c>
      <c r="C71" s="15" t="s">
        <v>200</v>
      </c>
      <c r="D71" s="15" t="s">
        <v>208</v>
      </c>
      <c r="E71" s="15">
        <v>1</v>
      </c>
      <c r="F71" s="16">
        <v>6.5</v>
      </c>
      <c r="G71" s="16">
        <v>9.9</v>
      </c>
      <c r="H71" s="16">
        <v>9.31</v>
      </c>
      <c r="I71" s="37">
        <v>5.96E-2</v>
      </c>
      <c r="J71" s="29">
        <v>0.05</v>
      </c>
      <c r="K71" s="38" t="s">
        <v>129</v>
      </c>
      <c r="L71" s="26" t="s">
        <v>130</v>
      </c>
      <c r="M71" s="39">
        <f t="shared" si="1"/>
        <v>9.5999999999999974E-3</v>
      </c>
    </row>
    <row r="72" spans="1:13" ht="15" customHeight="1" x14ac:dyDescent="0.25">
      <c r="A72" s="15">
        <v>581</v>
      </c>
      <c r="B72" s="15" t="s">
        <v>192</v>
      </c>
      <c r="C72" s="15" t="s">
        <v>193</v>
      </c>
      <c r="D72" s="15" t="s">
        <v>207</v>
      </c>
      <c r="E72" s="15">
        <v>1</v>
      </c>
      <c r="F72" s="16">
        <v>6.5</v>
      </c>
      <c r="G72" s="16">
        <v>9.9</v>
      </c>
      <c r="H72" s="16">
        <v>9.31</v>
      </c>
      <c r="I72" s="37">
        <v>5.96E-2</v>
      </c>
      <c r="J72" s="29">
        <v>0.05</v>
      </c>
      <c r="K72" s="38" t="s">
        <v>129</v>
      </c>
      <c r="L72" s="26" t="s">
        <v>130</v>
      </c>
      <c r="M72" s="39">
        <f t="shared" si="1"/>
        <v>9.5999999999999974E-3</v>
      </c>
    </row>
    <row r="73" spans="1:13" ht="15" customHeight="1" x14ac:dyDescent="0.25">
      <c r="A73" s="15">
        <v>577</v>
      </c>
      <c r="B73" s="15" t="s">
        <v>210</v>
      </c>
      <c r="C73" s="15" t="s">
        <v>211</v>
      </c>
      <c r="D73" s="15" t="s">
        <v>159</v>
      </c>
      <c r="E73" s="15">
        <v>2</v>
      </c>
      <c r="F73" s="16">
        <v>15</v>
      </c>
      <c r="G73" s="16">
        <v>20.9</v>
      </c>
      <c r="H73" s="16">
        <v>20.5</v>
      </c>
      <c r="I73" s="37">
        <v>1.9099999999999999E-2</v>
      </c>
      <c r="J73" s="29">
        <v>0.01</v>
      </c>
      <c r="K73" s="38" t="s">
        <v>129</v>
      </c>
      <c r="L73" s="26" t="s">
        <v>130</v>
      </c>
      <c r="M73" s="39">
        <f t="shared" si="1"/>
        <v>9.0999999999999987E-3</v>
      </c>
    </row>
    <row r="74" spans="1:13" ht="15" customHeight="1" x14ac:dyDescent="0.25">
      <c r="A74" s="15">
        <v>615</v>
      </c>
      <c r="B74" s="15" t="s">
        <v>202</v>
      </c>
      <c r="C74" s="15" t="s">
        <v>203</v>
      </c>
      <c r="D74" s="15" t="s">
        <v>212</v>
      </c>
      <c r="E74" s="15">
        <v>1</v>
      </c>
      <c r="F74" s="16">
        <v>25.6</v>
      </c>
      <c r="G74" s="16">
        <v>37.9</v>
      </c>
      <c r="H74" s="16">
        <v>31.88</v>
      </c>
      <c r="I74" s="37">
        <v>0.1588</v>
      </c>
      <c r="J74" s="29">
        <v>0.15</v>
      </c>
      <c r="K74" s="38" t="s">
        <v>129</v>
      </c>
      <c r="L74" s="26" t="s">
        <v>130</v>
      </c>
      <c r="M74" s="39">
        <f t="shared" si="1"/>
        <v>8.8000000000000023E-3</v>
      </c>
    </row>
    <row r="75" spans="1:13" ht="15" customHeight="1" x14ac:dyDescent="0.25">
      <c r="A75" s="15">
        <v>272</v>
      </c>
      <c r="B75" s="15" t="s">
        <v>196</v>
      </c>
      <c r="C75" s="15" t="s">
        <v>197</v>
      </c>
      <c r="D75" s="15" t="s">
        <v>213</v>
      </c>
      <c r="E75" s="15">
        <v>1</v>
      </c>
      <c r="F75" s="16">
        <v>35.4</v>
      </c>
      <c r="G75" s="16">
        <v>44.9</v>
      </c>
      <c r="H75" s="16">
        <v>44.06</v>
      </c>
      <c r="I75" s="37">
        <v>1.8700000000000001E-2</v>
      </c>
      <c r="J75" s="29">
        <v>0.01</v>
      </c>
      <c r="K75" s="38" t="s">
        <v>129</v>
      </c>
      <c r="L75" s="26" t="s">
        <v>130</v>
      </c>
      <c r="M75" s="39">
        <f t="shared" si="1"/>
        <v>8.7000000000000011E-3</v>
      </c>
    </row>
    <row r="76" spans="1:13" ht="15" customHeight="1" x14ac:dyDescent="0.25">
      <c r="A76" s="15">
        <v>613</v>
      </c>
      <c r="B76" s="15" t="s">
        <v>202</v>
      </c>
      <c r="C76" s="15" t="s">
        <v>203</v>
      </c>
      <c r="D76" s="15" t="s">
        <v>213</v>
      </c>
      <c r="E76" s="15">
        <v>1</v>
      </c>
      <c r="F76" s="16">
        <v>35.4</v>
      </c>
      <c r="G76" s="16">
        <v>44.9</v>
      </c>
      <c r="H76" s="16">
        <v>44.06</v>
      </c>
      <c r="I76" s="37">
        <v>1.8700000000000001E-2</v>
      </c>
      <c r="J76" s="29">
        <v>0.01</v>
      </c>
      <c r="K76" s="38" t="s">
        <v>129</v>
      </c>
      <c r="L76" s="26" t="s">
        <v>130</v>
      </c>
      <c r="M76" s="39">
        <f t="shared" si="1"/>
        <v>8.7000000000000011E-3</v>
      </c>
    </row>
    <row r="77" spans="1:13" ht="15" customHeight="1" x14ac:dyDescent="0.25">
      <c r="A77" s="15">
        <v>316</v>
      </c>
      <c r="B77" s="15" t="s">
        <v>214</v>
      </c>
      <c r="C77" s="15" t="s">
        <v>215</v>
      </c>
      <c r="D77" s="15" t="s">
        <v>216</v>
      </c>
      <c r="E77" s="15">
        <v>2</v>
      </c>
      <c r="F77" s="16">
        <v>11.2</v>
      </c>
      <c r="G77" s="16">
        <v>17.899999999999999</v>
      </c>
      <c r="H77" s="16">
        <v>13.27</v>
      </c>
      <c r="I77" s="37">
        <v>0.25869999999999999</v>
      </c>
      <c r="J77" s="29">
        <v>0.25</v>
      </c>
      <c r="K77" s="38" t="s">
        <v>129</v>
      </c>
      <c r="L77" s="26" t="s">
        <v>130</v>
      </c>
      <c r="M77" s="39">
        <f t="shared" si="1"/>
        <v>8.6999999999999855E-3</v>
      </c>
    </row>
    <row r="78" spans="1:13" ht="15" customHeight="1" x14ac:dyDescent="0.25">
      <c r="A78" s="15">
        <v>407</v>
      </c>
      <c r="B78" s="15" t="s">
        <v>217</v>
      </c>
      <c r="C78" s="15" t="s">
        <v>218</v>
      </c>
      <c r="D78" s="15" t="s">
        <v>219</v>
      </c>
      <c r="E78" s="15">
        <v>2</v>
      </c>
      <c r="F78" s="16">
        <v>10</v>
      </c>
      <c r="G78" s="16">
        <v>14.9</v>
      </c>
      <c r="H78" s="16">
        <v>10.3</v>
      </c>
      <c r="I78" s="37">
        <v>0.30869999999999997</v>
      </c>
      <c r="J78" s="29">
        <v>0.3</v>
      </c>
      <c r="K78" s="38" t="s">
        <v>129</v>
      </c>
      <c r="L78" s="26" t="s">
        <v>130</v>
      </c>
      <c r="M78" s="39">
        <f t="shared" si="1"/>
        <v>8.6999999999999855E-3</v>
      </c>
    </row>
    <row r="79" spans="1:13" ht="15" customHeight="1" x14ac:dyDescent="0.25">
      <c r="A79" s="15">
        <v>317</v>
      </c>
      <c r="B79" s="15" t="s">
        <v>214</v>
      </c>
      <c r="C79" s="15" t="s">
        <v>215</v>
      </c>
      <c r="D79" s="15" t="s">
        <v>220</v>
      </c>
      <c r="E79" s="15">
        <v>1</v>
      </c>
      <c r="F79" s="16">
        <v>34.5</v>
      </c>
      <c r="G79" s="16">
        <v>45.9</v>
      </c>
      <c r="H79" s="16">
        <v>36.33</v>
      </c>
      <c r="I79" s="37">
        <v>0.20849999999999999</v>
      </c>
      <c r="J79" s="29">
        <v>0.2</v>
      </c>
      <c r="K79" s="38" t="s">
        <v>129</v>
      </c>
      <c r="L79" s="26" t="s">
        <v>130</v>
      </c>
      <c r="M79" s="39">
        <f t="shared" si="1"/>
        <v>8.4999999999999798E-3</v>
      </c>
    </row>
    <row r="80" spans="1:13" ht="15" customHeight="1" x14ac:dyDescent="0.25">
      <c r="A80" s="15">
        <v>361</v>
      </c>
      <c r="B80" s="15" t="s">
        <v>171</v>
      </c>
      <c r="C80" s="15" t="s">
        <v>172</v>
      </c>
      <c r="D80" s="15" t="s">
        <v>221</v>
      </c>
      <c r="E80" s="15">
        <v>1</v>
      </c>
      <c r="F80" s="16">
        <v>8.1</v>
      </c>
      <c r="G80" s="16">
        <v>11.5</v>
      </c>
      <c r="H80" s="16">
        <v>11.29</v>
      </c>
      <c r="I80" s="37">
        <v>1.83E-2</v>
      </c>
      <c r="J80" s="29">
        <v>0.01</v>
      </c>
      <c r="K80" s="38" t="s">
        <v>129</v>
      </c>
      <c r="L80" s="26" t="s">
        <v>130</v>
      </c>
      <c r="M80" s="39">
        <f t="shared" si="1"/>
        <v>8.3000000000000001E-3</v>
      </c>
    </row>
    <row r="81" spans="1:13" ht="15" customHeight="1" x14ac:dyDescent="0.25">
      <c r="A81" s="15">
        <v>198</v>
      </c>
      <c r="B81" s="15" t="s">
        <v>222</v>
      </c>
      <c r="C81" s="15" t="s">
        <v>223</v>
      </c>
      <c r="D81" s="15" t="s">
        <v>224</v>
      </c>
      <c r="E81" s="15">
        <v>1</v>
      </c>
      <c r="F81" s="16">
        <v>18.8</v>
      </c>
      <c r="G81" s="16">
        <v>24.9</v>
      </c>
      <c r="H81" s="16">
        <v>24.45</v>
      </c>
      <c r="I81" s="37">
        <v>1.8100000000000002E-2</v>
      </c>
      <c r="J81" s="29">
        <v>0.01</v>
      </c>
      <c r="K81" s="38" t="s">
        <v>129</v>
      </c>
      <c r="L81" s="26" t="s">
        <v>130</v>
      </c>
      <c r="M81" s="39">
        <f t="shared" si="1"/>
        <v>8.1000000000000013E-3</v>
      </c>
    </row>
    <row r="82" spans="1:13" ht="15" customHeight="1" x14ac:dyDescent="0.25">
      <c r="A82" s="15">
        <v>355</v>
      </c>
      <c r="B82" s="15" t="s">
        <v>225</v>
      </c>
      <c r="C82" s="15" t="s">
        <v>226</v>
      </c>
      <c r="D82" s="15" t="s">
        <v>227</v>
      </c>
      <c r="E82" s="15">
        <v>1</v>
      </c>
      <c r="F82" s="16">
        <v>18.8</v>
      </c>
      <c r="G82" s="16">
        <v>24.9</v>
      </c>
      <c r="H82" s="16">
        <v>24.45</v>
      </c>
      <c r="I82" s="37">
        <v>1.8100000000000002E-2</v>
      </c>
      <c r="J82" s="29">
        <v>0.01</v>
      </c>
      <c r="K82" s="38" t="s">
        <v>129</v>
      </c>
      <c r="L82" s="26" t="s">
        <v>130</v>
      </c>
      <c r="M82" s="39">
        <f t="shared" si="1"/>
        <v>8.1000000000000013E-3</v>
      </c>
    </row>
    <row r="83" spans="1:13" ht="15" customHeight="1" x14ac:dyDescent="0.25">
      <c r="A83" s="15">
        <v>356</v>
      </c>
      <c r="B83" s="15" t="s">
        <v>225</v>
      </c>
      <c r="C83" s="15" t="s">
        <v>226</v>
      </c>
      <c r="D83" s="15" t="s">
        <v>228</v>
      </c>
      <c r="E83" s="15">
        <v>1</v>
      </c>
      <c r="F83" s="16">
        <v>18.8</v>
      </c>
      <c r="G83" s="16">
        <v>24.9</v>
      </c>
      <c r="H83" s="16">
        <v>24.45</v>
      </c>
      <c r="I83" s="37">
        <v>1.8100000000000002E-2</v>
      </c>
      <c r="J83" s="29">
        <v>0.01</v>
      </c>
      <c r="K83" s="38" t="s">
        <v>129</v>
      </c>
      <c r="L83" s="26" t="s">
        <v>130</v>
      </c>
      <c r="M83" s="39">
        <f t="shared" si="1"/>
        <v>8.1000000000000013E-3</v>
      </c>
    </row>
    <row r="84" spans="1:13" ht="15" customHeight="1" x14ac:dyDescent="0.25">
      <c r="A84" s="15">
        <v>359</v>
      </c>
      <c r="B84" s="15" t="s">
        <v>171</v>
      </c>
      <c r="C84" s="15" t="s">
        <v>172</v>
      </c>
      <c r="D84" s="15" t="s">
        <v>227</v>
      </c>
      <c r="E84" s="15">
        <v>1</v>
      </c>
      <c r="F84" s="16">
        <v>18.8</v>
      </c>
      <c r="G84" s="16">
        <v>24.9</v>
      </c>
      <c r="H84" s="16">
        <v>24.45</v>
      </c>
      <c r="I84" s="37">
        <v>1.8100000000000002E-2</v>
      </c>
      <c r="J84" s="29">
        <v>0.01</v>
      </c>
      <c r="K84" s="38" t="s">
        <v>129</v>
      </c>
      <c r="L84" s="26" t="s">
        <v>130</v>
      </c>
      <c r="M84" s="39">
        <f t="shared" si="1"/>
        <v>8.1000000000000013E-3</v>
      </c>
    </row>
    <row r="85" spans="1:13" ht="15" customHeight="1" x14ac:dyDescent="0.25">
      <c r="A85" s="15">
        <v>639</v>
      </c>
      <c r="B85" s="15" t="s">
        <v>174</v>
      </c>
      <c r="C85" s="15" t="s">
        <v>175</v>
      </c>
      <c r="D85" s="15" t="s">
        <v>229</v>
      </c>
      <c r="E85" s="15">
        <v>1</v>
      </c>
      <c r="F85" s="16">
        <v>18.8</v>
      </c>
      <c r="G85" s="16">
        <v>24.9</v>
      </c>
      <c r="H85" s="16">
        <v>24.45</v>
      </c>
      <c r="I85" s="37">
        <v>1.8100000000000002E-2</v>
      </c>
      <c r="J85" s="29">
        <v>0.01</v>
      </c>
      <c r="K85" s="38" t="s">
        <v>129</v>
      </c>
      <c r="L85" s="26" t="s">
        <v>130</v>
      </c>
      <c r="M85" s="39">
        <f t="shared" si="1"/>
        <v>8.1000000000000013E-3</v>
      </c>
    </row>
    <row r="86" spans="1:13" ht="15" customHeight="1" x14ac:dyDescent="0.25">
      <c r="A86" s="15">
        <v>640</v>
      </c>
      <c r="B86" s="15" t="s">
        <v>174</v>
      </c>
      <c r="C86" s="15" t="s">
        <v>175</v>
      </c>
      <c r="D86" s="15" t="s">
        <v>224</v>
      </c>
      <c r="E86" s="15">
        <v>1</v>
      </c>
      <c r="F86" s="16">
        <v>18.8</v>
      </c>
      <c r="G86" s="16">
        <v>24.9</v>
      </c>
      <c r="H86" s="16">
        <v>24.45</v>
      </c>
      <c r="I86" s="37">
        <v>1.8100000000000002E-2</v>
      </c>
      <c r="J86" s="29">
        <v>0.01</v>
      </c>
      <c r="K86" s="38" t="s">
        <v>129</v>
      </c>
      <c r="L86" s="26" t="s">
        <v>130</v>
      </c>
      <c r="M86" s="39">
        <f t="shared" si="1"/>
        <v>8.1000000000000013E-3</v>
      </c>
    </row>
    <row r="87" spans="1:13" ht="15" customHeight="1" x14ac:dyDescent="0.25">
      <c r="A87" s="15">
        <v>319</v>
      </c>
      <c r="B87" s="15" t="s">
        <v>184</v>
      </c>
      <c r="C87" s="15" t="s">
        <v>185</v>
      </c>
      <c r="D87" s="15" t="s">
        <v>230</v>
      </c>
      <c r="E87" s="15">
        <v>1</v>
      </c>
      <c r="F87" s="16">
        <v>17.5</v>
      </c>
      <c r="G87" s="16">
        <v>24.9</v>
      </c>
      <c r="H87" s="16">
        <v>23.46</v>
      </c>
      <c r="I87" s="37">
        <v>5.7799999999999997E-2</v>
      </c>
      <c r="J87" s="29">
        <v>0.05</v>
      </c>
      <c r="K87" s="38" t="s">
        <v>129</v>
      </c>
      <c r="L87" s="26" t="s">
        <v>130</v>
      </c>
      <c r="M87" s="39">
        <f t="shared" si="1"/>
        <v>7.7999999999999944E-3</v>
      </c>
    </row>
    <row r="88" spans="1:13" ht="15" customHeight="1" x14ac:dyDescent="0.25">
      <c r="A88" s="15">
        <v>197</v>
      </c>
      <c r="B88" s="15" t="s">
        <v>222</v>
      </c>
      <c r="C88" s="15" t="s">
        <v>223</v>
      </c>
      <c r="D88" s="15" t="s">
        <v>228</v>
      </c>
      <c r="E88" s="15">
        <v>2</v>
      </c>
      <c r="F88" s="16">
        <v>18.8</v>
      </c>
      <c r="G88" s="16">
        <v>24.9</v>
      </c>
      <c r="H88" s="16">
        <v>24.46</v>
      </c>
      <c r="I88" s="37">
        <v>1.77E-2</v>
      </c>
      <c r="J88" s="29">
        <v>0.01</v>
      </c>
      <c r="K88" s="38" t="s">
        <v>129</v>
      </c>
      <c r="L88" s="26" t="s">
        <v>130</v>
      </c>
      <c r="M88" s="39">
        <f t="shared" si="1"/>
        <v>7.7000000000000002E-3</v>
      </c>
    </row>
    <row r="89" spans="1:13" ht="15" customHeight="1" x14ac:dyDescent="0.25">
      <c r="A89" s="15">
        <v>9</v>
      </c>
      <c r="B89" s="15" t="s">
        <v>231</v>
      </c>
      <c r="C89" s="15" t="s">
        <v>232</v>
      </c>
      <c r="D89" s="15" t="s">
        <v>233</v>
      </c>
      <c r="E89" s="15">
        <v>3</v>
      </c>
      <c r="F89" s="16">
        <v>10.7</v>
      </c>
      <c r="G89" s="16">
        <v>15</v>
      </c>
      <c r="H89" s="16">
        <v>14.75</v>
      </c>
      <c r="I89" s="37">
        <v>1.67E-2</v>
      </c>
      <c r="J89" s="29">
        <v>0.01</v>
      </c>
      <c r="K89" s="38" t="s">
        <v>129</v>
      </c>
      <c r="L89" s="26" t="s">
        <v>130</v>
      </c>
      <c r="M89" s="39">
        <f t="shared" si="1"/>
        <v>6.6999999999999994E-3</v>
      </c>
    </row>
    <row r="90" spans="1:13" ht="15" customHeight="1" x14ac:dyDescent="0.25">
      <c r="A90" s="15">
        <v>290</v>
      </c>
      <c r="B90" s="15" t="s">
        <v>234</v>
      </c>
      <c r="C90" s="15" t="s">
        <v>235</v>
      </c>
      <c r="D90" s="15" t="s">
        <v>236</v>
      </c>
      <c r="E90" s="15">
        <v>3</v>
      </c>
      <c r="F90" s="16">
        <v>10.7</v>
      </c>
      <c r="G90" s="16">
        <v>15</v>
      </c>
      <c r="H90" s="16">
        <v>14.75</v>
      </c>
      <c r="I90" s="37">
        <v>1.67E-2</v>
      </c>
      <c r="J90" s="29">
        <v>0.01</v>
      </c>
      <c r="K90" s="38" t="s">
        <v>129</v>
      </c>
      <c r="L90" s="26" t="s">
        <v>130</v>
      </c>
      <c r="M90" s="39">
        <f t="shared" si="1"/>
        <v>6.6999999999999994E-3</v>
      </c>
    </row>
    <row r="91" spans="1:13" ht="15" customHeight="1" x14ac:dyDescent="0.25">
      <c r="A91" s="15">
        <v>320</v>
      </c>
      <c r="B91" s="15" t="s">
        <v>184</v>
      </c>
      <c r="C91" s="15" t="s">
        <v>185</v>
      </c>
      <c r="D91" s="15" t="s">
        <v>236</v>
      </c>
      <c r="E91" s="15">
        <v>1</v>
      </c>
      <c r="F91" s="16">
        <v>10.7</v>
      </c>
      <c r="G91" s="16">
        <v>15</v>
      </c>
      <c r="H91" s="16">
        <v>14.75</v>
      </c>
      <c r="I91" s="37">
        <v>1.67E-2</v>
      </c>
      <c r="J91" s="29">
        <v>0.01</v>
      </c>
      <c r="K91" s="38" t="s">
        <v>129</v>
      </c>
      <c r="L91" s="26" t="s">
        <v>130</v>
      </c>
      <c r="M91" s="39">
        <f t="shared" si="1"/>
        <v>6.6999999999999994E-3</v>
      </c>
    </row>
    <row r="92" spans="1:13" ht="15" customHeight="1" x14ac:dyDescent="0.25">
      <c r="A92" s="15">
        <v>423</v>
      </c>
      <c r="B92" s="15" t="s">
        <v>237</v>
      </c>
      <c r="C92" s="15" t="s">
        <v>238</v>
      </c>
      <c r="D92" s="15" t="s">
        <v>233</v>
      </c>
      <c r="E92" s="15">
        <v>2</v>
      </c>
      <c r="F92" s="16">
        <v>10.7</v>
      </c>
      <c r="G92" s="16">
        <v>15</v>
      </c>
      <c r="H92" s="16">
        <v>14.75</v>
      </c>
      <c r="I92" s="37">
        <v>1.67E-2</v>
      </c>
      <c r="J92" s="29">
        <v>0.01</v>
      </c>
      <c r="K92" s="38" t="s">
        <v>129</v>
      </c>
      <c r="L92" s="26" t="s">
        <v>130</v>
      </c>
      <c r="M92" s="39">
        <f t="shared" si="1"/>
        <v>6.6999999999999994E-3</v>
      </c>
    </row>
    <row r="93" spans="1:13" ht="15" customHeight="1" x14ac:dyDescent="0.25">
      <c r="A93" s="15">
        <v>424</v>
      </c>
      <c r="B93" s="15" t="s">
        <v>237</v>
      </c>
      <c r="C93" s="15" t="s">
        <v>238</v>
      </c>
      <c r="D93" s="15" t="s">
        <v>239</v>
      </c>
      <c r="E93" s="15">
        <v>1</v>
      </c>
      <c r="F93" s="16">
        <v>10.6</v>
      </c>
      <c r="G93" s="16">
        <v>15</v>
      </c>
      <c r="H93" s="16">
        <v>14.75</v>
      </c>
      <c r="I93" s="37">
        <v>1.67E-2</v>
      </c>
      <c r="J93" s="29">
        <v>0.01</v>
      </c>
      <c r="K93" s="38" t="s">
        <v>129</v>
      </c>
      <c r="L93" s="26" t="s">
        <v>130</v>
      </c>
      <c r="M93" s="39">
        <f t="shared" si="1"/>
        <v>6.6999999999999994E-3</v>
      </c>
    </row>
    <row r="94" spans="1:13" ht="15" customHeight="1" x14ac:dyDescent="0.25">
      <c r="A94" s="15">
        <v>546</v>
      </c>
      <c r="B94" s="15" t="s">
        <v>240</v>
      </c>
      <c r="C94" s="15" t="s">
        <v>241</v>
      </c>
      <c r="D94" s="15" t="s">
        <v>242</v>
      </c>
      <c r="E94" s="15">
        <v>1</v>
      </c>
      <c r="F94" s="16">
        <v>10.5</v>
      </c>
      <c r="G94" s="16">
        <v>15</v>
      </c>
      <c r="H94" s="16">
        <v>14.75</v>
      </c>
      <c r="I94" s="37">
        <v>1.67E-2</v>
      </c>
      <c r="J94" s="29">
        <v>0.01</v>
      </c>
      <c r="K94" s="38" t="s">
        <v>129</v>
      </c>
      <c r="L94" s="26" t="s">
        <v>130</v>
      </c>
      <c r="M94" s="39">
        <f t="shared" si="1"/>
        <v>6.6999999999999994E-3</v>
      </c>
    </row>
    <row r="95" spans="1:13" ht="15" customHeight="1" x14ac:dyDescent="0.25">
      <c r="A95" s="15">
        <v>547</v>
      </c>
      <c r="B95" s="15" t="s">
        <v>240</v>
      </c>
      <c r="C95" s="15" t="s">
        <v>241</v>
      </c>
      <c r="D95" s="15" t="s">
        <v>243</v>
      </c>
      <c r="E95" s="15">
        <v>2</v>
      </c>
      <c r="F95" s="16">
        <v>10.5</v>
      </c>
      <c r="G95" s="16">
        <v>15</v>
      </c>
      <c r="H95" s="16">
        <v>14.75</v>
      </c>
      <c r="I95" s="37">
        <v>1.67E-2</v>
      </c>
      <c r="J95" s="29">
        <v>0.01</v>
      </c>
      <c r="K95" s="38" t="s">
        <v>129</v>
      </c>
      <c r="L95" s="26" t="s">
        <v>130</v>
      </c>
      <c r="M95" s="39">
        <f t="shared" si="1"/>
        <v>6.6999999999999994E-3</v>
      </c>
    </row>
    <row r="96" spans="1:13" ht="15" customHeight="1" x14ac:dyDescent="0.25">
      <c r="A96" s="15">
        <v>576</v>
      </c>
      <c r="B96" s="15" t="s">
        <v>210</v>
      </c>
      <c r="C96" s="15" t="s">
        <v>211</v>
      </c>
      <c r="D96" s="15" t="s">
        <v>236</v>
      </c>
      <c r="E96" s="15">
        <v>1</v>
      </c>
      <c r="F96" s="16">
        <v>10.7</v>
      </c>
      <c r="G96" s="16">
        <v>15</v>
      </c>
      <c r="H96" s="16">
        <v>14.75</v>
      </c>
      <c r="I96" s="37">
        <v>1.67E-2</v>
      </c>
      <c r="J96" s="29">
        <v>0.01</v>
      </c>
      <c r="K96" s="38" t="s">
        <v>129</v>
      </c>
      <c r="L96" s="26" t="s">
        <v>130</v>
      </c>
      <c r="M96" s="39">
        <f t="shared" si="1"/>
        <v>6.6999999999999994E-3</v>
      </c>
    </row>
    <row r="97" spans="1:13" ht="15" customHeight="1" x14ac:dyDescent="0.25">
      <c r="A97" s="15">
        <v>412</v>
      </c>
      <c r="B97" s="15" t="s">
        <v>187</v>
      </c>
      <c r="C97" s="15" t="s">
        <v>188</v>
      </c>
      <c r="D97" s="15" t="s">
        <v>244</v>
      </c>
      <c r="E97" s="15">
        <v>1</v>
      </c>
      <c r="F97" s="16">
        <v>12.4</v>
      </c>
      <c r="G97" s="16">
        <v>17.899999999999999</v>
      </c>
      <c r="H97" s="16">
        <v>17.61</v>
      </c>
      <c r="I97" s="37">
        <v>1.6199999999999999E-2</v>
      </c>
      <c r="J97" s="29">
        <v>0.01</v>
      </c>
      <c r="K97" s="38" t="s">
        <v>129</v>
      </c>
      <c r="L97" s="26" t="s">
        <v>130</v>
      </c>
      <c r="M97" s="39">
        <f t="shared" si="1"/>
        <v>6.1999999999999989E-3</v>
      </c>
    </row>
    <row r="98" spans="1:13" ht="15" customHeight="1" x14ac:dyDescent="0.25">
      <c r="A98" s="15">
        <v>414</v>
      </c>
      <c r="B98" s="15" t="s">
        <v>187</v>
      </c>
      <c r="C98" s="15" t="s">
        <v>188</v>
      </c>
      <c r="D98" s="15" t="s">
        <v>244</v>
      </c>
      <c r="E98" s="15">
        <v>1</v>
      </c>
      <c r="F98" s="16">
        <v>12.4</v>
      </c>
      <c r="G98" s="16">
        <v>17.899999999999999</v>
      </c>
      <c r="H98" s="16">
        <v>17.61</v>
      </c>
      <c r="I98" s="37">
        <v>1.6199999999999999E-2</v>
      </c>
      <c r="J98" s="29">
        <v>0.01</v>
      </c>
      <c r="K98" s="38" t="s">
        <v>129</v>
      </c>
      <c r="L98" s="26" t="s">
        <v>130</v>
      </c>
      <c r="M98" s="39">
        <f t="shared" ref="M98:M103" si="2">I98-J98</f>
        <v>6.1999999999999989E-3</v>
      </c>
    </row>
    <row r="99" spans="1:13" ht="15" customHeight="1" x14ac:dyDescent="0.25">
      <c r="A99" s="15">
        <v>201</v>
      </c>
      <c r="B99" s="15" t="s">
        <v>245</v>
      </c>
      <c r="C99" s="15" t="s">
        <v>246</v>
      </c>
      <c r="D99" s="15" t="s">
        <v>208</v>
      </c>
      <c r="E99" s="15">
        <v>3</v>
      </c>
      <c r="F99" s="16">
        <v>6.5</v>
      </c>
      <c r="G99" s="16">
        <v>9.9</v>
      </c>
      <c r="H99" s="16">
        <v>9.35</v>
      </c>
      <c r="I99" s="37">
        <v>5.6000000000000001E-2</v>
      </c>
      <c r="J99" s="29">
        <v>0.05</v>
      </c>
      <c r="K99" s="38" t="s">
        <v>129</v>
      </c>
      <c r="L99" s="26" t="s">
        <v>130</v>
      </c>
      <c r="M99" s="39">
        <f t="shared" si="2"/>
        <v>5.9999999999999984E-3</v>
      </c>
    </row>
    <row r="100" spans="1:13" ht="15" customHeight="1" x14ac:dyDescent="0.25">
      <c r="A100" s="15">
        <v>202</v>
      </c>
      <c r="B100" s="15" t="s">
        <v>245</v>
      </c>
      <c r="C100" s="15" t="s">
        <v>246</v>
      </c>
      <c r="D100" s="15" t="s">
        <v>208</v>
      </c>
      <c r="E100" s="15">
        <v>2</v>
      </c>
      <c r="F100" s="16">
        <v>6.5</v>
      </c>
      <c r="G100" s="16">
        <v>9.9</v>
      </c>
      <c r="H100" s="16">
        <v>9.35</v>
      </c>
      <c r="I100" s="37">
        <v>5.6000000000000001E-2</v>
      </c>
      <c r="J100" s="29">
        <v>0.05</v>
      </c>
      <c r="K100" s="38" t="s">
        <v>129</v>
      </c>
      <c r="L100" s="26" t="s">
        <v>130</v>
      </c>
      <c r="M100" s="39">
        <f t="shared" si="2"/>
        <v>5.9999999999999984E-3</v>
      </c>
    </row>
    <row r="101" spans="1:13" ht="15" customHeight="1" x14ac:dyDescent="0.25">
      <c r="A101" s="15">
        <v>80</v>
      </c>
      <c r="B101" s="15" t="s">
        <v>189</v>
      </c>
      <c r="C101" s="15" t="s">
        <v>190</v>
      </c>
      <c r="D101" s="15" t="s">
        <v>247</v>
      </c>
      <c r="E101" s="15">
        <v>1</v>
      </c>
      <c r="F101" s="16">
        <v>6.1</v>
      </c>
      <c r="G101" s="16">
        <v>8.9</v>
      </c>
      <c r="H101" s="16">
        <v>8.5</v>
      </c>
      <c r="I101" s="37">
        <v>4.4900000000000002E-2</v>
      </c>
      <c r="J101" s="29">
        <v>0.05</v>
      </c>
      <c r="K101" s="38" t="s">
        <v>129</v>
      </c>
      <c r="L101" s="26" t="s">
        <v>130</v>
      </c>
      <c r="M101" s="39">
        <f t="shared" si="2"/>
        <v>-5.1000000000000004E-3</v>
      </c>
    </row>
    <row r="102" spans="1:13" ht="15" customHeight="1" x14ac:dyDescent="0.25">
      <c r="A102" s="15">
        <v>180</v>
      </c>
      <c r="B102" s="15" t="s">
        <v>248</v>
      </c>
      <c r="C102" s="15" t="s">
        <v>249</v>
      </c>
      <c r="D102" s="15" t="s">
        <v>250</v>
      </c>
      <c r="E102" s="15">
        <v>1</v>
      </c>
      <c r="F102" s="16">
        <v>6.1</v>
      </c>
      <c r="G102" s="16">
        <v>8.9</v>
      </c>
      <c r="H102" s="16">
        <v>8.5</v>
      </c>
      <c r="I102" s="37">
        <v>4.4900000000000002E-2</v>
      </c>
      <c r="J102" s="29">
        <v>0.05</v>
      </c>
      <c r="K102" s="38" t="s">
        <v>129</v>
      </c>
      <c r="L102" s="26" t="s">
        <v>130</v>
      </c>
      <c r="M102" s="39">
        <f t="shared" si="2"/>
        <v>-5.1000000000000004E-3</v>
      </c>
    </row>
    <row r="103" spans="1:13" ht="15" customHeight="1" x14ac:dyDescent="0.25">
      <c r="A103" s="15">
        <v>616</v>
      </c>
      <c r="B103" s="15" t="s">
        <v>202</v>
      </c>
      <c r="C103" s="15" t="s">
        <v>203</v>
      </c>
      <c r="D103" s="15" t="s">
        <v>250</v>
      </c>
      <c r="E103" s="15">
        <v>1</v>
      </c>
      <c r="F103" s="16">
        <v>6.1</v>
      </c>
      <c r="G103" s="16">
        <v>8.9</v>
      </c>
      <c r="H103" s="16">
        <v>8.5</v>
      </c>
      <c r="I103" s="37">
        <v>4.4900000000000002E-2</v>
      </c>
      <c r="J103" s="29">
        <v>0.05</v>
      </c>
      <c r="K103" s="38" t="s">
        <v>129</v>
      </c>
      <c r="L103" s="26" t="s">
        <v>130</v>
      </c>
      <c r="M103" s="39">
        <f t="shared" si="2"/>
        <v>-5.1000000000000004E-3</v>
      </c>
    </row>
    <row r="105" spans="1:13" ht="15" customHeight="1" x14ac:dyDescent="0.25">
      <c r="A105" s="5" t="s">
        <v>251</v>
      </c>
      <c r="B105" s="5"/>
      <c r="C105" s="5"/>
      <c r="D105" s="5"/>
      <c r="E105" s="5"/>
      <c r="F105" s="5"/>
      <c r="G105" s="5"/>
      <c r="H105" s="5"/>
      <c r="I105" s="5"/>
      <c r="J105" s="5"/>
      <c r="K105" s="5"/>
      <c r="L105" s="5"/>
      <c r="M105" s="5"/>
    </row>
    <row r="106" spans="1:13" ht="26.25" customHeight="1" x14ac:dyDescent="0.25">
      <c r="A106" s="25" t="s">
        <v>46</v>
      </c>
      <c r="B106" s="25" t="s">
        <v>47</v>
      </c>
      <c r="C106" s="25" t="s">
        <v>48</v>
      </c>
      <c r="D106" s="25" t="s">
        <v>113</v>
      </c>
      <c r="E106" s="25" t="s">
        <v>50</v>
      </c>
      <c r="F106" s="25" t="s">
        <v>76</v>
      </c>
      <c r="G106" s="25"/>
      <c r="H106" s="25"/>
      <c r="I106" s="25"/>
      <c r="J106" s="25" t="s">
        <v>78</v>
      </c>
      <c r="K106" s="25" t="s">
        <v>56</v>
      </c>
      <c r="L106" s="25" t="s">
        <v>79</v>
      </c>
      <c r="M106" s="25" t="s">
        <v>58</v>
      </c>
    </row>
    <row r="107" spans="1:13" ht="15" customHeight="1" x14ac:dyDescent="0.25">
      <c r="A107" s="15">
        <v>408</v>
      </c>
      <c r="B107" s="15" t="s">
        <v>217</v>
      </c>
      <c r="C107" s="15" t="s">
        <v>218</v>
      </c>
      <c r="D107" s="15" t="s">
        <v>252</v>
      </c>
      <c r="E107" s="15">
        <v>1</v>
      </c>
      <c r="F107" s="16">
        <v>6.7</v>
      </c>
      <c r="G107" s="15"/>
      <c r="H107" s="15"/>
      <c r="I107" s="15"/>
      <c r="J107" s="29">
        <v>0.3</v>
      </c>
      <c r="K107" s="36" t="s">
        <v>253</v>
      </c>
      <c r="L107" s="26" t="s">
        <v>12836</v>
      </c>
      <c r="M107" s="34" t="s">
        <v>254</v>
      </c>
    </row>
    <row r="110" spans="1:13" ht="15" customHeight="1" x14ac:dyDescent="0.25">
      <c r="A110" s="4" t="s">
        <v>255</v>
      </c>
      <c r="B110" s="4"/>
      <c r="C110" s="4"/>
      <c r="D110" s="4"/>
      <c r="E110" s="4"/>
      <c r="F110" s="4"/>
      <c r="G110" s="4"/>
      <c r="H110" s="4"/>
      <c r="I110" s="4"/>
      <c r="J110" s="4"/>
      <c r="K110" s="4"/>
      <c r="L110" s="4"/>
      <c r="M110" s="4"/>
    </row>
  </sheetData>
  <mergeCells count="6">
    <mergeCell ref="A110:M110"/>
    <mergeCell ref="A4:M4"/>
    <mergeCell ref="A11:M11"/>
    <mergeCell ref="A28:M28"/>
    <mergeCell ref="A32:M32"/>
    <mergeCell ref="A105:M105"/>
  </mergeCells>
  <dataValidations count="3">
    <dataValidation type="list" sqref="L13:L26" xr:uid="{00000000-0002-0000-0100-000000000000}">
      <formula1>"Pending Review,Confirmed OK,SKU Wrong — Tell Claude"</formula1>
      <formula2>0</formula2>
    </dataValidation>
    <dataValidation type="list" sqref="L34:L103" xr:uid="{00000000-0002-0000-0100-000001000000}">
      <formula1>"OK — Charge Table Rate,Charge Full DSP Instead"</formula1>
      <formula2>0</formula2>
    </dataValidation>
    <dataValidation type="list" sqref="L107" xr:uid="{00000000-0002-0000-0100-000002000000}">
      <formula1>"Pending Review,Confirmed OK,Issue Found"</formula1>
      <formula2>0</formula2>
    </dataValidation>
  </dataValidation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675"/>
  <sheetViews>
    <sheetView zoomScaleNormal="100" workbookViewId="0">
      <pane ySplit="1" topLeftCell="A2" activePane="bottomLeft" state="frozen"/>
      <selection pane="bottomLeft" activeCell="N18" sqref="N18"/>
    </sheetView>
  </sheetViews>
  <sheetFormatPr defaultColWidth="8.7109375" defaultRowHeight="15" x14ac:dyDescent="0.25"/>
  <cols>
    <col min="1" max="1" width="5" customWidth="1"/>
    <col min="2" max="2" width="14" customWidth="1"/>
    <col min="3" max="3" width="20" customWidth="1"/>
    <col min="4" max="4" width="26" customWidth="1"/>
    <col min="5" max="5" width="24" customWidth="1"/>
    <col min="6" max="6" width="6" customWidth="1"/>
    <col min="7" max="7" width="12" customWidth="1"/>
    <col min="8" max="8" width="14" customWidth="1"/>
    <col min="9" max="9" width="12" customWidth="1"/>
    <col min="10" max="10" width="16" customWidth="1"/>
    <col min="11" max="11" width="14" customWidth="1"/>
    <col min="12" max="12" width="16" customWidth="1"/>
    <col min="13" max="13" width="20" customWidth="1"/>
    <col min="14" max="15" width="18" customWidth="1"/>
    <col min="16" max="16" width="32" customWidth="1"/>
    <col min="17" max="17" width="16" customWidth="1"/>
  </cols>
  <sheetData>
    <row r="1" spans="1:17" ht="39" customHeight="1" x14ac:dyDescent="0.25">
      <c r="A1" s="40" t="s">
        <v>256</v>
      </c>
      <c r="B1" s="40" t="s">
        <v>47</v>
      </c>
      <c r="C1" s="40" t="s">
        <v>48</v>
      </c>
      <c r="D1" s="40" t="s">
        <v>257</v>
      </c>
      <c r="E1" s="40" t="s">
        <v>113</v>
      </c>
      <c r="F1" s="40" t="s">
        <v>50</v>
      </c>
      <c r="G1" s="40" t="s">
        <v>76</v>
      </c>
      <c r="H1" s="40" t="s">
        <v>258</v>
      </c>
      <c r="I1" s="40" t="s">
        <v>259</v>
      </c>
      <c r="J1" s="40" t="s">
        <v>260</v>
      </c>
      <c r="K1" s="40" t="s">
        <v>261</v>
      </c>
      <c r="L1" s="40" t="s">
        <v>262</v>
      </c>
      <c r="M1" s="40" t="s">
        <v>263</v>
      </c>
      <c r="N1" s="40" t="s">
        <v>264</v>
      </c>
      <c r="O1" s="40" t="s">
        <v>265</v>
      </c>
      <c r="P1" s="40" t="s">
        <v>58</v>
      </c>
      <c r="Q1" s="40" t="s">
        <v>266</v>
      </c>
    </row>
    <row r="2" spans="1:17" ht="15" customHeight="1" x14ac:dyDescent="0.25">
      <c r="A2" s="15">
        <v>1</v>
      </c>
      <c r="B2" s="15" t="s">
        <v>267</v>
      </c>
      <c r="C2" s="15" t="s">
        <v>268</v>
      </c>
      <c r="D2" s="15" t="s">
        <v>269</v>
      </c>
      <c r="E2" s="15" t="s">
        <v>270</v>
      </c>
      <c r="F2" s="41">
        <v>1</v>
      </c>
      <c r="G2" s="42">
        <v>13.2</v>
      </c>
      <c r="H2" s="43">
        <v>0.01</v>
      </c>
      <c r="I2" s="41" t="s">
        <v>63</v>
      </c>
      <c r="J2" s="16">
        <f t="shared" ref="J2:J65" si="0">IF(G2="","",IF(I2="Yes",G2*(1-H2),G2))</f>
        <v>13.068</v>
      </c>
      <c r="K2" s="16">
        <f>IF(Q2="",0,IF(SUMPRODUCT(('Returns &amp; Refunds'!$A$6:$A$11=C2)*('Returns &amp; Refunds'!$H$6:$H$11="Confirmed Good — Remove Charge"))&gt;0,0,Q2))</f>
        <v>13.068</v>
      </c>
      <c r="L2" s="16">
        <v>17.899999999999999</v>
      </c>
      <c r="M2" s="28">
        <v>17.7</v>
      </c>
      <c r="N2" s="29">
        <v>1.12E-2</v>
      </c>
      <c r="O2" s="44" t="s">
        <v>62</v>
      </c>
      <c r="P2" s="15"/>
      <c r="Q2" s="16">
        <f t="shared" ref="Q2:Q65" si="1">IF(J2="",0,F2*J2)</f>
        <v>13.068</v>
      </c>
    </row>
    <row r="3" spans="1:17" ht="15" customHeight="1" x14ac:dyDescent="0.25">
      <c r="A3" s="15">
        <v>2</v>
      </c>
      <c r="B3" s="15" t="s">
        <v>271</v>
      </c>
      <c r="C3" s="15" t="s">
        <v>272</v>
      </c>
      <c r="D3" s="15" t="s">
        <v>273</v>
      </c>
      <c r="E3" s="15" t="s">
        <v>274</v>
      </c>
      <c r="F3" s="41">
        <v>1</v>
      </c>
      <c r="G3" s="42">
        <v>13.1</v>
      </c>
      <c r="H3" s="43">
        <v>0.01</v>
      </c>
      <c r="I3" s="41" t="s">
        <v>63</v>
      </c>
      <c r="J3" s="16">
        <f t="shared" si="0"/>
        <v>12.968999999999999</v>
      </c>
      <c r="K3" s="16">
        <f>IF(Q3="",0,IF(SUMPRODUCT(('Returns &amp; Refunds'!$A$6:$A$11=C3)*('Returns &amp; Refunds'!$H$6:$H$11="Confirmed Good — Remove Charge"))&gt;0,0,Q3))</f>
        <v>12.968999999999999</v>
      </c>
      <c r="L3" s="16">
        <v>17.899999999999999</v>
      </c>
      <c r="M3" s="28">
        <v>17.7</v>
      </c>
      <c r="N3" s="29">
        <v>1.12E-2</v>
      </c>
      <c r="O3" s="44" t="s">
        <v>62</v>
      </c>
      <c r="P3" s="15"/>
      <c r="Q3" s="16">
        <f t="shared" si="1"/>
        <v>12.968999999999999</v>
      </c>
    </row>
    <row r="4" spans="1:17" ht="15" customHeight="1" x14ac:dyDescent="0.25">
      <c r="A4" s="15">
        <v>3</v>
      </c>
      <c r="B4" s="15" t="s">
        <v>275</v>
      </c>
      <c r="C4" s="15" t="s">
        <v>276</v>
      </c>
      <c r="D4" s="15" t="s">
        <v>277</v>
      </c>
      <c r="E4" s="15" t="s">
        <v>186</v>
      </c>
      <c r="F4" s="41">
        <v>1</v>
      </c>
      <c r="G4" s="42">
        <v>12.4</v>
      </c>
      <c r="H4" s="43">
        <v>0.01</v>
      </c>
      <c r="I4" s="41" t="s">
        <v>63</v>
      </c>
      <c r="J4" s="16">
        <f t="shared" si="0"/>
        <v>12.276</v>
      </c>
      <c r="K4" s="16">
        <f>IF(Q4="",0,IF(SUMPRODUCT(('Returns &amp; Refunds'!$A$6:$A$11=C4)*('Returns &amp; Refunds'!$H$6:$H$11="Confirmed Good — Remove Charge"))&gt;0,0,Q4))</f>
        <v>12.276</v>
      </c>
      <c r="L4" s="16">
        <v>17.899999999999999</v>
      </c>
      <c r="M4" s="28">
        <v>17.7</v>
      </c>
      <c r="N4" s="29">
        <v>1.12E-2</v>
      </c>
      <c r="O4" s="44" t="s">
        <v>62</v>
      </c>
      <c r="P4" s="15"/>
      <c r="Q4" s="16">
        <f t="shared" si="1"/>
        <v>12.276</v>
      </c>
    </row>
    <row r="5" spans="1:17" ht="15" customHeight="1" x14ac:dyDescent="0.25">
      <c r="A5" s="15">
        <v>4</v>
      </c>
      <c r="B5" s="15" t="s">
        <v>278</v>
      </c>
      <c r="C5" s="15" t="s">
        <v>279</v>
      </c>
      <c r="D5" s="15" t="s">
        <v>280</v>
      </c>
      <c r="E5" s="15" t="s">
        <v>281</v>
      </c>
      <c r="F5" s="41">
        <v>1</v>
      </c>
      <c r="G5" s="42">
        <v>15</v>
      </c>
      <c r="H5" s="43">
        <v>0.01</v>
      </c>
      <c r="I5" s="41" t="s">
        <v>63</v>
      </c>
      <c r="J5" s="16">
        <f t="shared" si="0"/>
        <v>14.85</v>
      </c>
      <c r="K5" s="16">
        <f>IF(Q5="",0,IF(SUMPRODUCT(('Returns &amp; Refunds'!$A$6:$A$11=C5)*('Returns &amp; Refunds'!$H$6:$H$11="Confirmed Good — Remove Charge"))&gt;0,0,Q5))</f>
        <v>14.85</v>
      </c>
      <c r="L5" s="16">
        <v>20.9</v>
      </c>
      <c r="M5" s="28">
        <v>20.7</v>
      </c>
      <c r="N5" s="29">
        <v>9.5999999999999992E-3</v>
      </c>
      <c r="O5" s="44" t="s">
        <v>62</v>
      </c>
      <c r="P5" s="15"/>
      <c r="Q5" s="16">
        <f t="shared" si="1"/>
        <v>14.85</v>
      </c>
    </row>
    <row r="6" spans="1:17" ht="15" customHeight="1" x14ac:dyDescent="0.25">
      <c r="A6" s="15">
        <v>5</v>
      </c>
      <c r="B6" s="15" t="s">
        <v>282</v>
      </c>
      <c r="C6" s="15" t="s">
        <v>283</v>
      </c>
      <c r="D6" s="15" t="s">
        <v>284</v>
      </c>
      <c r="E6" s="15" t="s">
        <v>285</v>
      </c>
      <c r="F6" s="41">
        <v>1</v>
      </c>
      <c r="G6" s="42">
        <v>49.8</v>
      </c>
      <c r="H6" s="43">
        <v>0.03</v>
      </c>
      <c r="I6" s="41" t="s">
        <v>69</v>
      </c>
      <c r="J6" s="16">
        <f t="shared" si="0"/>
        <v>49.8</v>
      </c>
      <c r="K6" s="16">
        <f>IF(Q6="",0,IF(SUMPRODUCT(('Returns &amp; Refunds'!$A$6:$A$11=C6)*('Returns &amp; Refunds'!$H$6:$H$11="Confirmed Good — Remove Charge"))&gt;0,0,Q6))</f>
        <v>49.8</v>
      </c>
      <c r="L6" s="16">
        <v>67.900000000000006</v>
      </c>
      <c r="M6" s="28">
        <v>67.900000000000006</v>
      </c>
      <c r="N6" s="29">
        <v>0</v>
      </c>
      <c r="O6" s="45" t="s">
        <v>68</v>
      </c>
      <c r="P6" s="15"/>
      <c r="Q6" s="16">
        <f t="shared" si="1"/>
        <v>49.8</v>
      </c>
    </row>
    <row r="7" spans="1:17" ht="15" customHeight="1" x14ac:dyDescent="0.25">
      <c r="A7" s="15">
        <v>6</v>
      </c>
      <c r="B7" s="15" t="s">
        <v>286</v>
      </c>
      <c r="C7" s="15" t="s">
        <v>287</v>
      </c>
      <c r="D7" s="15" t="s">
        <v>288</v>
      </c>
      <c r="E7" s="15" t="s">
        <v>289</v>
      </c>
      <c r="F7" s="41">
        <v>2</v>
      </c>
      <c r="G7" s="42">
        <v>13.1</v>
      </c>
      <c r="H7" s="43">
        <v>0.01</v>
      </c>
      <c r="I7" s="41" t="s">
        <v>63</v>
      </c>
      <c r="J7" s="16">
        <f t="shared" si="0"/>
        <v>12.968999999999999</v>
      </c>
      <c r="K7" s="16">
        <f>IF(Q7="",0,IF(SUMPRODUCT(('Returns &amp; Refunds'!$A$6:$A$11=C7)*('Returns &amp; Refunds'!$H$6:$H$11="Confirmed Good — Remove Charge"))&gt;0,0,Q7))</f>
        <v>25.937999999999999</v>
      </c>
      <c r="L7" s="16">
        <v>17.899999999999999</v>
      </c>
      <c r="M7" s="28">
        <v>17.7</v>
      </c>
      <c r="N7" s="29">
        <v>1.12E-2</v>
      </c>
      <c r="O7" s="44" t="s">
        <v>62</v>
      </c>
      <c r="P7" s="15"/>
      <c r="Q7" s="16">
        <f t="shared" si="1"/>
        <v>25.937999999999999</v>
      </c>
    </row>
    <row r="8" spans="1:17" ht="15" customHeight="1" x14ac:dyDescent="0.25">
      <c r="A8" s="15">
        <v>7</v>
      </c>
      <c r="B8" s="15" t="s">
        <v>290</v>
      </c>
      <c r="C8" s="15" t="s">
        <v>291</v>
      </c>
      <c r="D8" s="15" t="s">
        <v>292</v>
      </c>
      <c r="E8" s="15" t="s">
        <v>293</v>
      </c>
      <c r="F8" s="41">
        <v>1</v>
      </c>
      <c r="G8" s="42">
        <v>34.5</v>
      </c>
      <c r="H8" s="43">
        <v>0.1</v>
      </c>
      <c r="I8" s="41" t="s">
        <v>63</v>
      </c>
      <c r="J8" s="16">
        <f t="shared" si="0"/>
        <v>31.05</v>
      </c>
      <c r="K8" s="16">
        <f>IF(Q8="",0,IF(SUMPRODUCT(('Returns &amp; Refunds'!$A$6:$A$11=C8)*('Returns &amp; Refunds'!$H$6:$H$11="Confirmed Good — Remove Charge"))&gt;0,0,Q8))</f>
        <v>31.05</v>
      </c>
      <c r="L8" s="16">
        <v>49.9</v>
      </c>
      <c r="M8" s="28">
        <v>44.9</v>
      </c>
      <c r="N8" s="29">
        <v>0.1002</v>
      </c>
      <c r="O8" s="44" t="s">
        <v>62</v>
      </c>
      <c r="P8" s="15"/>
      <c r="Q8" s="16">
        <f t="shared" si="1"/>
        <v>31.05</v>
      </c>
    </row>
    <row r="9" spans="1:17" ht="15" customHeight="1" x14ac:dyDescent="0.25">
      <c r="A9" s="15">
        <v>8</v>
      </c>
      <c r="B9" s="15" t="s">
        <v>294</v>
      </c>
      <c r="C9" s="15" t="s">
        <v>295</v>
      </c>
      <c r="D9" s="15" t="s">
        <v>296</v>
      </c>
      <c r="E9" s="15" t="s">
        <v>205</v>
      </c>
      <c r="F9" s="41">
        <v>1</v>
      </c>
      <c r="G9" s="42">
        <v>14.8</v>
      </c>
      <c r="H9" s="43">
        <v>0.01</v>
      </c>
      <c r="I9" s="41" t="s">
        <v>63</v>
      </c>
      <c r="J9" s="16">
        <f t="shared" si="0"/>
        <v>14.652000000000001</v>
      </c>
      <c r="K9" s="16">
        <f>IF(Q9="",0,IF(SUMPRODUCT(('Returns &amp; Refunds'!$A$6:$A$11=C9)*('Returns &amp; Refunds'!$H$6:$H$11="Confirmed Good — Remove Charge"))&gt;0,0,Q9))</f>
        <v>14.652000000000001</v>
      </c>
      <c r="L9" s="16">
        <v>20.9</v>
      </c>
      <c r="M9" s="28">
        <v>20.7</v>
      </c>
      <c r="N9" s="29">
        <v>9.5999999999999992E-3</v>
      </c>
      <c r="O9" s="44" t="s">
        <v>62</v>
      </c>
      <c r="P9" s="15"/>
      <c r="Q9" s="16">
        <f t="shared" si="1"/>
        <v>14.652000000000001</v>
      </c>
    </row>
    <row r="10" spans="1:17" ht="15" customHeight="1" x14ac:dyDescent="0.25">
      <c r="A10" s="15">
        <v>9</v>
      </c>
      <c r="B10" s="15" t="s">
        <v>231</v>
      </c>
      <c r="C10" s="15" t="s">
        <v>232</v>
      </c>
      <c r="D10" s="15" t="s">
        <v>297</v>
      </c>
      <c r="E10" s="15" t="s">
        <v>233</v>
      </c>
      <c r="F10" s="41">
        <v>3</v>
      </c>
      <c r="G10" s="42">
        <v>10.7</v>
      </c>
      <c r="H10" s="43">
        <v>0.01</v>
      </c>
      <c r="I10" s="46" t="str">
        <f>IF('Pending DSP Entry'!L89="Charge Full DSP Instead","No","Yes")</f>
        <v>Yes</v>
      </c>
      <c r="J10" s="16">
        <f t="shared" si="0"/>
        <v>10.593</v>
      </c>
      <c r="K10" s="16">
        <f>IF(Q10="",0,IF(SUMPRODUCT(('Returns &amp; Refunds'!$A$6:$A$11=C10)*('Returns &amp; Refunds'!$H$6:$H$11="Confirmed Good — Remove Charge"))&gt;0,0,Q10))</f>
        <v>31.779</v>
      </c>
      <c r="L10" s="16">
        <v>15</v>
      </c>
      <c r="M10" s="28">
        <v>14.75</v>
      </c>
      <c r="N10" s="29">
        <v>1.67E-2</v>
      </c>
      <c r="O10" s="38" t="s">
        <v>129</v>
      </c>
      <c r="P10" s="47" t="str">
        <f>"Wrong rate set by reseller — decision at Pending DSP Entry section D, row 89"</f>
        <v>Wrong rate set by reseller — decision at Pending DSP Entry section D, row 89</v>
      </c>
      <c r="Q10" s="16">
        <f t="shared" si="1"/>
        <v>31.779</v>
      </c>
    </row>
    <row r="11" spans="1:17" ht="15" customHeight="1" x14ac:dyDescent="0.25">
      <c r="A11" s="15">
        <v>10</v>
      </c>
      <c r="B11" s="15" t="s">
        <v>298</v>
      </c>
      <c r="C11" s="15" t="s">
        <v>299</v>
      </c>
      <c r="D11" s="15" t="s">
        <v>300</v>
      </c>
      <c r="E11" s="15" t="s">
        <v>301</v>
      </c>
      <c r="F11" s="41">
        <v>1</v>
      </c>
      <c r="G11" s="42">
        <v>31.4</v>
      </c>
      <c r="H11" s="43">
        <v>0.2</v>
      </c>
      <c r="I11" s="41" t="s">
        <v>63</v>
      </c>
      <c r="J11" s="16">
        <f t="shared" si="0"/>
        <v>25.12</v>
      </c>
      <c r="K11" s="16">
        <f>IF(Q11="",0,IF(SUMPRODUCT(('Returns &amp; Refunds'!$A$6:$A$11=C11)*('Returns &amp; Refunds'!$H$6:$H$11="Confirmed Good — Remove Charge"))&gt;0,0,Q11))</f>
        <v>25.12</v>
      </c>
      <c r="L11" s="16">
        <v>44.9</v>
      </c>
      <c r="M11" s="28">
        <v>35.9</v>
      </c>
      <c r="N11" s="29">
        <v>0.20039999999999999</v>
      </c>
      <c r="O11" s="44" t="s">
        <v>62</v>
      </c>
      <c r="P11" s="15"/>
      <c r="Q11" s="16">
        <f t="shared" si="1"/>
        <v>25.12</v>
      </c>
    </row>
    <row r="12" spans="1:17" ht="15" customHeight="1" x14ac:dyDescent="0.25">
      <c r="A12" s="15">
        <v>11</v>
      </c>
      <c r="B12" s="15" t="s">
        <v>302</v>
      </c>
      <c r="C12" s="15" t="s">
        <v>303</v>
      </c>
      <c r="D12" s="15" t="s">
        <v>304</v>
      </c>
      <c r="E12" s="15" t="s">
        <v>305</v>
      </c>
      <c r="F12" s="41">
        <v>1</v>
      </c>
      <c r="G12" s="42">
        <v>8.6</v>
      </c>
      <c r="H12" s="43">
        <v>0.15</v>
      </c>
      <c r="I12" s="41" t="s">
        <v>63</v>
      </c>
      <c r="J12" s="16">
        <f t="shared" si="0"/>
        <v>7.31</v>
      </c>
      <c r="K12" s="16">
        <f>IF(Q12="",0,IF(SUMPRODUCT(('Returns &amp; Refunds'!$A$6:$A$11=C12)*('Returns &amp; Refunds'!$H$6:$H$11="Confirmed Good — Remove Charge"))&gt;0,0,Q12))</f>
        <v>7.31</v>
      </c>
      <c r="L12" s="16">
        <v>12.9</v>
      </c>
      <c r="M12" s="28">
        <v>11</v>
      </c>
      <c r="N12" s="29">
        <v>0.14729999999999999</v>
      </c>
      <c r="O12" s="44" t="s">
        <v>62</v>
      </c>
      <c r="P12" s="15"/>
      <c r="Q12" s="16">
        <f t="shared" si="1"/>
        <v>7.31</v>
      </c>
    </row>
    <row r="13" spans="1:17" ht="15" customHeight="1" x14ac:dyDescent="0.25">
      <c r="A13" s="15">
        <v>12</v>
      </c>
      <c r="B13" s="15" t="s">
        <v>306</v>
      </c>
      <c r="C13" s="15" t="s">
        <v>307</v>
      </c>
      <c r="D13" s="15" t="s">
        <v>308</v>
      </c>
      <c r="E13" s="15" t="s">
        <v>309</v>
      </c>
      <c r="F13" s="41">
        <v>1</v>
      </c>
      <c r="G13" s="42">
        <v>13.2</v>
      </c>
      <c r="H13" s="43">
        <v>0.01</v>
      </c>
      <c r="I13" s="41" t="s">
        <v>63</v>
      </c>
      <c r="J13" s="16">
        <f t="shared" si="0"/>
        <v>13.068</v>
      </c>
      <c r="K13" s="16">
        <f>IF(Q13="",0,IF(SUMPRODUCT(('Returns &amp; Refunds'!$A$6:$A$11=C13)*('Returns &amp; Refunds'!$H$6:$H$11="Confirmed Good — Remove Charge"))&gt;0,0,Q13))</f>
        <v>13.068</v>
      </c>
      <c r="L13" s="16">
        <v>17.899999999999999</v>
      </c>
      <c r="M13" s="28">
        <v>17.7</v>
      </c>
      <c r="N13" s="29">
        <v>1.12E-2</v>
      </c>
      <c r="O13" s="44" t="s">
        <v>62</v>
      </c>
      <c r="P13" s="15"/>
      <c r="Q13" s="16">
        <f t="shared" si="1"/>
        <v>13.068</v>
      </c>
    </row>
    <row r="14" spans="1:17" ht="15" customHeight="1" x14ac:dyDescent="0.25">
      <c r="A14" s="15">
        <v>13</v>
      </c>
      <c r="B14" s="15" t="s">
        <v>310</v>
      </c>
      <c r="C14" s="15" t="s">
        <v>311</v>
      </c>
      <c r="D14" s="15" t="s">
        <v>312</v>
      </c>
      <c r="E14" s="15" t="s">
        <v>313</v>
      </c>
      <c r="F14" s="41">
        <v>1</v>
      </c>
      <c r="G14" s="42">
        <v>27.2</v>
      </c>
      <c r="H14" s="43">
        <v>0.25</v>
      </c>
      <c r="I14" s="41" t="s">
        <v>69</v>
      </c>
      <c r="J14" s="16">
        <f t="shared" si="0"/>
        <v>27.2</v>
      </c>
      <c r="K14" s="16">
        <f>IF(Q14="",0,IF(SUMPRODUCT(('Returns &amp; Refunds'!$A$6:$A$11=C14)*('Returns &amp; Refunds'!$H$6:$H$11="Confirmed Good — Remove Charge"))&gt;0,0,Q14))</f>
        <v>27.2</v>
      </c>
      <c r="L14" s="16">
        <v>37.9</v>
      </c>
      <c r="M14" s="28">
        <v>37.9</v>
      </c>
      <c r="N14" s="29">
        <v>0</v>
      </c>
      <c r="O14" s="45" t="s">
        <v>68</v>
      </c>
      <c r="P14" s="15"/>
      <c r="Q14" s="16">
        <f t="shared" si="1"/>
        <v>27.2</v>
      </c>
    </row>
    <row r="15" spans="1:17" ht="15" customHeight="1" x14ac:dyDescent="0.25">
      <c r="A15" s="15">
        <v>14</v>
      </c>
      <c r="B15" s="15" t="s">
        <v>314</v>
      </c>
      <c r="C15" s="15" t="s">
        <v>315</v>
      </c>
      <c r="D15" s="15" t="s">
        <v>316</v>
      </c>
      <c r="E15" s="15" t="s">
        <v>194</v>
      </c>
      <c r="F15" s="41">
        <v>1</v>
      </c>
      <c r="G15" s="42">
        <v>31.5</v>
      </c>
      <c r="H15" s="43">
        <v>0.01</v>
      </c>
      <c r="I15" s="41" t="s">
        <v>63</v>
      </c>
      <c r="J15" s="16">
        <f t="shared" si="0"/>
        <v>31.184999999999999</v>
      </c>
      <c r="K15" s="16">
        <f>IF(Q15="",0,IF(SUMPRODUCT(('Returns &amp; Refunds'!$A$6:$A$11=C15)*('Returns &amp; Refunds'!$H$6:$H$11="Confirmed Good — Remove Charge"))&gt;0,0,Q15))</f>
        <v>31.184999999999999</v>
      </c>
      <c r="L15" s="16">
        <v>39.9</v>
      </c>
      <c r="M15" s="28">
        <v>39.5</v>
      </c>
      <c r="N15" s="29">
        <v>0.01</v>
      </c>
      <c r="O15" s="44" t="s">
        <v>62</v>
      </c>
      <c r="P15" s="15"/>
      <c r="Q15" s="16">
        <f t="shared" si="1"/>
        <v>31.184999999999999</v>
      </c>
    </row>
    <row r="16" spans="1:17" ht="15" customHeight="1" x14ac:dyDescent="0.25">
      <c r="A16" s="15">
        <v>15</v>
      </c>
      <c r="B16" s="15" t="s">
        <v>317</v>
      </c>
      <c r="C16" s="15" t="s">
        <v>318</v>
      </c>
      <c r="D16" s="15" t="s">
        <v>319</v>
      </c>
      <c r="E16" s="15" t="s">
        <v>320</v>
      </c>
      <c r="F16" s="41">
        <v>1</v>
      </c>
      <c r="G16" s="42">
        <v>10.5</v>
      </c>
      <c r="H16" s="43">
        <v>0.01</v>
      </c>
      <c r="I16" s="41" t="s">
        <v>63</v>
      </c>
      <c r="J16" s="16">
        <f t="shared" si="0"/>
        <v>10.395</v>
      </c>
      <c r="K16" s="16">
        <f>IF(Q16="",0,IF(SUMPRODUCT(('Returns &amp; Refunds'!$A$6:$A$11=C16)*('Returns &amp; Refunds'!$H$6:$H$11="Confirmed Good — Remove Charge"))&gt;0,0,Q16))</f>
        <v>10.395</v>
      </c>
      <c r="L16" s="16">
        <v>15</v>
      </c>
      <c r="M16" s="28">
        <v>14.9</v>
      </c>
      <c r="N16" s="29">
        <v>6.7000000000000002E-3</v>
      </c>
      <c r="O16" s="44" t="s">
        <v>62</v>
      </c>
      <c r="P16" s="15"/>
      <c r="Q16" s="16">
        <f t="shared" si="1"/>
        <v>10.395</v>
      </c>
    </row>
    <row r="17" spans="1:17" ht="15" customHeight="1" x14ac:dyDescent="0.25">
      <c r="A17" s="15">
        <v>16</v>
      </c>
      <c r="B17" s="15" t="s">
        <v>321</v>
      </c>
      <c r="C17" s="15" t="s">
        <v>322</v>
      </c>
      <c r="D17" s="15" t="s">
        <v>323</v>
      </c>
      <c r="E17" s="15" t="s">
        <v>274</v>
      </c>
      <c r="F17" s="41">
        <v>1</v>
      </c>
      <c r="G17" s="42">
        <v>13.1</v>
      </c>
      <c r="H17" s="43">
        <v>0.01</v>
      </c>
      <c r="I17" s="41" t="s">
        <v>63</v>
      </c>
      <c r="J17" s="16">
        <f t="shared" si="0"/>
        <v>12.968999999999999</v>
      </c>
      <c r="K17" s="16">
        <f>IF(Q17="",0,IF(SUMPRODUCT(('Returns &amp; Refunds'!$A$6:$A$11=C17)*('Returns &amp; Refunds'!$H$6:$H$11="Confirmed Good — Remove Charge"))&gt;0,0,Q17))</f>
        <v>12.968999999999999</v>
      </c>
      <c r="L17" s="16">
        <v>17.899999999999999</v>
      </c>
      <c r="M17" s="28">
        <v>17.7</v>
      </c>
      <c r="N17" s="29">
        <v>1.12E-2</v>
      </c>
      <c r="O17" s="44" t="s">
        <v>62</v>
      </c>
      <c r="P17" s="15"/>
      <c r="Q17" s="16">
        <f t="shared" si="1"/>
        <v>12.968999999999999</v>
      </c>
    </row>
    <row r="18" spans="1:17" ht="15" customHeight="1" x14ac:dyDescent="0.25">
      <c r="A18" s="15">
        <v>17</v>
      </c>
      <c r="B18" s="15" t="s">
        <v>324</v>
      </c>
      <c r="C18" s="15" t="s">
        <v>325</v>
      </c>
      <c r="D18" s="15" t="s">
        <v>326</v>
      </c>
      <c r="E18" s="15" t="s">
        <v>327</v>
      </c>
      <c r="F18" s="41">
        <v>1</v>
      </c>
      <c r="G18" s="42">
        <v>18.399999999999999</v>
      </c>
      <c r="H18" s="43">
        <v>0.05</v>
      </c>
      <c r="I18" s="41" t="s">
        <v>63</v>
      </c>
      <c r="J18" s="16">
        <f t="shared" si="0"/>
        <v>17.479999999999997</v>
      </c>
      <c r="K18" s="16">
        <f>IF(Q18="",0,IF(SUMPRODUCT(('Returns &amp; Refunds'!$A$6:$A$11=C18)*('Returns &amp; Refunds'!$H$6:$H$11="Confirmed Good — Remove Charge"))&gt;0,0,Q18))</f>
        <v>17.479999999999997</v>
      </c>
      <c r="L18" s="16">
        <v>24.9</v>
      </c>
      <c r="M18" s="28">
        <v>23.7</v>
      </c>
      <c r="N18" s="29">
        <v>4.82E-2</v>
      </c>
      <c r="O18" s="44" t="s">
        <v>62</v>
      </c>
      <c r="P18" s="15"/>
      <c r="Q18" s="16">
        <f t="shared" si="1"/>
        <v>17.479999999999997</v>
      </c>
    </row>
    <row r="19" spans="1:17" ht="15" customHeight="1" x14ac:dyDescent="0.25">
      <c r="A19" s="15">
        <v>18</v>
      </c>
      <c r="B19" s="15" t="s">
        <v>328</v>
      </c>
      <c r="C19" s="15" t="s">
        <v>329</v>
      </c>
      <c r="D19" s="15" t="s">
        <v>330</v>
      </c>
      <c r="E19" s="15" t="s">
        <v>331</v>
      </c>
      <c r="F19" s="41">
        <v>1</v>
      </c>
      <c r="G19" s="42">
        <v>37.299999999999997</v>
      </c>
      <c r="H19" s="43">
        <v>0.03</v>
      </c>
      <c r="I19" s="41" t="s">
        <v>63</v>
      </c>
      <c r="J19" s="16">
        <f t="shared" si="0"/>
        <v>36.180999999999997</v>
      </c>
      <c r="K19" s="16">
        <f>IF(Q19="",0,IF(SUMPRODUCT(('Returns &amp; Refunds'!$A$6:$A$11=C19)*('Returns &amp; Refunds'!$H$6:$H$11="Confirmed Good — Remove Charge"))&gt;0,0,Q19))</f>
        <v>36.180999999999997</v>
      </c>
      <c r="L19" s="16">
        <v>49.9</v>
      </c>
      <c r="M19" s="28">
        <v>48.4</v>
      </c>
      <c r="N19" s="29">
        <v>3.0099999999999998E-2</v>
      </c>
      <c r="O19" s="44" t="s">
        <v>62</v>
      </c>
      <c r="P19" s="15"/>
      <c r="Q19" s="16">
        <f t="shared" si="1"/>
        <v>36.180999999999997</v>
      </c>
    </row>
    <row r="20" spans="1:17" ht="15" customHeight="1" x14ac:dyDescent="0.25">
      <c r="A20" s="15">
        <v>19</v>
      </c>
      <c r="B20" s="15" t="s">
        <v>332</v>
      </c>
      <c r="C20" s="15" t="s">
        <v>333</v>
      </c>
      <c r="D20" s="15" t="s">
        <v>334</v>
      </c>
      <c r="E20" s="15" t="s">
        <v>201</v>
      </c>
      <c r="F20" s="41">
        <v>1</v>
      </c>
      <c r="G20" s="42">
        <v>10.3</v>
      </c>
      <c r="H20" s="43">
        <v>0.05</v>
      </c>
      <c r="I20" s="41" t="s">
        <v>63</v>
      </c>
      <c r="J20" s="16">
        <f t="shared" si="0"/>
        <v>9.7850000000000001</v>
      </c>
      <c r="K20" s="16">
        <f>IF(Q20="",0,IF(SUMPRODUCT(('Returns &amp; Refunds'!$A$6:$A$11=C20)*('Returns &amp; Refunds'!$H$6:$H$11="Confirmed Good — Remove Charge"))&gt;0,0,Q20))</f>
        <v>9.7850000000000001</v>
      </c>
      <c r="L20" s="16">
        <v>15.9</v>
      </c>
      <c r="M20" s="28">
        <v>15.1</v>
      </c>
      <c r="N20" s="29">
        <v>5.0299999999999997E-2</v>
      </c>
      <c r="O20" s="44" t="s">
        <v>62</v>
      </c>
      <c r="P20" s="15"/>
      <c r="Q20" s="16">
        <f t="shared" si="1"/>
        <v>9.7850000000000001</v>
      </c>
    </row>
    <row r="21" spans="1:17" ht="15" customHeight="1" x14ac:dyDescent="0.25">
      <c r="A21" s="15">
        <v>20</v>
      </c>
      <c r="B21" s="15" t="s">
        <v>335</v>
      </c>
      <c r="C21" s="15" t="s">
        <v>336</v>
      </c>
      <c r="D21" s="15" t="s">
        <v>337</v>
      </c>
      <c r="E21" s="15" t="s">
        <v>230</v>
      </c>
      <c r="F21" s="41">
        <v>1</v>
      </c>
      <c r="G21" s="42">
        <v>17.5</v>
      </c>
      <c r="H21" s="43">
        <v>0.05</v>
      </c>
      <c r="I21" s="41" t="s">
        <v>63</v>
      </c>
      <c r="J21" s="16">
        <f t="shared" si="0"/>
        <v>16.625</v>
      </c>
      <c r="K21" s="16">
        <f>IF(Q21="",0,IF(SUMPRODUCT(('Returns &amp; Refunds'!$A$6:$A$11=C21)*('Returns &amp; Refunds'!$H$6:$H$11="Confirmed Good — Remove Charge"))&gt;0,0,Q21))</f>
        <v>16.625</v>
      </c>
      <c r="L21" s="16">
        <v>24.9</v>
      </c>
      <c r="M21" s="28">
        <v>23.7</v>
      </c>
      <c r="N21" s="29">
        <v>4.82E-2</v>
      </c>
      <c r="O21" s="44" t="s">
        <v>62</v>
      </c>
      <c r="P21" s="15"/>
      <c r="Q21" s="16">
        <f t="shared" si="1"/>
        <v>16.625</v>
      </c>
    </row>
    <row r="22" spans="1:17" ht="15" customHeight="1" x14ac:dyDescent="0.25">
      <c r="A22" s="15">
        <v>21</v>
      </c>
      <c r="B22" s="15" t="s">
        <v>335</v>
      </c>
      <c r="C22" s="15" t="s">
        <v>336</v>
      </c>
      <c r="D22" s="15" t="s">
        <v>337</v>
      </c>
      <c r="E22" s="15" t="s">
        <v>179</v>
      </c>
      <c r="F22" s="41">
        <v>1</v>
      </c>
      <c r="G22" s="42">
        <v>11.3</v>
      </c>
      <c r="H22" s="43">
        <v>0.01</v>
      </c>
      <c r="I22" s="41" t="s">
        <v>63</v>
      </c>
      <c r="J22" s="16">
        <f t="shared" si="0"/>
        <v>11.187000000000001</v>
      </c>
      <c r="K22" s="16">
        <f>IF(Q22="",0,IF(SUMPRODUCT(('Returns &amp; Refunds'!$A$6:$A$11=C22)*('Returns &amp; Refunds'!$H$6:$H$11="Confirmed Good — Remove Charge"))&gt;0,0,Q22))</f>
        <v>11.187000000000001</v>
      </c>
      <c r="L22" s="16">
        <v>15.9</v>
      </c>
      <c r="M22" s="28">
        <v>15.7</v>
      </c>
      <c r="N22" s="29">
        <v>1.26E-2</v>
      </c>
      <c r="O22" s="44" t="s">
        <v>62</v>
      </c>
      <c r="P22" s="15"/>
      <c r="Q22" s="16">
        <f t="shared" si="1"/>
        <v>11.187000000000001</v>
      </c>
    </row>
    <row r="23" spans="1:17" ht="15" customHeight="1" x14ac:dyDescent="0.25">
      <c r="A23" s="15">
        <v>22</v>
      </c>
      <c r="B23" s="15" t="s">
        <v>338</v>
      </c>
      <c r="C23" s="15" t="s">
        <v>339</v>
      </c>
      <c r="D23" s="15" t="s">
        <v>340</v>
      </c>
      <c r="E23" s="15" t="s">
        <v>341</v>
      </c>
      <c r="F23" s="41">
        <v>1</v>
      </c>
      <c r="G23" s="42">
        <v>20.3</v>
      </c>
      <c r="H23" s="43">
        <v>0.1</v>
      </c>
      <c r="I23" s="41" t="s">
        <v>63</v>
      </c>
      <c r="J23" s="16">
        <f t="shared" si="0"/>
        <v>18.27</v>
      </c>
      <c r="K23" s="16">
        <f>IF(Q23="",0,IF(SUMPRODUCT(('Returns &amp; Refunds'!$A$6:$A$11=C23)*('Returns &amp; Refunds'!$H$6:$H$11="Confirmed Good — Remove Charge"))&gt;0,0,Q23))</f>
        <v>18.27</v>
      </c>
      <c r="L23" s="16">
        <v>27.9</v>
      </c>
      <c r="M23" s="28">
        <v>25.1</v>
      </c>
      <c r="N23" s="29">
        <v>0.1004</v>
      </c>
      <c r="O23" s="44" t="s">
        <v>62</v>
      </c>
      <c r="P23" s="15"/>
      <c r="Q23" s="16">
        <f t="shared" si="1"/>
        <v>18.27</v>
      </c>
    </row>
    <row r="24" spans="1:17" ht="15" customHeight="1" x14ac:dyDescent="0.25">
      <c r="A24" s="15">
        <v>23</v>
      </c>
      <c r="B24" s="15" t="s">
        <v>342</v>
      </c>
      <c r="C24" s="15" t="s">
        <v>343</v>
      </c>
      <c r="D24" s="15" t="s">
        <v>344</v>
      </c>
      <c r="E24" s="15" t="s">
        <v>345</v>
      </c>
      <c r="F24" s="41">
        <v>1</v>
      </c>
      <c r="G24" s="42">
        <v>15.8</v>
      </c>
      <c r="H24" s="43">
        <v>0.1</v>
      </c>
      <c r="I24" s="41" t="s">
        <v>63</v>
      </c>
      <c r="J24" s="16">
        <f t="shared" si="0"/>
        <v>14.22</v>
      </c>
      <c r="K24" s="16">
        <f>IF(Q24="",0,IF(SUMPRODUCT(('Returns &amp; Refunds'!$A$6:$A$11=C24)*('Returns &amp; Refunds'!$H$6:$H$11="Confirmed Good — Remove Charge"))&gt;0,0,Q24))</f>
        <v>14.22</v>
      </c>
      <c r="L24" s="16">
        <v>24.9</v>
      </c>
      <c r="M24" s="28">
        <v>22.4</v>
      </c>
      <c r="N24" s="29">
        <v>0.1004</v>
      </c>
      <c r="O24" s="44" t="s">
        <v>62</v>
      </c>
      <c r="P24" s="15"/>
      <c r="Q24" s="16">
        <f t="shared" si="1"/>
        <v>14.22</v>
      </c>
    </row>
    <row r="25" spans="1:17" ht="15" customHeight="1" x14ac:dyDescent="0.25">
      <c r="A25" s="15">
        <v>24</v>
      </c>
      <c r="B25" s="15" t="s">
        <v>342</v>
      </c>
      <c r="C25" s="15" t="s">
        <v>343</v>
      </c>
      <c r="D25" s="15" t="s">
        <v>344</v>
      </c>
      <c r="E25" s="15" t="s">
        <v>346</v>
      </c>
      <c r="F25" s="41">
        <v>1</v>
      </c>
      <c r="G25" s="42">
        <v>23.4</v>
      </c>
      <c r="H25" s="43">
        <v>0.2</v>
      </c>
      <c r="I25" s="41" t="s">
        <v>63</v>
      </c>
      <c r="J25" s="16">
        <f t="shared" si="0"/>
        <v>18.72</v>
      </c>
      <c r="K25" s="16">
        <f>IF(Q25="",0,IF(SUMPRODUCT(('Returns &amp; Refunds'!$A$6:$A$11=C25)*('Returns &amp; Refunds'!$H$6:$H$11="Confirmed Good — Remove Charge"))&gt;0,0,Q25))</f>
        <v>18.72</v>
      </c>
      <c r="L25" s="16">
        <v>34.9</v>
      </c>
      <c r="M25" s="28">
        <v>27.9</v>
      </c>
      <c r="N25" s="29">
        <v>0.2006</v>
      </c>
      <c r="O25" s="44" t="s">
        <v>62</v>
      </c>
      <c r="P25" s="15"/>
      <c r="Q25" s="16">
        <f t="shared" si="1"/>
        <v>18.72</v>
      </c>
    </row>
    <row r="26" spans="1:17" ht="15" customHeight="1" x14ac:dyDescent="0.25">
      <c r="A26" s="15">
        <v>25</v>
      </c>
      <c r="B26" s="15" t="s">
        <v>347</v>
      </c>
      <c r="C26" s="15" t="s">
        <v>348</v>
      </c>
      <c r="D26" s="15" t="s">
        <v>349</v>
      </c>
      <c r="E26" s="15" t="s">
        <v>186</v>
      </c>
      <c r="F26" s="41">
        <v>1</v>
      </c>
      <c r="G26" s="42">
        <v>12.4</v>
      </c>
      <c r="H26" s="43">
        <v>0.01</v>
      </c>
      <c r="I26" s="41" t="s">
        <v>63</v>
      </c>
      <c r="J26" s="16">
        <f t="shared" si="0"/>
        <v>12.276</v>
      </c>
      <c r="K26" s="16">
        <f>IF(Q26="",0,IF(SUMPRODUCT(('Returns &amp; Refunds'!$A$6:$A$11=C26)*('Returns &amp; Refunds'!$H$6:$H$11="Confirmed Good — Remove Charge"))&gt;0,0,Q26))</f>
        <v>12.276</v>
      </c>
      <c r="L26" s="16">
        <v>17.899999999999999</v>
      </c>
      <c r="M26" s="28">
        <v>17.7</v>
      </c>
      <c r="N26" s="29">
        <v>1.12E-2</v>
      </c>
      <c r="O26" s="44" t="s">
        <v>62</v>
      </c>
      <c r="P26" s="15"/>
      <c r="Q26" s="16">
        <f t="shared" si="1"/>
        <v>12.276</v>
      </c>
    </row>
    <row r="27" spans="1:17" ht="15" customHeight="1" x14ac:dyDescent="0.25">
      <c r="A27" s="15">
        <v>26</v>
      </c>
      <c r="B27" s="15" t="s">
        <v>350</v>
      </c>
      <c r="C27" s="15" t="s">
        <v>351</v>
      </c>
      <c r="D27" s="15" t="s">
        <v>352</v>
      </c>
      <c r="E27" s="15" t="s">
        <v>353</v>
      </c>
      <c r="F27" s="41">
        <v>1</v>
      </c>
      <c r="G27" s="42">
        <v>45.4</v>
      </c>
      <c r="H27" s="43">
        <v>0.03</v>
      </c>
      <c r="I27" s="41" t="s">
        <v>69</v>
      </c>
      <c r="J27" s="16">
        <f t="shared" si="0"/>
        <v>45.4</v>
      </c>
      <c r="K27" s="16">
        <f>IF(Q27="",0,IF(SUMPRODUCT(('Returns &amp; Refunds'!$A$6:$A$11=C27)*('Returns &amp; Refunds'!$H$6:$H$11="Confirmed Good — Remove Charge"))&gt;0,0,Q27))</f>
        <v>45.4</v>
      </c>
      <c r="L27" s="16">
        <v>59.9</v>
      </c>
      <c r="M27" s="28">
        <v>59.9</v>
      </c>
      <c r="N27" s="29">
        <v>0</v>
      </c>
      <c r="O27" s="45" t="s">
        <v>68</v>
      </c>
      <c r="P27" s="15"/>
      <c r="Q27" s="16">
        <f t="shared" si="1"/>
        <v>45.4</v>
      </c>
    </row>
    <row r="28" spans="1:17" ht="15" customHeight="1" x14ac:dyDescent="0.25">
      <c r="A28" s="15">
        <v>27</v>
      </c>
      <c r="B28" s="15" t="s">
        <v>354</v>
      </c>
      <c r="C28" s="15" t="s">
        <v>355</v>
      </c>
      <c r="D28" s="15" t="s">
        <v>356</v>
      </c>
      <c r="E28" s="15" t="s">
        <v>357</v>
      </c>
      <c r="F28" s="41">
        <v>1</v>
      </c>
      <c r="G28" s="42">
        <v>15.8</v>
      </c>
      <c r="H28" s="43">
        <v>0.01</v>
      </c>
      <c r="I28" s="41" t="s">
        <v>63</v>
      </c>
      <c r="J28" s="16">
        <f t="shared" si="0"/>
        <v>15.642000000000001</v>
      </c>
      <c r="K28" s="16">
        <f>IF(Q28="",0,IF(SUMPRODUCT(('Returns &amp; Refunds'!$A$6:$A$11=C28)*('Returns &amp; Refunds'!$H$6:$H$11="Confirmed Good — Remove Charge"))&gt;0,0,Q28))</f>
        <v>15.642000000000001</v>
      </c>
      <c r="L28" s="16">
        <v>21.9</v>
      </c>
      <c r="M28" s="28">
        <v>21.7</v>
      </c>
      <c r="N28" s="29">
        <v>9.1000000000000004E-3</v>
      </c>
      <c r="O28" s="44" t="s">
        <v>62</v>
      </c>
      <c r="P28" s="15"/>
      <c r="Q28" s="16">
        <f t="shared" si="1"/>
        <v>15.642000000000001</v>
      </c>
    </row>
    <row r="29" spans="1:17" ht="15" customHeight="1" x14ac:dyDescent="0.25">
      <c r="A29" s="15">
        <v>28</v>
      </c>
      <c r="B29" s="15" t="s">
        <v>358</v>
      </c>
      <c r="C29" s="15" t="s">
        <v>359</v>
      </c>
      <c r="D29" s="15" t="s">
        <v>360</v>
      </c>
      <c r="E29" s="15" t="s">
        <v>361</v>
      </c>
      <c r="F29" s="41">
        <v>1</v>
      </c>
      <c r="G29" s="42">
        <v>13.1</v>
      </c>
      <c r="H29" s="43">
        <v>0.01</v>
      </c>
      <c r="I29" s="41" t="s">
        <v>63</v>
      </c>
      <c r="J29" s="16">
        <f t="shared" si="0"/>
        <v>12.968999999999999</v>
      </c>
      <c r="K29" s="16">
        <f>IF(Q29="",0,IF(SUMPRODUCT(('Returns &amp; Refunds'!$A$6:$A$11=C29)*('Returns &amp; Refunds'!$H$6:$H$11="Confirmed Good — Remove Charge"))&gt;0,0,Q29))</f>
        <v>12.968999999999999</v>
      </c>
      <c r="L29" s="16">
        <v>17.899999999999999</v>
      </c>
      <c r="M29" s="28">
        <v>17.7</v>
      </c>
      <c r="N29" s="29">
        <v>1.12E-2</v>
      </c>
      <c r="O29" s="44" t="s">
        <v>62</v>
      </c>
      <c r="P29" s="15"/>
      <c r="Q29" s="16">
        <f t="shared" si="1"/>
        <v>12.968999999999999</v>
      </c>
    </row>
    <row r="30" spans="1:17" ht="15" customHeight="1" x14ac:dyDescent="0.25">
      <c r="A30" s="15">
        <v>29</v>
      </c>
      <c r="B30" s="15" t="s">
        <v>362</v>
      </c>
      <c r="C30" s="15" t="s">
        <v>363</v>
      </c>
      <c r="D30" s="15" t="s">
        <v>364</v>
      </c>
      <c r="E30" s="15" t="s">
        <v>365</v>
      </c>
      <c r="F30" s="41">
        <v>1</v>
      </c>
      <c r="G30" s="42">
        <v>14.9</v>
      </c>
      <c r="H30" s="43">
        <v>0.01</v>
      </c>
      <c r="I30" s="41" t="s">
        <v>63</v>
      </c>
      <c r="J30" s="16">
        <f t="shared" si="0"/>
        <v>14.750999999999999</v>
      </c>
      <c r="K30" s="16">
        <f>IF(Q30="",0,IF(SUMPRODUCT(('Returns &amp; Refunds'!$A$6:$A$11=C30)*('Returns &amp; Refunds'!$H$6:$H$11="Confirmed Good — Remove Charge"))&gt;0,0,Q30))</f>
        <v>14.750999999999999</v>
      </c>
      <c r="L30" s="16">
        <v>19.899999999999999</v>
      </c>
      <c r="M30" s="28">
        <v>19.7</v>
      </c>
      <c r="N30" s="29">
        <v>1.01E-2</v>
      </c>
      <c r="O30" s="44" t="s">
        <v>62</v>
      </c>
      <c r="P30" s="15"/>
      <c r="Q30" s="16">
        <f t="shared" si="1"/>
        <v>14.750999999999999</v>
      </c>
    </row>
    <row r="31" spans="1:17" ht="15" customHeight="1" x14ac:dyDescent="0.25">
      <c r="A31" s="15">
        <v>30</v>
      </c>
      <c r="B31" s="15" t="s">
        <v>366</v>
      </c>
      <c r="C31" s="15" t="s">
        <v>367</v>
      </c>
      <c r="D31" s="15" t="s">
        <v>368</v>
      </c>
      <c r="E31" s="15" t="s">
        <v>320</v>
      </c>
      <c r="F31" s="41">
        <v>1</v>
      </c>
      <c r="G31" s="42">
        <v>10.5</v>
      </c>
      <c r="H31" s="43">
        <v>0.01</v>
      </c>
      <c r="I31" s="41" t="s">
        <v>63</v>
      </c>
      <c r="J31" s="16">
        <f t="shared" si="0"/>
        <v>10.395</v>
      </c>
      <c r="K31" s="16">
        <f>IF(Q31="",0,IF(SUMPRODUCT(('Returns &amp; Refunds'!$A$6:$A$11=C31)*('Returns &amp; Refunds'!$H$6:$H$11="Confirmed Good — Remove Charge"))&gt;0,0,Q31))</f>
        <v>10.395</v>
      </c>
      <c r="L31" s="16">
        <v>15</v>
      </c>
      <c r="M31" s="28">
        <v>14.9</v>
      </c>
      <c r="N31" s="29">
        <v>6.7000000000000002E-3</v>
      </c>
      <c r="O31" s="44" t="s">
        <v>62</v>
      </c>
      <c r="P31" s="15"/>
      <c r="Q31" s="16">
        <f t="shared" si="1"/>
        <v>10.395</v>
      </c>
    </row>
    <row r="32" spans="1:17" ht="15" customHeight="1" x14ac:dyDescent="0.25">
      <c r="A32" s="15">
        <v>31</v>
      </c>
      <c r="B32" s="15" t="s">
        <v>369</v>
      </c>
      <c r="C32" s="15" t="s">
        <v>370</v>
      </c>
      <c r="D32" s="15" t="s">
        <v>371</v>
      </c>
      <c r="E32" s="15" t="s">
        <v>372</v>
      </c>
      <c r="F32" s="41">
        <v>1</v>
      </c>
      <c r="G32" s="42">
        <v>34.5</v>
      </c>
      <c r="H32" s="43">
        <v>0.03</v>
      </c>
      <c r="I32" s="41" t="s">
        <v>69</v>
      </c>
      <c r="J32" s="16">
        <f t="shared" si="0"/>
        <v>34.5</v>
      </c>
      <c r="K32" s="16">
        <f>IF(Q32="",0,IF(SUMPRODUCT(('Returns &amp; Refunds'!$A$6:$A$11=C32)*('Returns &amp; Refunds'!$H$6:$H$11="Confirmed Good — Remove Charge"))&gt;0,0,Q32))</f>
        <v>34.5</v>
      </c>
      <c r="L32" s="16">
        <v>45.9</v>
      </c>
      <c r="M32" s="28">
        <v>45.9</v>
      </c>
      <c r="N32" s="29">
        <v>0</v>
      </c>
      <c r="O32" s="45" t="s">
        <v>68</v>
      </c>
      <c r="P32" s="15"/>
      <c r="Q32" s="16">
        <f t="shared" si="1"/>
        <v>34.5</v>
      </c>
    </row>
    <row r="33" spans="1:17" ht="15" customHeight="1" x14ac:dyDescent="0.25">
      <c r="A33" s="15">
        <v>32</v>
      </c>
      <c r="B33" s="15" t="s">
        <v>373</v>
      </c>
      <c r="C33" s="15" t="s">
        <v>374</v>
      </c>
      <c r="D33" s="15" t="s">
        <v>375</v>
      </c>
      <c r="E33" s="15" t="s">
        <v>173</v>
      </c>
      <c r="F33" s="41">
        <v>1</v>
      </c>
      <c r="G33" s="42">
        <v>5.4</v>
      </c>
      <c r="H33" s="43">
        <v>0.01</v>
      </c>
      <c r="I33" s="41" t="s">
        <v>63</v>
      </c>
      <c r="J33" s="16">
        <f t="shared" si="0"/>
        <v>5.3460000000000001</v>
      </c>
      <c r="K33" s="16">
        <f>IF(Q33="",0,IF(SUMPRODUCT(('Returns &amp; Refunds'!$A$6:$A$11=C33)*('Returns &amp; Refunds'!$H$6:$H$11="Confirmed Good — Remove Charge"))&gt;0,0,Q33))</f>
        <v>5.3460000000000001</v>
      </c>
      <c r="L33" s="16">
        <v>7.5</v>
      </c>
      <c r="M33" s="28">
        <v>7.4</v>
      </c>
      <c r="N33" s="29">
        <v>1.3299999999999999E-2</v>
      </c>
      <c r="O33" s="44" t="s">
        <v>62</v>
      </c>
      <c r="P33" s="15"/>
      <c r="Q33" s="16">
        <f t="shared" si="1"/>
        <v>5.3460000000000001</v>
      </c>
    </row>
    <row r="34" spans="1:17" ht="15" customHeight="1" x14ac:dyDescent="0.25">
      <c r="A34" s="15">
        <v>33</v>
      </c>
      <c r="B34" s="15" t="s">
        <v>376</v>
      </c>
      <c r="C34" s="15" t="s">
        <v>377</v>
      </c>
      <c r="D34" s="15" t="s">
        <v>378</v>
      </c>
      <c r="E34" s="15" t="s">
        <v>379</v>
      </c>
      <c r="F34" s="41">
        <v>1</v>
      </c>
      <c r="G34" s="42">
        <v>20.3</v>
      </c>
      <c r="H34" s="43">
        <v>0.02</v>
      </c>
      <c r="I34" s="41" t="s">
        <v>63</v>
      </c>
      <c r="J34" s="16">
        <f t="shared" si="0"/>
        <v>19.894000000000002</v>
      </c>
      <c r="K34" s="16">
        <f>IF(Q34="",0,IF(SUMPRODUCT(('Returns &amp; Refunds'!$A$6:$A$11=C34)*('Returns &amp; Refunds'!$H$6:$H$11="Confirmed Good — Remove Charge"))&gt;0,0,Q34))</f>
        <v>19.894000000000002</v>
      </c>
      <c r="L34" s="16">
        <v>27.9</v>
      </c>
      <c r="M34" s="28">
        <v>27.3</v>
      </c>
      <c r="N34" s="29">
        <v>2.1499999999999998E-2</v>
      </c>
      <c r="O34" s="44" t="s">
        <v>62</v>
      </c>
      <c r="P34" s="15"/>
      <c r="Q34" s="16">
        <f t="shared" si="1"/>
        <v>19.894000000000002</v>
      </c>
    </row>
    <row r="35" spans="1:17" ht="15" customHeight="1" x14ac:dyDescent="0.25">
      <c r="A35" s="15">
        <v>34</v>
      </c>
      <c r="B35" s="15" t="s">
        <v>380</v>
      </c>
      <c r="C35" s="15" t="s">
        <v>381</v>
      </c>
      <c r="D35" s="15" t="s">
        <v>382</v>
      </c>
      <c r="E35" s="15" t="s">
        <v>383</v>
      </c>
      <c r="F35" s="41">
        <v>1</v>
      </c>
      <c r="G35" s="42">
        <v>14.8</v>
      </c>
      <c r="H35" s="43">
        <v>0.01</v>
      </c>
      <c r="I35" s="41" t="s">
        <v>63</v>
      </c>
      <c r="J35" s="16">
        <f t="shared" si="0"/>
        <v>14.652000000000001</v>
      </c>
      <c r="K35" s="16">
        <f>IF(Q35="",0,IF(SUMPRODUCT(('Returns &amp; Refunds'!$A$6:$A$11=C35)*('Returns &amp; Refunds'!$H$6:$H$11="Confirmed Good — Remove Charge"))&gt;0,0,Q35))</f>
        <v>14.652000000000001</v>
      </c>
      <c r="L35" s="16">
        <v>20.9</v>
      </c>
      <c r="M35" s="28">
        <v>20.7</v>
      </c>
      <c r="N35" s="29">
        <v>9.5999999999999992E-3</v>
      </c>
      <c r="O35" s="44" t="s">
        <v>62</v>
      </c>
      <c r="P35" s="15"/>
      <c r="Q35" s="16">
        <f t="shared" si="1"/>
        <v>14.652000000000001</v>
      </c>
    </row>
    <row r="36" spans="1:17" ht="15" customHeight="1" x14ac:dyDescent="0.25">
      <c r="A36" s="15">
        <v>35</v>
      </c>
      <c r="B36" s="15" t="s">
        <v>384</v>
      </c>
      <c r="C36" s="15" t="s">
        <v>385</v>
      </c>
      <c r="D36" s="15" t="s">
        <v>386</v>
      </c>
      <c r="E36" s="15" t="s">
        <v>242</v>
      </c>
      <c r="F36" s="41">
        <v>1</v>
      </c>
      <c r="G36" s="42">
        <v>10.5</v>
      </c>
      <c r="H36" s="43">
        <v>0.01</v>
      </c>
      <c r="I36" s="41" t="s">
        <v>63</v>
      </c>
      <c r="J36" s="16">
        <f t="shared" si="0"/>
        <v>10.395</v>
      </c>
      <c r="K36" s="16">
        <f>IF(Q36="",0,IF(SUMPRODUCT(('Returns &amp; Refunds'!$A$6:$A$11=C36)*('Returns &amp; Refunds'!$H$6:$H$11="Confirmed Good — Remove Charge"))&gt;0,0,Q36))</f>
        <v>10.395</v>
      </c>
      <c r="L36" s="16">
        <v>15</v>
      </c>
      <c r="M36" s="28">
        <v>14.9</v>
      </c>
      <c r="N36" s="29">
        <v>6.7000000000000002E-3</v>
      </c>
      <c r="O36" s="44" t="s">
        <v>62</v>
      </c>
      <c r="P36" s="15"/>
      <c r="Q36" s="16">
        <f t="shared" si="1"/>
        <v>10.395</v>
      </c>
    </row>
    <row r="37" spans="1:17" ht="15" customHeight="1" x14ac:dyDescent="0.25">
      <c r="A37" s="15">
        <v>36</v>
      </c>
      <c r="B37" s="15" t="s">
        <v>387</v>
      </c>
      <c r="C37" s="15" t="s">
        <v>388</v>
      </c>
      <c r="D37" s="15" t="s">
        <v>389</v>
      </c>
      <c r="E37" s="15" t="s">
        <v>390</v>
      </c>
      <c r="F37" s="41">
        <v>1</v>
      </c>
      <c r="G37" s="42">
        <v>11.1</v>
      </c>
      <c r="H37" s="43">
        <v>0.05</v>
      </c>
      <c r="I37" s="41" t="s">
        <v>63</v>
      </c>
      <c r="J37" s="16">
        <f t="shared" si="0"/>
        <v>10.545</v>
      </c>
      <c r="K37" s="16">
        <f>IF(Q37="",0,IF(SUMPRODUCT(('Returns &amp; Refunds'!$A$6:$A$11=C37)*('Returns &amp; Refunds'!$H$6:$H$11="Confirmed Good — Remove Charge"))&gt;0,0,Q37))</f>
        <v>10.545</v>
      </c>
      <c r="L37" s="16">
        <v>14.9</v>
      </c>
      <c r="M37" s="28">
        <v>14.2</v>
      </c>
      <c r="N37" s="29">
        <v>4.7E-2</v>
      </c>
      <c r="O37" s="44" t="s">
        <v>62</v>
      </c>
      <c r="P37" s="15"/>
      <c r="Q37" s="16">
        <f t="shared" si="1"/>
        <v>10.545</v>
      </c>
    </row>
    <row r="38" spans="1:17" ht="15" customHeight="1" x14ac:dyDescent="0.25">
      <c r="A38" s="15">
        <v>37</v>
      </c>
      <c r="B38" s="15" t="s">
        <v>391</v>
      </c>
      <c r="C38" s="15" t="s">
        <v>392</v>
      </c>
      <c r="D38" s="15" t="s">
        <v>393</v>
      </c>
      <c r="E38" s="15" t="s">
        <v>394</v>
      </c>
      <c r="F38" s="41">
        <v>1</v>
      </c>
      <c r="G38" s="42">
        <v>13.1</v>
      </c>
      <c r="H38" s="43">
        <v>0.01</v>
      </c>
      <c r="I38" s="41" t="s">
        <v>63</v>
      </c>
      <c r="J38" s="16">
        <f t="shared" si="0"/>
        <v>12.968999999999999</v>
      </c>
      <c r="K38" s="16">
        <f>IF(Q38="",0,IF(SUMPRODUCT(('Returns &amp; Refunds'!$A$6:$A$11=C38)*('Returns &amp; Refunds'!$H$6:$H$11="Confirmed Good — Remove Charge"))&gt;0,0,Q38))</f>
        <v>12.968999999999999</v>
      </c>
      <c r="L38" s="16">
        <v>17.899999999999999</v>
      </c>
      <c r="M38" s="28">
        <v>17.7</v>
      </c>
      <c r="N38" s="29">
        <v>1.12E-2</v>
      </c>
      <c r="O38" s="44" t="s">
        <v>62</v>
      </c>
      <c r="P38" s="15"/>
      <c r="Q38" s="16">
        <f t="shared" si="1"/>
        <v>12.968999999999999</v>
      </c>
    </row>
    <row r="39" spans="1:17" ht="15" customHeight="1" x14ac:dyDescent="0.25">
      <c r="A39" s="15">
        <v>38</v>
      </c>
      <c r="B39" s="15" t="s">
        <v>116</v>
      </c>
      <c r="C39" s="15" t="s">
        <v>117</v>
      </c>
      <c r="D39" s="15" t="s">
        <v>395</v>
      </c>
      <c r="E39" s="15" t="s">
        <v>118</v>
      </c>
      <c r="F39" s="41">
        <v>1</v>
      </c>
      <c r="G39" s="42">
        <v>14.9</v>
      </c>
      <c r="H39" s="48">
        <f>'Pending DSP Entry'!J30</f>
        <v>0.03</v>
      </c>
      <c r="I39" s="46" t="str">
        <f>IF('Pending DSP Entry'!J30=0,"No","Yes")</f>
        <v>Yes</v>
      </c>
      <c r="J39" s="16">
        <f t="shared" si="0"/>
        <v>14.452999999999999</v>
      </c>
      <c r="K39" s="16">
        <f>IF(Q39="",0,IF(SUMPRODUCT(('Returns &amp; Refunds'!$A$6:$A$11=C39)*('Returns &amp; Refunds'!$H$6:$H$11="Confirmed Good — Remove Charge"))&gt;0,0,Q39))</f>
        <v>14.452999999999999</v>
      </c>
      <c r="L39" s="16">
        <v>24.9</v>
      </c>
      <c r="M39" s="28">
        <v>24.16</v>
      </c>
      <c r="N39" s="29">
        <v>2.9700000000000001E-2</v>
      </c>
      <c r="O39" s="49" t="s">
        <v>119</v>
      </c>
      <c r="P39" s="47" t="str">
        <f>"Rate pending your input — Pending DSP Entry section C, row 30"</f>
        <v>Rate pending your input — Pending DSP Entry section C, row 30</v>
      </c>
      <c r="Q39" s="16">
        <f t="shared" si="1"/>
        <v>14.452999999999999</v>
      </c>
    </row>
    <row r="40" spans="1:17" ht="15" customHeight="1" x14ac:dyDescent="0.25">
      <c r="A40" s="15">
        <v>39</v>
      </c>
      <c r="B40" s="15" t="s">
        <v>396</v>
      </c>
      <c r="C40" s="15" t="s">
        <v>397</v>
      </c>
      <c r="D40" s="15" t="s">
        <v>398</v>
      </c>
      <c r="E40" s="15" t="s">
        <v>399</v>
      </c>
      <c r="F40" s="41">
        <v>1</v>
      </c>
      <c r="G40" s="42">
        <v>13.1</v>
      </c>
      <c r="H40" s="43">
        <v>0.01</v>
      </c>
      <c r="I40" s="41" t="s">
        <v>69</v>
      </c>
      <c r="J40" s="16">
        <f t="shared" si="0"/>
        <v>13.1</v>
      </c>
      <c r="K40" s="16">
        <f>IF(Q40="",0,IF(SUMPRODUCT(('Returns &amp; Refunds'!$A$6:$A$11=C40)*('Returns &amp; Refunds'!$H$6:$H$11="Confirmed Good — Remove Charge"))&gt;0,0,Q40))</f>
        <v>13.1</v>
      </c>
      <c r="L40" s="16">
        <v>17.899999999999999</v>
      </c>
      <c r="M40" s="28">
        <v>17.899999999999999</v>
      </c>
      <c r="N40" s="29">
        <v>0</v>
      </c>
      <c r="O40" s="45" t="s">
        <v>68</v>
      </c>
      <c r="P40" s="15"/>
      <c r="Q40" s="16">
        <f t="shared" si="1"/>
        <v>13.1</v>
      </c>
    </row>
    <row r="41" spans="1:17" ht="15" customHeight="1" x14ac:dyDescent="0.25">
      <c r="A41" s="15">
        <v>40</v>
      </c>
      <c r="B41" s="15" t="s">
        <v>80</v>
      </c>
      <c r="C41" s="15" t="s">
        <v>81</v>
      </c>
      <c r="D41" s="15" t="s">
        <v>400</v>
      </c>
      <c r="E41" s="15" t="s">
        <v>82</v>
      </c>
      <c r="F41" s="41">
        <v>1</v>
      </c>
      <c r="G41" s="42">
        <v>15.5</v>
      </c>
      <c r="H41" s="43">
        <v>0.05</v>
      </c>
      <c r="I41" s="41" t="s">
        <v>63</v>
      </c>
      <c r="J41" s="16">
        <f t="shared" si="0"/>
        <v>14.725</v>
      </c>
      <c r="K41" s="16">
        <f>IF(Q41="",0,IF(SUMPRODUCT(('Returns &amp; Refunds'!$A$6:$A$11=C41)*('Returns &amp; Refunds'!$H$6:$H$11="Confirmed Good — Remove Charge"))&gt;0,0,Q41))</f>
        <v>14.725</v>
      </c>
      <c r="L41" s="16">
        <v>19.899999999999999</v>
      </c>
      <c r="M41" s="28">
        <v>18.899999999999999</v>
      </c>
      <c r="N41" s="29">
        <v>5.0299999999999997E-2</v>
      </c>
      <c r="O41" s="44" t="s">
        <v>62</v>
      </c>
      <c r="P41" s="15"/>
      <c r="Q41" s="16">
        <f t="shared" si="1"/>
        <v>14.725</v>
      </c>
    </row>
    <row r="42" spans="1:17" ht="15" customHeight="1" x14ac:dyDescent="0.25">
      <c r="A42" s="15">
        <v>41</v>
      </c>
      <c r="B42" s="15" t="s">
        <v>401</v>
      </c>
      <c r="C42" s="15" t="s">
        <v>402</v>
      </c>
      <c r="D42" s="15" t="s">
        <v>403</v>
      </c>
      <c r="E42" s="15" t="s">
        <v>404</v>
      </c>
      <c r="F42" s="41">
        <v>1</v>
      </c>
      <c r="G42" s="42">
        <v>48.9</v>
      </c>
      <c r="H42" s="43">
        <v>0.02</v>
      </c>
      <c r="I42" s="41" t="s">
        <v>69</v>
      </c>
      <c r="J42" s="16">
        <f t="shared" si="0"/>
        <v>48.9</v>
      </c>
      <c r="K42" s="16">
        <f>IF(Q42="",0,IF(SUMPRODUCT(('Returns &amp; Refunds'!$A$6:$A$11=C42)*('Returns &amp; Refunds'!$H$6:$H$11="Confirmed Good — Remove Charge"))&gt;0,0,Q42))</f>
        <v>48.9</v>
      </c>
      <c r="L42" s="16">
        <v>67.900000000000006</v>
      </c>
      <c r="M42" s="28">
        <v>67.900000000000006</v>
      </c>
      <c r="N42" s="29">
        <v>0</v>
      </c>
      <c r="O42" s="45" t="s">
        <v>68</v>
      </c>
      <c r="P42" s="15"/>
      <c r="Q42" s="16">
        <f t="shared" si="1"/>
        <v>48.9</v>
      </c>
    </row>
    <row r="43" spans="1:17" ht="15" customHeight="1" x14ac:dyDescent="0.25">
      <c r="A43" s="15">
        <v>42</v>
      </c>
      <c r="B43" s="15" t="s">
        <v>405</v>
      </c>
      <c r="C43" s="15" t="s">
        <v>406</v>
      </c>
      <c r="D43" s="15" t="s">
        <v>407</v>
      </c>
      <c r="E43" s="15" t="s">
        <v>408</v>
      </c>
      <c r="F43" s="41">
        <v>1</v>
      </c>
      <c r="G43" s="42">
        <v>64.8</v>
      </c>
      <c r="H43" s="43">
        <v>0.02</v>
      </c>
      <c r="I43" s="41" t="s">
        <v>69</v>
      </c>
      <c r="J43" s="16">
        <f t="shared" si="0"/>
        <v>64.8</v>
      </c>
      <c r="K43" s="16">
        <f>IF(Q43="",0,IF(SUMPRODUCT(('Returns &amp; Refunds'!$A$6:$A$11=C43)*('Returns &amp; Refunds'!$H$6:$H$11="Confirmed Good — Remove Charge"))&gt;0,0,Q43))</f>
        <v>64.8</v>
      </c>
      <c r="L43" s="16">
        <v>84.9</v>
      </c>
      <c r="M43" s="28">
        <v>84.9</v>
      </c>
      <c r="N43" s="29">
        <v>0</v>
      </c>
      <c r="O43" s="45" t="s">
        <v>68</v>
      </c>
      <c r="P43" s="15"/>
      <c r="Q43" s="16">
        <f t="shared" si="1"/>
        <v>64.8</v>
      </c>
    </row>
    <row r="44" spans="1:17" ht="15" customHeight="1" x14ac:dyDescent="0.25">
      <c r="A44" s="15">
        <v>43</v>
      </c>
      <c r="B44" s="15" t="s">
        <v>405</v>
      </c>
      <c r="C44" s="15" t="s">
        <v>406</v>
      </c>
      <c r="D44" s="15" t="s">
        <v>407</v>
      </c>
      <c r="E44" s="15" t="s">
        <v>409</v>
      </c>
      <c r="F44" s="41">
        <v>1</v>
      </c>
      <c r="G44" s="42">
        <v>64.8</v>
      </c>
      <c r="H44" s="43">
        <v>0.02</v>
      </c>
      <c r="I44" s="41" t="s">
        <v>63</v>
      </c>
      <c r="J44" s="16">
        <f t="shared" si="0"/>
        <v>63.503999999999998</v>
      </c>
      <c r="K44" s="16">
        <f>IF(Q44="",0,IF(SUMPRODUCT(('Returns &amp; Refunds'!$A$6:$A$11=C44)*('Returns &amp; Refunds'!$H$6:$H$11="Confirmed Good — Remove Charge"))&gt;0,0,Q44))</f>
        <v>63.503999999999998</v>
      </c>
      <c r="L44" s="16">
        <v>84.9</v>
      </c>
      <c r="M44" s="28">
        <v>83.2</v>
      </c>
      <c r="N44" s="29">
        <v>0.02</v>
      </c>
      <c r="O44" s="44" t="s">
        <v>62</v>
      </c>
      <c r="P44" s="15"/>
      <c r="Q44" s="16">
        <f t="shared" si="1"/>
        <v>63.503999999999998</v>
      </c>
    </row>
    <row r="45" spans="1:17" ht="15" customHeight="1" x14ac:dyDescent="0.25">
      <c r="A45" s="15">
        <v>44</v>
      </c>
      <c r="B45" s="15" t="s">
        <v>410</v>
      </c>
      <c r="C45" s="15" t="s">
        <v>411</v>
      </c>
      <c r="D45" s="15" t="s">
        <v>412</v>
      </c>
      <c r="E45" s="15" t="s">
        <v>413</v>
      </c>
      <c r="F45" s="41">
        <v>2</v>
      </c>
      <c r="G45" s="42">
        <v>10.5</v>
      </c>
      <c r="H45" s="43">
        <v>0.01</v>
      </c>
      <c r="I45" s="41" t="s">
        <v>63</v>
      </c>
      <c r="J45" s="16">
        <f t="shared" si="0"/>
        <v>10.395</v>
      </c>
      <c r="K45" s="16">
        <f>IF(Q45="",0,IF(SUMPRODUCT(('Returns &amp; Refunds'!$A$6:$A$11=C45)*('Returns &amp; Refunds'!$H$6:$H$11="Confirmed Good — Remove Charge"))&gt;0,0,Q45))</f>
        <v>20.79</v>
      </c>
      <c r="L45" s="16">
        <v>15</v>
      </c>
      <c r="M45" s="28">
        <v>14.9</v>
      </c>
      <c r="N45" s="29">
        <v>6.7000000000000002E-3</v>
      </c>
      <c r="O45" s="44" t="s">
        <v>62</v>
      </c>
      <c r="P45" s="15"/>
      <c r="Q45" s="16">
        <f t="shared" si="1"/>
        <v>20.79</v>
      </c>
    </row>
    <row r="46" spans="1:17" ht="15" customHeight="1" x14ac:dyDescent="0.25">
      <c r="A46" s="15">
        <v>45</v>
      </c>
      <c r="B46" s="15" t="s">
        <v>414</v>
      </c>
      <c r="C46" s="15" t="s">
        <v>415</v>
      </c>
      <c r="D46" s="15" t="s">
        <v>416</v>
      </c>
      <c r="E46" s="15" t="s">
        <v>417</v>
      </c>
      <c r="F46" s="41">
        <v>1</v>
      </c>
      <c r="G46" s="42">
        <v>13.6</v>
      </c>
      <c r="H46" s="43">
        <v>0.1</v>
      </c>
      <c r="I46" s="41" t="s">
        <v>63</v>
      </c>
      <c r="J46" s="16">
        <f t="shared" si="0"/>
        <v>12.24</v>
      </c>
      <c r="K46" s="16">
        <f>IF(Q46="",0,IF(SUMPRODUCT(('Returns &amp; Refunds'!$A$6:$A$11=C46)*('Returns &amp; Refunds'!$H$6:$H$11="Confirmed Good — Remove Charge"))&gt;0,0,Q46))</f>
        <v>12.24</v>
      </c>
      <c r="L46" s="16">
        <v>19.899999999999999</v>
      </c>
      <c r="M46" s="28">
        <v>17.899999999999999</v>
      </c>
      <c r="N46" s="29">
        <v>0.10050000000000001</v>
      </c>
      <c r="O46" s="44" t="s">
        <v>62</v>
      </c>
      <c r="P46" s="15"/>
      <c r="Q46" s="16">
        <f t="shared" si="1"/>
        <v>12.24</v>
      </c>
    </row>
    <row r="47" spans="1:17" ht="15" customHeight="1" x14ac:dyDescent="0.25">
      <c r="A47" s="15">
        <v>46</v>
      </c>
      <c r="B47" s="15" t="s">
        <v>418</v>
      </c>
      <c r="C47" s="15" t="s">
        <v>419</v>
      </c>
      <c r="D47" s="15" t="s">
        <v>420</v>
      </c>
      <c r="E47" s="15" t="s">
        <v>421</v>
      </c>
      <c r="F47" s="41">
        <v>1</v>
      </c>
      <c r="G47" s="42">
        <v>18.8</v>
      </c>
      <c r="H47" s="43">
        <v>0.01</v>
      </c>
      <c r="I47" s="41" t="s">
        <v>63</v>
      </c>
      <c r="J47" s="16">
        <f t="shared" si="0"/>
        <v>18.612000000000002</v>
      </c>
      <c r="K47" s="16">
        <f>IF(Q47="",0,IF(SUMPRODUCT(('Returns &amp; Refunds'!$A$6:$A$11=C47)*('Returns &amp; Refunds'!$H$6:$H$11="Confirmed Good — Remove Charge"))&gt;0,0,Q47))</f>
        <v>18.612000000000002</v>
      </c>
      <c r="L47" s="16">
        <v>24.9</v>
      </c>
      <c r="M47" s="28">
        <v>24.7</v>
      </c>
      <c r="N47" s="29">
        <v>8.0000000000000002E-3</v>
      </c>
      <c r="O47" s="44" t="s">
        <v>62</v>
      </c>
      <c r="P47" s="15"/>
      <c r="Q47" s="16">
        <f t="shared" si="1"/>
        <v>18.612000000000002</v>
      </c>
    </row>
    <row r="48" spans="1:17" ht="15" customHeight="1" x14ac:dyDescent="0.25">
      <c r="A48" s="15">
        <v>47</v>
      </c>
      <c r="B48" s="15" t="s">
        <v>422</v>
      </c>
      <c r="C48" s="15" t="s">
        <v>423</v>
      </c>
      <c r="D48" s="15" t="s">
        <v>424</v>
      </c>
      <c r="E48" s="15" t="s">
        <v>425</v>
      </c>
      <c r="F48" s="41">
        <v>1</v>
      </c>
      <c r="G48" s="42">
        <v>16.8</v>
      </c>
      <c r="H48" s="43">
        <v>0.03</v>
      </c>
      <c r="I48" s="41" t="s">
        <v>63</v>
      </c>
      <c r="J48" s="16">
        <f t="shared" si="0"/>
        <v>16.295999999999999</v>
      </c>
      <c r="K48" s="16">
        <f>IF(Q48="",0,IF(SUMPRODUCT(('Returns &amp; Refunds'!$A$6:$A$11=C48)*('Returns &amp; Refunds'!$H$6:$H$11="Confirmed Good — Remove Charge"))&gt;0,0,Q48))</f>
        <v>16.295999999999999</v>
      </c>
      <c r="L48" s="16">
        <v>23.9</v>
      </c>
      <c r="M48" s="28">
        <v>23.2</v>
      </c>
      <c r="N48" s="29">
        <v>2.93E-2</v>
      </c>
      <c r="O48" s="44" t="s">
        <v>62</v>
      </c>
      <c r="P48" s="15"/>
      <c r="Q48" s="16">
        <f t="shared" si="1"/>
        <v>16.295999999999999</v>
      </c>
    </row>
    <row r="49" spans="1:17" ht="15" customHeight="1" x14ac:dyDescent="0.25">
      <c r="A49" s="15">
        <v>48</v>
      </c>
      <c r="B49" s="15" t="s">
        <v>426</v>
      </c>
      <c r="C49" s="15" t="s">
        <v>427</v>
      </c>
      <c r="D49" s="15" t="s">
        <v>428</v>
      </c>
      <c r="E49" s="15" t="s">
        <v>429</v>
      </c>
      <c r="F49" s="41">
        <v>1</v>
      </c>
      <c r="G49" s="42">
        <v>13.5</v>
      </c>
      <c r="H49" s="43">
        <v>0.01</v>
      </c>
      <c r="I49" s="41" t="s">
        <v>63</v>
      </c>
      <c r="J49" s="16">
        <f t="shared" si="0"/>
        <v>13.365</v>
      </c>
      <c r="K49" s="16">
        <f>IF(Q49="",0,IF(SUMPRODUCT(('Returns &amp; Refunds'!$A$6:$A$11=C49)*('Returns &amp; Refunds'!$H$6:$H$11="Confirmed Good — Remove Charge"))&gt;0,0,Q49))</f>
        <v>13.365</v>
      </c>
      <c r="L49" s="16">
        <v>17.899999999999999</v>
      </c>
      <c r="M49" s="28">
        <v>17.7</v>
      </c>
      <c r="N49" s="29">
        <v>1.12E-2</v>
      </c>
      <c r="O49" s="44" t="s">
        <v>62</v>
      </c>
      <c r="P49" s="15"/>
      <c r="Q49" s="16">
        <f t="shared" si="1"/>
        <v>13.365</v>
      </c>
    </row>
    <row r="50" spans="1:17" ht="15" customHeight="1" x14ac:dyDescent="0.25">
      <c r="A50" s="15">
        <v>49</v>
      </c>
      <c r="B50" s="15" t="s">
        <v>430</v>
      </c>
      <c r="C50" s="15" t="s">
        <v>431</v>
      </c>
      <c r="D50" s="15" t="s">
        <v>432</v>
      </c>
      <c r="E50" s="15" t="s">
        <v>433</v>
      </c>
      <c r="F50" s="41">
        <v>1</v>
      </c>
      <c r="G50" s="42">
        <v>41.5</v>
      </c>
      <c r="H50" s="43">
        <v>0.01</v>
      </c>
      <c r="I50" s="41" t="s">
        <v>63</v>
      </c>
      <c r="J50" s="16">
        <f t="shared" si="0"/>
        <v>41.085000000000001</v>
      </c>
      <c r="K50" s="16">
        <f>IF(Q50="",0,IF(SUMPRODUCT(('Returns &amp; Refunds'!$A$6:$A$11=C50)*('Returns &amp; Refunds'!$H$6:$H$11="Confirmed Good — Remove Charge"))&gt;0,0,Q50))</f>
        <v>41.085000000000001</v>
      </c>
      <c r="L50" s="16">
        <v>54.9</v>
      </c>
      <c r="M50" s="28">
        <v>54.4</v>
      </c>
      <c r="N50" s="29">
        <v>9.1000000000000004E-3</v>
      </c>
      <c r="O50" s="44" t="s">
        <v>62</v>
      </c>
      <c r="P50" s="15"/>
      <c r="Q50" s="16">
        <f t="shared" si="1"/>
        <v>41.085000000000001</v>
      </c>
    </row>
    <row r="51" spans="1:17" ht="15" customHeight="1" x14ac:dyDescent="0.25">
      <c r="A51" s="15">
        <v>50</v>
      </c>
      <c r="B51" s="15" t="s">
        <v>430</v>
      </c>
      <c r="C51" s="15" t="s">
        <v>431</v>
      </c>
      <c r="D51" s="15" t="s">
        <v>432</v>
      </c>
      <c r="E51" s="15" t="s">
        <v>208</v>
      </c>
      <c r="F51" s="41">
        <v>1</v>
      </c>
      <c r="G51" s="42">
        <v>6.5</v>
      </c>
      <c r="H51" s="43">
        <v>0.05</v>
      </c>
      <c r="I51" s="41" t="s">
        <v>63</v>
      </c>
      <c r="J51" s="16">
        <f t="shared" si="0"/>
        <v>6.1749999999999998</v>
      </c>
      <c r="K51" s="16">
        <f>IF(Q51="",0,IF(SUMPRODUCT(('Returns &amp; Refunds'!$A$6:$A$11=C51)*('Returns &amp; Refunds'!$H$6:$H$11="Confirmed Good — Remove Charge"))&gt;0,0,Q51))</f>
        <v>6.1749999999999998</v>
      </c>
      <c r="L51" s="16">
        <v>9.9</v>
      </c>
      <c r="M51" s="28">
        <v>9.4</v>
      </c>
      <c r="N51" s="29">
        <v>5.0500000000000003E-2</v>
      </c>
      <c r="O51" s="44" t="s">
        <v>62</v>
      </c>
      <c r="P51" s="15"/>
      <c r="Q51" s="16">
        <f t="shared" si="1"/>
        <v>6.1749999999999998</v>
      </c>
    </row>
    <row r="52" spans="1:17" ht="15" customHeight="1" x14ac:dyDescent="0.25">
      <c r="A52" s="15">
        <v>51</v>
      </c>
      <c r="B52" s="15" t="s">
        <v>434</v>
      </c>
      <c r="C52" s="15" t="s">
        <v>435</v>
      </c>
      <c r="D52" s="15" t="s">
        <v>436</v>
      </c>
      <c r="E52" s="15" t="s">
        <v>186</v>
      </c>
      <c r="F52" s="41">
        <v>1</v>
      </c>
      <c r="G52" s="42">
        <v>12.4</v>
      </c>
      <c r="H52" s="43">
        <v>0.01</v>
      </c>
      <c r="I52" s="41" t="s">
        <v>63</v>
      </c>
      <c r="J52" s="16">
        <f t="shared" si="0"/>
        <v>12.276</v>
      </c>
      <c r="K52" s="16">
        <f>IF(Q52="",0,IF(SUMPRODUCT(('Returns &amp; Refunds'!$A$6:$A$11=C52)*('Returns &amp; Refunds'!$H$6:$H$11="Confirmed Good — Remove Charge"))&gt;0,0,Q52))</f>
        <v>12.276</v>
      </c>
      <c r="L52" s="16">
        <v>17.899999999999999</v>
      </c>
      <c r="M52" s="28">
        <v>17.7</v>
      </c>
      <c r="N52" s="29">
        <v>1.12E-2</v>
      </c>
      <c r="O52" s="44" t="s">
        <v>62</v>
      </c>
      <c r="P52" s="15"/>
      <c r="Q52" s="16">
        <f t="shared" si="1"/>
        <v>12.276</v>
      </c>
    </row>
    <row r="53" spans="1:17" ht="15" customHeight="1" x14ac:dyDescent="0.25">
      <c r="A53" s="15">
        <v>52</v>
      </c>
      <c r="B53" s="15" t="s">
        <v>437</v>
      </c>
      <c r="C53" s="15" t="s">
        <v>438</v>
      </c>
      <c r="D53" s="15" t="s">
        <v>439</v>
      </c>
      <c r="E53" s="15" t="s">
        <v>440</v>
      </c>
      <c r="F53" s="41">
        <v>1</v>
      </c>
      <c r="G53" s="42">
        <v>11.6</v>
      </c>
      <c r="H53" s="43">
        <v>0.03</v>
      </c>
      <c r="I53" s="41" t="s">
        <v>69</v>
      </c>
      <c r="J53" s="16">
        <f t="shared" si="0"/>
        <v>11.6</v>
      </c>
      <c r="K53" s="16">
        <f>IF(Q53="",0,IF(SUMPRODUCT(('Returns &amp; Refunds'!$A$6:$A$11=C53)*('Returns &amp; Refunds'!$H$6:$H$11="Confirmed Good — Remove Charge"))&gt;0,0,Q53))</f>
        <v>11.6</v>
      </c>
      <c r="L53" s="16">
        <v>14.9</v>
      </c>
      <c r="M53" s="28">
        <v>14.9</v>
      </c>
      <c r="N53" s="29">
        <v>0</v>
      </c>
      <c r="O53" s="45" t="s">
        <v>68</v>
      </c>
      <c r="P53" s="15"/>
      <c r="Q53" s="16">
        <f t="shared" si="1"/>
        <v>11.6</v>
      </c>
    </row>
    <row r="54" spans="1:17" ht="15" customHeight="1" x14ac:dyDescent="0.25">
      <c r="A54" s="15">
        <v>53</v>
      </c>
      <c r="B54" s="15" t="s">
        <v>441</v>
      </c>
      <c r="C54" s="15" t="s">
        <v>442</v>
      </c>
      <c r="D54" s="15" t="s">
        <v>443</v>
      </c>
      <c r="E54" s="15" t="s">
        <v>444</v>
      </c>
      <c r="F54" s="41">
        <v>1</v>
      </c>
      <c r="G54" s="42">
        <v>19</v>
      </c>
      <c r="H54" s="43">
        <v>0.05</v>
      </c>
      <c r="I54" s="41" t="s">
        <v>69</v>
      </c>
      <c r="J54" s="16">
        <f t="shared" si="0"/>
        <v>19</v>
      </c>
      <c r="K54" s="16">
        <f>IF(Q54="",0,IF(SUMPRODUCT(('Returns &amp; Refunds'!$A$6:$A$11=C54)*('Returns &amp; Refunds'!$H$6:$H$11="Confirmed Good — Remove Charge"))&gt;0,0,Q54))</f>
        <v>19</v>
      </c>
      <c r="L54" s="16">
        <v>26.9</v>
      </c>
      <c r="M54" s="28">
        <v>26.9</v>
      </c>
      <c r="N54" s="29">
        <v>0</v>
      </c>
      <c r="O54" s="45" t="s">
        <v>68</v>
      </c>
      <c r="P54" s="15"/>
      <c r="Q54" s="16">
        <f t="shared" si="1"/>
        <v>19</v>
      </c>
    </row>
    <row r="55" spans="1:17" ht="15" customHeight="1" x14ac:dyDescent="0.25">
      <c r="A55" s="15">
        <v>54</v>
      </c>
      <c r="B55" s="15" t="s">
        <v>445</v>
      </c>
      <c r="C55" s="15" t="s">
        <v>446</v>
      </c>
      <c r="D55" s="15" t="s">
        <v>447</v>
      </c>
      <c r="E55" s="15" t="s">
        <v>448</v>
      </c>
      <c r="F55" s="41">
        <v>1</v>
      </c>
      <c r="G55" s="42">
        <v>16.3</v>
      </c>
      <c r="H55" s="43">
        <v>0.01</v>
      </c>
      <c r="I55" s="41" t="s">
        <v>63</v>
      </c>
      <c r="J55" s="16">
        <f t="shared" si="0"/>
        <v>16.137</v>
      </c>
      <c r="K55" s="16">
        <f>IF(Q55="",0,IF(SUMPRODUCT(('Returns &amp; Refunds'!$A$6:$A$11=C55)*('Returns &amp; Refunds'!$H$6:$H$11="Confirmed Good — Remove Charge"))&gt;0,0,Q55))</f>
        <v>16.137</v>
      </c>
      <c r="L55" s="16">
        <v>21.9</v>
      </c>
      <c r="M55" s="28">
        <v>21.7</v>
      </c>
      <c r="N55" s="29">
        <v>9.1000000000000004E-3</v>
      </c>
      <c r="O55" s="44" t="s">
        <v>62</v>
      </c>
      <c r="P55" s="15"/>
      <c r="Q55" s="16">
        <f t="shared" si="1"/>
        <v>16.137</v>
      </c>
    </row>
    <row r="56" spans="1:17" ht="15" customHeight="1" x14ac:dyDescent="0.25">
      <c r="A56" s="15">
        <v>55</v>
      </c>
      <c r="B56" s="15" t="s">
        <v>449</v>
      </c>
      <c r="C56" s="15" t="s">
        <v>450</v>
      </c>
      <c r="D56" s="15" t="s">
        <v>451</v>
      </c>
      <c r="E56" s="15" t="s">
        <v>433</v>
      </c>
      <c r="F56" s="41">
        <v>1</v>
      </c>
      <c r="G56" s="42">
        <v>41.5</v>
      </c>
      <c r="H56" s="43">
        <v>0.01</v>
      </c>
      <c r="I56" s="41" t="s">
        <v>63</v>
      </c>
      <c r="J56" s="16">
        <f t="shared" si="0"/>
        <v>41.085000000000001</v>
      </c>
      <c r="K56" s="16">
        <f>IF(Q56="",0,IF(SUMPRODUCT(('Returns &amp; Refunds'!$A$6:$A$11=C56)*('Returns &amp; Refunds'!$H$6:$H$11="Confirmed Good — Remove Charge"))&gt;0,0,Q56))</f>
        <v>41.085000000000001</v>
      </c>
      <c r="L56" s="16">
        <v>54.9</v>
      </c>
      <c r="M56" s="28">
        <v>54.4</v>
      </c>
      <c r="N56" s="29">
        <v>9.1000000000000004E-3</v>
      </c>
      <c r="O56" s="44" t="s">
        <v>62</v>
      </c>
      <c r="P56" s="15"/>
      <c r="Q56" s="16">
        <f t="shared" si="1"/>
        <v>41.085000000000001</v>
      </c>
    </row>
    <row r="57" spans="1:17" ht="15" customHeight="1" x14ac:dyDescent="0.25">
      <c r="A57" s="15">
        <v>56</v>
      </c>
      <c r="B57" s="15" t="s">
        <v>452</v>
      </c>
      <c r="C57" s="15" t="s">
        <v>453</v>
      </c>
      <c r="D57" s="15" t="s">
        <v>454</v>
      </c>
      <c r="E57" s="15" t="s">
        <v>242</v>
      </c>
      <c r="F57" s="41">
        <v>1</v>
      </c>
      <c r="G57" s="42">
        <v>10.5</v>
      </c>
      <c r="H57" s="43">
        <v>0.01</v>
      </c>
      <c r="I57" s="41" t="s">
        <v>63</v>
      </c>
      <c r="J57" s="16">
        <f t="shared" si="0"/>
        <v>10.395</v>
      </c>
      <c r="K57" s="16">
        <f>IF(Q57="",0,IF(SUMPRODUCT(('Returns &amp; Refunds'!$A$6:$A$11=C57)*('Returns &amp; Refunds'!$H$6:$H$11="Confirmed Good — Remove Charge"))&gt;0,0,Q57))</f>
        <v>10.395</v>
      </c>
      <c r="L57" s="16">
        <v>15</v>
      </c>
      <c r="M57" s="28">
        <v>14.9</v>
      </c>
      <c r="N57" s="29">
        <v>6.7000000000000002E-3</v>
      </c>
      <c r="O57" s="44" t="s">
        <v>62</v>
      </c>
      <c r="P57" s="15"/>
      <c r="Q57" s="16">
        <f t="shared" si="1"/>
        <v>10.395</v>
      </c>
    </row>
    <row r="58" spans="1:17" ht="15" customHeight="1" x14ac:dyDescent="0.25">
      <c r="A58" s="15">
        <v>57</v>
      </c>
      <c r="B58" s="15" t="s">
        <v>455</v>
      </c>
      <c r="C58" s="15" t="s">
        <v>456</v>
      </c>
      <c r="D58" s="15" t="s">
        <v>457</v>
      </c>
      <c r="E58" s="15" t="s">
        <v>186</v>
      </c>
      <c r="F58" s="41">
        <v>1</v>
      </c>
      <c r="G58" s="42">
        <v>12.4</v>
      </c>
      <c r="H58" s="43">
        <v>0.01</v>
      </c>
      <c r="I58" s="41" t="s">
        <v>63</v>
      </c>
      <c r="J58" s="16">
        <f t="shared" si="0"/>
        <v>12.276</v>
      </c>
      <c r="K58" s="16">
        <f>IF(Q58="",0,IF(SUMPRODUCT(('Returns &amp; Refunds'!$A$6:$A$11=C58)*('Returns &amp; Refunds'!$H$6:$H$11="Confirmed Good — Remove Charge"))&gt;0,0,Q58))</f>
        <v>12.276</v>
      </c>
      <c r="L58" s="16">
        <v>17.899999999999999</v>
      </c>
      <c r="M58" s="28">
        <v>17.7</v>
      </c>
      <c r="N58" s="29">
        <v>1.12E-2</v>
      </c>
      <c r="O58" s="44" t="s">
        <v>62</v>
      </c>
      <c r="P58" s="15"/>
      <c r="Q58" s="16">
        <f t="shared" si="1"/>
        <v>12.276</v>
      </c>
    </row>
    <row r="59" spans="1:17" ht="15" customHeight="1" x14ac:dyDescent="0.25">
      <c r="A59" s="15">
        <v>58</v>
      </c>
      <c r="B59" s="15" t="s">
        <v>458</v>
      </c>
      <c r="C59" s="15" t="s">
        <v>459</v>
      </c>
      <c r="D59" s="15" t="s">
        <v>460</v>
      </c>
      <c r="E59" s="15" t="s">
        <v>461</v>
      </c>
      <c r="F59" s="41">
        <v>1</v>
      </c>
      <c r="G59" s="42">
        <v>6.8</v>
      </c>
      <c r="H59" s="43">
        <v>0.15</v>
      </c>
      <c r="I59" s="41" t="s">
        <v>63</v>
      </c>
      <c r="J59" s="16">
        <f t="shared" si="0"/>
        <v>5.7799999999999994</v>
      </c>
      <c r="K59" s="16">
        <f>IF(Q59="",0,IF(SUMPRODUCT(('Returns &amp; Refunds'!$A$6:$A$11=C59)*('Returns &amp; Refunds'!$H$6:$H$11="Confirmed Good — Remove Charge"))&gt;0,0,Q59))</f>
        <v>5.7799999999999994</v>
      </c>
      <c r="L59" s="16">
        <v>10</v>
      </c>
      <c r="M59" s="28">
        <v>8.5</v>
      </c>
      <c r="N59" s="29">
        <v>0.15</v>
      </c>
      <c r="O59" s="44" t="s">
        <v>62</v>
      </c>
      <c r="P59" s="15"/>
      <c r="Q59" s="16">
        <f t="shared" si="1"/>
        <v>5.7799999999999994</v>
      </c>
    </row>
    <row r="60" spans="1:17" ht="15" customHeight="1" x14ac:dyDescent="0.25">
      <c r="A60" s="15">
        <v>59</v>
      </c>
      <c r="B60" s="15" t="s">
        <v>462</v>
      </c>
      <c r="C60" s="15" t="s">
        <v>463</v>
      </c>
      <c r="D60" s="15" t="s">
        <v>464</v>
      </c>
      <c r="E60" s="15" t="s">
        <v>465</v>
      </c>
      <c r="F60" s="41">
        <v>1</v>
      </c>
      <c r="G60" s="42">
        <v>12.8</v>
      </c>
      <c r="H60" s="43">
        <v>0.25</v>
      </c>
      <c r="I60" s="41" t="s">
        <v>63</v>
      </c>
      <c r="J60" s="16">
        <f t="shared" si="0"/>
        <v>9.6000000000000014</v>
      </c>
      <c r="K60" s="16">
        <f>IF(Q60="",0,IF(SUMPRODUCT(('Returns &amp; Refunds'!$A$6:$A$11=C60)*('Returns &amp; Refunds'!$H$6:$H$11="Confirmed Good — Remove Charge"))&gt;0,0,Q60))</f>
        <v>9.6000000000000014</v>
      </c>
      <c r="L60" s="16">
        <v>19.899999999999999</v>
      </c>
      <c r="M60" s="28">
        <v>14.9</v>
      </c>
      <c r="N60" s="29">
        <v>0.25130000000000002</v>
      </c>
      <c r="O60" s="44" t="s">
        <v>62</v>
      </c>
      <c r="P60" s="15"/>
      <c r="Q60" s="16">
        <f t="shared" si="1"/>
        <v>9.6000000000000014</v>
      </c>
    </row>
    <row r="61" spans="1:17" ht="15" customHeight="1" x14ac:dyDescent="0.25">
      <c r="A61" s="15">
        <v>60</v>
      </c>
      <c r="B61" s="15" t="s">
        <v>466</v>
      </c>
      <c r="C61" s="15" t="s">
        <v>467</v>
      </c>
      <c r="D61" s="15" t="s">
        <v>468</v>
      </c>
      <c r="E61" s="15" t="s">
        <v>469</v>
      </c>
      <c r="F61" s="41">
        <v>1</v>
      </c>
      <c r="G61" s="42">
        <v>13.5</v>
      </c>
      <c r="H61" s="43">
        <v>0.01</v>
      </c>
      <c r="I61" s="41" t="s">
        <v>63</v>
      </c>
      <c r="J61" s="16">
        <f t="shared" si="0"/>
        <v>13.365</v>
      </c>
      <c r="K61" s="16">
        <f>IF(Q61="",0,IF(SUMPRODUCT(('Returns &amp; Refunds'!$A$6:$A$11=C61)*('Returns &amp; Refunds'!$H$6:$H$11="Confirmed Good — Remove Charge"))&gt;0,0,Q61))</f>
        <v>13.365</v>
      </c>
      <c r="L61" s="16">
        <v>17.899999999999999</v>
      </c>
      <c r="M61" s="28">
        <v>17.7</v>
      </c>
      <c r="N61" s="29">
        <v>1.12E-2</v>
      </c>
      <c r="O61" s="44" t="s">
        <v>62</v>
      </c>
      <c r="P61" s="15"/>
      <c r="Q61" s="16">
        <f t="shared" si="1"/>
        <v>13.365</v>
      </c>
    </row>
    <row r="62" spans="1:17" ht="15" customHeight="1" x14ac:dyDescent="0.25">
      <c r="A62" s="15">
        <v>61</v>
      </c>
      <c r="B62" s="15" t="s">
        <v>470</v>
      </c>
      <c r="C62" s="15" t="s">
        <v>471</v>
      </c>
      <c r="D62" s="15" t="s">
        <v>472</v>
      </c>
      <c r="E62" s="15" t="s">
        <v>473</v>
      </c>
      <c r="F62" s="41">
        <v>1</v>
      </c>
      <c r="G62" s="42">
        <v>17.3</v>
      </c>
      <c r="H62" s="43">
        <v>0.3</v>
      </c>
      <c r="I62" s="41" t="s">
        <v>63</v>
      </c>
      <c r="J62" s="16">
        <f t="shared" si="0"/>
        <v>12.11</v>
      </c>
      <c r="K62" s="16">
        <f>IF(Q62="",0,IF(SUMPRODUCT(('Returns &amp; Refunds'!$A$6:$A$11=C62)*('Returns &amp; Refunds'!$H$6:$H$11="Confirmed Good — Remove Charge"))&gt;0,0,Q62))</f>
        <v>12.11</v>
      </c>
      <c r="L62" s="16">
        <v>24.9</v>
      </c>
      <c r="M62" s="28">
        <v>17.399999999999999</v>
      </c>
      <c r="N62" s="29">
        <v>0.30120000000000002</v>
      </c>
      <c r="O62" s="44" t="s">
        <v>62</v>
      </c>
      <c r="P62" s="15"/>
      <c r="Q62" s="16">
        <f t="shared" si="1"/>
        <v>12.11</v>
      </c>
    </row>
    <row r="63" spans="1:17" ht="15" customHeight="1" x14ac:dyDescent="0.25">
      <c r="A63" s="15">
        <v>62</v>
      </c>
      <c r="B63" s="15" t="s">
        <v>474</v>
      </c>
      <c r="C63" s="15" t="s">
        <v>475</v>
      </c>
      <c r="D63" s="15" t="s">
        <v>476</v>
      </c>
      <c r="E63" s="15" t="s">
        <v>429</v>
      </c>
      <c r="F63" s="41">
        <v>1</v>
      </c>
      <c r="G63" s="42">
        <v>13.5</v>
      </c>
      <c r="H63" s="43">
        <v>0.01</v>
      </c>
      <c r="I63" s="41" t="s">
        <v>63</v>
      </c>
      <c r="J63" s="16">
        <f t="shared" si="0"/>
        <v>13.365</v>
      </c>
      <c r="K63" s="16">
        <f>IF(Q63="",0,IF(SUMPRODUCT(('Returns &amp; Refunds'!$A$6:$A$11=C63)*('Returns &amp; Refunds'!$H$6:$H$11="Confirmed Good — Remove Charge"))&gt;0,0,Q63))</f>
        <v>13.365</v>
      </c>
      <c r="L63" s="16">
        <v>17.899999999999999</v>
      </c>
      <c r="M63" s="28">
        <v>17.7</v>
      </c>
      <c r="N63" s="29">
        <v>1.12E-2</v>
      </c>
      <c r="O63" s="44" t="s">
        <v>62</v>
      </c>
      <c r="P63" s="15"/>
      <c r="Q63" s="16">
        <f t="shared" si="1"/>
        <v>13.365</v>
      </c>
    </row>
    <row r="64" spans="1:17" ht="15" customHeight="1" x14ac:dyDescent="0.25">
      <c r="A64" s="15">
        <v>63</v>
      </c>
      <c r="B64" s="15" t="s">
        <v>477</v>
      </c>
      <c r="C64" s="15" t="s">
        <v>478</v>
      </c>
      <c r="D64" s="15" t="s">
        <v>479</v>
      </c>
      <c r="E64" s="15" t="s">
        <v>480</v>
      </c>
      <c r="F64" s="41">
        <v>1</v>
      </c>
      <c r="G64" s="42">
        <v>18.8</v>
      </c>
      <c r="H64" s="43">
        <v>0.01</v>
      </c>
      <c r="I64" s="41" t="s">
        <v>63</v>
      </c>
      <c r="J64" s="16">
        <f t="shared" si="0"/>
        <v>18.612000000000002</v>
      </c>
      <c r="K64" s="16">
        <f>IF(Q64="",0,IF(SUMPRODUCT(('Returns &amp; Refunds'!$A$6:$A$11=C64)*('Returns &amp; Refunds'!$H$6:$H$11="Confirmed Good — Remove Charge"))&gt;0,0,Q64))</f>
        <v>18.612000000000002</v>
      </c>
      <c r="L64" s="16">
        <v>24.9</v>
      </c>
      <c r="M64" s="28">
        <v>24.7</v>
      </c>
      <c r="N64" s="29">
        <v>8.0000000000000002E-3</v>
      </c>
      <c r="O64" s="44" t="s">
        <v>62</v>
      </c>
      <c r="P64" s="15"/>
      <c r="Q64" s="16">
        <f t="shared" si="1"/>
        <v>18.612000000000002</v>
      </c>
    </row>
    <row r="65" spans="1:17" ht="15" customHeight="1" x14ac:dyDescent="0.25">
      <c r="A65" s="15">
        <v>64</v>
      </c>
      <c r="B65" s="15" t="s">
        <v>481</v>
      </c>
      <c r="C65" s="15" t="s">
        <v>482</v>
      </c>
      <c r="D65" s="15" t="s">
        <v>479</v>
      </c>
      <c r="E65" s="15" t="s">
        <v>320</v>
      </c>
      <c r="F65" s="41">
        <v>1</v>
      </c>
      <c r="G65" s="42">
        <v>10.5</v>
      </c>
      <c r="H65" s="43">
        <v>0.01</v>
      </c>
      <c r="I65" s="41" t="s">
        <v>63</v>
      </c>
      <c r="J65" s="16">
        <f t="shared" si="0"/>
        <v>10.395</v>
      </c>
      <c r="K65" s="16">
        <f>IF(Q65="",0,IF(SUMPRODUCT(('Returns &amp; Refunds'!$A$6:$A$11=C65)*('Returns &amp; Refunds'!$H$6:$H$11="Confirmed Good — Remove Charge"))&gt;0,0,Q65))</f>
        <v>10.395</v>
      </c>
      <c r="L65" s="16">
        <v>15</v>
      </c>
      <c r="M65" s="28">
        <v>14.9</v>
      </c>
      <c r="N65" s="29">
        <v>6.7000000000000002E-3</v>
      </c>
      <c r="O65" s="44" t="s">
        <v>62</v>
      </c>
      <c r="P65" s="15"/>
      <c r="Q65" s="16">
        <f t="shared" si="1"/>
        <v>10.395</v>
      </c>
    </row>
    <row r="66" spans="1:17" ht="15" customHeight="1" x14ac:dyDescent="0.25">
      <c r="A66" s="15">
        <v>65</v>
      </c>
      <c r="B66" s="15" t="s">
        <v>483</v>
      </c>
      <c r="C66" s="15" t="s">
        <v>484</v>
      </c>
      <c r="D66" s="15" t="s">
        <v>485</v>
      </c>
      <c r="E66" s="15" t="s">
        <v>486</v>
      </c>
      <c r="F66" s="41">
        <v>1</v>
      </c>
      <c r="G66" s="42">
        <v>13.1</v>
      </c>
      <c r="H66" s="43">
        <v>0.35</v>
      </c>
      <c r="I66" s="41" t="s">
        <v>63</v>
      </c>
      <c r="J66" s="16">
        <f t="shared" ref="J66:J129" si="2">IF(G66="","",IF(I66="Yes",G66*(1-H66),G66))</f>
        <v>8.5150000000000006</v>
      </c>
      <c r="K66" s="16">
        <f>IF(Q66="",0,IF(SUMPRODUCT(('Returns &amp; Refunds'!$A$6:$A$11=C66)*('Returns &amp; Refunds'!$H$6:$H$11="Confirmed Good — Remove Charge"))&gt;0,0,Q66))</f>
        <v>8.5150000000000006</v>
      </c>
      <c r="L66" s="16">
        <v>19.899999999999999</v>
      </c>
      <c r="M66" s="28">
        <v>12.9</v>
      </c>
      <c r="N66" s="29">
        <v>0.3518</v>
      </c>
      <c r="O66" s="44" t="s">
        <v>62</v>
      </c>
      <c r="P66" s="15"/>
      <c r="Q66" s="16">
        <f t="shared" ref="Q66:Q129" si="3">IF(J66="",0,F66*J66)</f>
        <v>8.5150000000000006</v>
      </c>
    </row>
    <row r="67" spans="1:17" ht="15" customHeight="1" x14ac:dyDescent="0.25">
      <c r="A67" s="15">
        <v>66</v>
      </c>
      <c r="B67" s="15" t="s">
        <v>487</v>
      </c>
      <c r="C67" s="15" t="s">
        <v>488</v>
      </c>
      <c r="D67" s="15" t="s">
        <v>489</v>
      </c>
      <c r="E67" s="15" t="s">
        <v>490</v>
      </c>
      <c r="F67" s="41">
        <v>1</v>
      </c>
      <c r="G67" s="42">
        <v>50.3</v>
      </c>
      <c r="H67" s="43">
        <v>0.02</v>
      </c>
      <c r="I67" s="41" t="s">
        <v>69</v>
      </c>
      <c r="J67" s="16">
        <f t="shared" si="2"/>
        <v>50.3</v>
      </c>
      <c r="K67" s="16">
        <f>IF(Q67="",0,IF(SUMPRODUCT(('Returns &amp; Refunds'!$A$6:$A$11=C67)*('Returns &amp; Refunds'!$H$6:$H$11="Confirmed Good — Remove Charge"))&gt;0,0,Q67))</f>
        <v>50.3</v>
      </c>
      <c r="L67" s="16">
        <v>69.900000000000006</v>
      </c>
      <c r="M67" s="28">
        <v>69.900000000000006</v>
      </c>
      <c r="N67" s="29">
        <v>0</v>
      </c>
      <c r="O67" s="45" t="s">
        <v>68</v>
      </c>
      <c r="P67" s="15"/>
      <c r="Q67" s="16">
        <f t="shared" si="3"/>
        <v>50.3</v>
      </c>
    </row>
    <row r="68" spans="1:17" ht="15" customHeight="1" x14ac:dyDescent="0.25">
      <c r="A68" s="15">
        <v>67</v>
      </c>
      <c r="B68" s="15" t="s">
        <v>491</v>
      </c>
      <c r="C68" s="15" t="s">
        <v>492</v>
      </c>
      <c r="D68" s="15" t="s">
        <v>493</v>
      </c>
      <c r="E68" s="15" t="s">
        <v>494</v>
      </c>
      <c r="F68" s="41">
        <v>1</v>
      </c>
      <c r="G68" s="42">
        <v>29.7</v>
      </c>
      <c r="H68" s="43">
        <v>0.2</v>
      </c>
      <c r="I68" s="41" t="s">
        <v>63</v>
      </c>
      <c r="J68" s="16">
        <f t="shared" si="2"/>
        <v>23.76</v>
      </c>
      <c r="K68" s="16">
        <f>IF(Q68="",0,IF(SUMPRODUCT(('Returns &amp; Refunds'!$A$6:$A$11=C68)*('Returns &amp; Refunds'!$H$6:$H$11="Confirmed Good — Remove Charge"))&gt;0,0,Q68))</f>
        <v>23.76</v>
      </c>
      <c r="L68" s="16">
        <v>42.9</v>
      </c>
      <c r="M68" s="28">
        <v>34.299999999999997</v>
      </c>
      <c r="N68" s="29">
        <v>0.20050000000000001</v>
      </c>
      <c r="O68" s="44" t="s">
        <v>62</v>
      </c>
      <c r="P68" s="15"/>
      <c r="Q68" s="16">
        <f t="shared" si="3"/>
        <v>23.76</v>
      </c>
    </row>
    <row r="69" spans="1:17" ht="15" customHeight="1" x14ac:dyDescent="0.25">
      <c r="A69" s="15">
        <v>68</v>
      </c>
      <c r="B69" s="15" t="s">
        <v>495</v>
      </c>
      <c r="C69" s="15" t="s">
        <v>496</v>
      </c>
      <c r="D69" s="15" t="s">
        <v>497</v>
      </c>
      <c r="E69" s="15" t="s">
        <v>243</v>
      </c>
      <c r="F69" s="41">
        <v>1</v>
      </c>
      <c r="G69" s="42">
        <v>10.5</v>
      </c>
      <c r="H69" s="43">
        <v>0.01</v>
      </c>
      <c r="I69" s="41" t="s">
        <v>63</v>
      </c>
      <c r="J69" s="16">
        <f t="shared" si="2"/>
        <v>10.395</v>
      </c>
      <c r="K69" s="16">
        <f>IF(Q69="",0,IF(SUMPRODUCT(('Returns &amp; Refunds'!$A$6:$A$11=C69)*('Returns &amp; Refunds'!$H$6:$H$11="Confirmed Good — Remove Charge"))&gt;0,0,Q69))</f>
        <v>10.395</v>
      </c>
      <c r="L69" s="16">
        <v>15</v>
      </c>
      <c r="M69" s="28">
        <v>14.9</v>
      </c>
      <c r="N69" s="29">
        <v>6.7000000000000002E-3</v>
      </c>
      <c r="O69" s="44" t="s">
        <v>62</v>
      </c>
      <c r="P69" s="15"/>
      <c r="Q69" s="16">
        <f t="shared" si="3"/>
        <v>10.395</v>
      </c>
    </row>
    <row r="70" spans="1:17" ht="15" customHeight="1" x14ac:dyDescent="0.25">
      <c r="A70" s="15">
        <v>69</v>
      </c>
      <c r="B70" s="15" t="s">
        <v>498</v>
      </c>
      <c r="C70" s="15" t="s">
        <v>499</v>
      </c>
      <c r="D70" s="15" t="s">
        <v>500</v>
      </c>
      <c r="E70" s="15" t="s">
        <v>501</v>
      </c>
      <c r="F70" s="41">
        <v>1</v>
      </c>
      <c r="G70" s="42">
        <v>48.7</v>
      </c>
      <c r="H70" s="43">
        <v>0.02</v>
      </c>
      <c r="I70" s="41" t="s">
        <v>69</v>
      </c>
      <c r="J70" s="16">
        <f t="shared" si="2"/>
        <v>48.7</v>
      </c>
      <c r="K70" s="16">
        <f>IF(Q70="",0,IF(SUMPRODUCT(('Returns &amp; Refunds'!$A$6:$A$11=C70)*('Returns &amp; Refunds'!$H$6:$H$11="Confirmed Good — Remove Charge"))&gt;0,0,Q70))</f>
        <v>48.7</v>
      </c>
      <c r="L70" s="16">
        <v>67.900000000000006</v>
      </c>
      <c r="M70" s="28">
        <v>67.900000000000006</v>
      </c>
      <c r="N70" s="29">
        <v>0</v>
      </c>
      <c r="O70" s="45" t="s">
        <v>68</v>
      </c>
      <c r="P70" s="15"/>
      <c r="Q70" s="16">
        <f t="shared" si="3"/>
        <v>48.7</v>
      </c>
    </row>
    <row r="71" spans="1:17" ht="15" customHeight="1" x14ac:dyDescent="0.25">
      <c r="A71" s="15">
        <v>70</v>
      </c>
      <c r="B71" s="15" t="s">
        <v>502</v>
      </c>
      <c r="C71" s="15" t="s">
        <v>503</v>
      </c>
      <c r="D71" s="15" t="s">
        <v>504</v>
      </c>
      <c r="E71" s="15" t="s">
        <v>505</v>
      </c>
      <c r="F71" s="41">
        <v>2</v>
      </c>
      <c r="G71" s="42">
        <v>13.1</v>
      </c>
      <c r="H71" s="43">
        <v>0.01</v>
      </c>
      <c r="I71" s="41" t="s">
        <v>63</v>
      </c>
      <c r="J71" s="16">
        <f t="shared" si="2"/>
        <v>12.968999999999999</v>
      </c>
      <c r="K71" s="16">
        <f>IF(Q71="",0,IF(SUMPRODUCT(('Returns &amp; Refunds'!$A$6:$A$11=C71)*('Returns &amp; Refunds'!$H$6:$H$11="Confirmed Good — Remove Charge"))&gt;0,0,Q71))</f>
        <v>25.937999999999999</v>
      </c>
      <c r="L71" s="16">
        <v>17.899999999999999</v>
      </c>
      <c r="M71" s="28">
        <v>17.7</v>
      </c>
      <c r="N71" s="29">
        <v>1.12E-2</v>
      </c>
      <c r="O71" s="44" t="s">
        <v>62</v>
      </c>
      <c r="P71" s="15"/>
      <c r="Q71" s="16">
        <f t="shared" si="3"/>
        <v>25.937999999999999</v>
      </c>
    </row>
    <row r="72" spans="1:17" ht="15" customHeight="1" x14ac:dyDescent="0.25">
      <c r="A72" s="15">
        <v>71</v>
      </c>
      <c r="B72" s="15" t="s">
        <v>506</v>
      </c>
      <c r="C72" s="15" t="s">
        <v>507</v>
      </c>
      <c r="D72" s="15" t="s">
        <v>508</v>
      </c>
      <c r="E72" s="15" t="s">
        <v>186</v>
      </c>
      <c r="F72" s="41">
        <v>1</v>
      </c>
      <c r="G72" s="42">
        <v>12.4</v>
      </c>
      <c r="H72" s="43">
        <v>0.01</v>
      </c>
      <c r="I72" s="41" t="s">
        <v>63</v>
      </c>
      <c r="J72" s="16">
        <f t="shared" si="2"/>
        <v>12.276</v>
      </c>
      <c r="K72" s="16">
        <f>IF(Q72="",0,IF(SUMPRODUCT(('Returns &amp; Refunds'!$A$6:$A$11=C72)*('Returns &amp; Refunds'!$H$6:$H$11="Confirmed Good — Remove Charge"))&gt;0,0,Q72))</f>
        <v>12.276</v>
      </c>
      <c r="L72" s="16">
        <v>17.899999999999999</v>
      </c>
      <c r="M72" s="28">
        <v>17.7</v>
      </c>
      <c r="N72" s="29">
        <v>1.12E-2</v>
      </c>
      <c r="O72" s="44" t="s">
        <v>62</v>
      </c>
      <c r="P72" s="15"/>
      <c r="Q72" s="16">
        <f t="shared" si="3"/>
        <v>12.276</v>
      </c>
    </row>
    <row r="73" spans="1:17" ht="15" customHeight="1" x14ac:dyDescent="0.25">
      <c r="A73" s="15">
        <v>72</v>
      </c>
      <c r="B73" s="15" t="s">
        <v>509</v>
      </c>
      <c r="C73" s="15" t="s">
        <v>510</v>
      </c>
      <c r="D73" s="15" t="s">
        <v>511</v>
      </c>
      <c r="E73" s="15" t="s">
        <v>490</v>
      </c>
      <c r="F73" s="41">
        <v>1</v>
      </c>
      <c r="G73" s="42">
        <v>50.3</v>
      </c>
      <c r="H73" s="43">
        <v>0.02</v>
      </c>
      <c r="I73" s="41" t="s">
        <v>69</v>
      </c>
      <c r="J73" s="16">
        <f t="shared" si="2"/>
        <v>50.3</v>
      </c>
      <c r="K73" s="16">
        <f>IF(Q73="",0,IF(SUMPRODUCT(('Returns &amp; Refunds'!$A$6:$A$11=C73)*('Returns &amp; Refunds'!$H$6:$H$11="Confirmed Good — Remove Charge"))&gt;0,0,Q73))</f>
        <v>50.3</v>
      </c>
      <c r="L73" s="16">
        <v>69.900000000000006</v>
      </c>
      <c r="M73" s="28">
        <v>69.900000000000006</v>
      </c>
      <c r="N73" s="29">
        <v>0</v>
      </c>
      <c r="O73" s="45" t="s">
        <v>68</v>
      </c>
      <c r="P73" s="15"/>
      <c r="Q73" s="16">
        <f t="shared" si="3"/>
        <v>50.3</v>
      </c>
    </row>
    <row r="74" spans="1:17" ht="15" customHeight="1" x14ac:dyDescent="0.25">
      <c r="A74" s="15">
        <v>73</v>
      </c>
      <c r="B74" s="15" t="s">
        <v>512</v>
      </c>
      <c r="C74" s="15" t="s">
        <v>513</v>
      </c>
      <c r="D74" s="15" t="s">
        <v>514</v>
      </c>
      <c r="E74" s="15" t="s">
        <v>289</v>
      </c>
      <c r="F74" s="41">
        <v>1</v>
      </c>
      <c r="G74" s="42">
        <v>13.1</v>
      </c>
      <c r="H74" s="43">
        <v>0.01</v>
      </c>
      <c r="I74" s="41" t="s">
        <v>63</v>
      </c>
      <c r="J74" s="16">
        <f t="shared" si="2"/>
        <v>12.968999999999999</v>
      </c>
      <c r="K74" s="16">
        <f>IF(Q74="",0,IF(SUMPRODUCT(('Returns &amp; Refunds'!$A$6:$A$11=C74)*('Returns &amp; Refunds'!$H$6:$H$11="Confirmed Good — Remove Charge"))&gt;0,0,Q74))</f>
        <v>12.968999999999999</v>
      </c>
      <c r="L74" s="16">
        <v>17.899999999999999</v>
      </c>
      <c r="M74" s="28">
        <v>17.7</v>
      </c>
      <c r="N74" s="29">
        <v>1.12E-2</v>
      </c>
      <c r="O74" s="44" t="s">
        <v>62</v>
      </c>
      <c r="P74" s="15"/>
      <c r="Q74" s="16">
        <f t="shared" si="3"/>
        <v>12.968999999999999</v>
      </c>
    </row>
    <row r="75" spans="1:17" ht="15" customHeight="1" x14ac:dyDescent="0.25">
      <c r="A75" s="15">
        <v>74</v>
      </c>
      <c r="B75" s="15" t="s">
        <v>515</v>
      </c>
      <c r="C75" s="15" t="s">
        <v>516</v>
      </c>
      <c r="D75" s="15" t="s">
        <v>517</v>
      </c>
      <c r="E75" s="15" t="s">
        <v>518</v>
      </c>
      <c r="F75" s="41">
        <v>1</v>
      </c>
      <c r="G75" s="42">
        <v>10.6</v>
      </c>
      <c r="H75" s="43">
        <v>0.01</v>
      </c>
      <c r="I75" s="41" t="s">
        <v>63</v>
      </c>
      <c r="J75" s="16">
        <f t="shared" si="2"/>
        <v>10.494</v>
      </c>
      <c r="K75" s="16">
        <f>IF(Q75="",0,IF(SUMPRODUCT(('Returns &amp; Refunds'!$A$6:$A$11=C75)*('Returns &amp; Refunds'!$H$6:$H$11="Confirmed Good — Remove Charge"))&gt;0,0,Q75))</f>
        <v>10.494</v>
      </c>
      <c r="L75" s="16">
        <v>15</v>
      </c>
      <c r="M75" s="28">
        <v>14.9</v>
      </c>
      <c r="N75" s="29">
        <v>6.7000000000000002E-3</v>
      </c>
      <c r="O75" s="44" t="s">
        <v>62</v>
      </c>
      <c r="P75" s="15"/>
      <c r="Q75" s="16">
        <f t="shared" si="3"/>
        <v>10.494</v>
      </c>
    </row>
    <row r="76" spans="1:17" ht="15" customHeight="1" x14ac:dyDescent="0.25">
      <c r="A76" s="15">
        <v>75</v>
      </c>
      <c r="B76" s="15" t="s">
        <v>519</v>
      </c>
      <c r="C76" s="15" t="s">
        <v>520</v>
      </c>
      <c r="D76" s="15" t="s">
        <v>521</v>
      </c>
      <c r="E76" s="15" t="s">
        <v>274</v>
      </c>
      <c r="F76" s="41">
        <v>1</v>
      </c>
      <c r="G76" s="42">
        <v>13.1</v>
      </c>
      <c r="H76" s="43">
        <v>0.01</v>
      </c>
      <c r="I76" s="41" t="s">
        <v>63</v>
      </c>
      <c r="J76" s="16">
        <f t="shared" si="2"/>
        <v>12.968999999999999</v>
      </c>
      <c r="K76" s="16">
        <f>IF(Q76="",0,IF(SUMPRODUCT(('Returns &amp; Refunds'!$A$6:$A$11=C76)*('Returns &amp; Refunds'!$H$6:$H$11="Confirmed Good — Remove Charge"))&gt;0,0,Q76))</f>
        <v>12.968999999999999</v>
      </c>
      <c r="L76" s="16">
        <v>17.899999999999999</v>
      </c>
      <c r="M76" s="28">
        <v>17.7</v>
      </c>
      <c r="N76" s="29">
        <v>1.12E-2</v>
      </c>
      <c r="O76" s="44" t="s">
        <v>62</v>
      </c>
      <c r="P76" s="15"/>
      <c r="Q76" s="16">
        <f t="shared" si="3"/>
        <v>12.968999999999999</v>
      </c>
    </row>
    <row r="77" spans="1:17" ht="15" customHeight="1" x14ac:dyDescent="0.25">
      <c r="A77" s="15">
        <v>76</v>
      </c>
      <c r="B77" s="15" t="s">
        <v>522</v>
      </c>
      <c r="C77" s="15" t="s">
        <v>523</v>
      </c>
      <c r="D77" s="15" t="s">
        <v>524</v>
      </c>
      <c r="E77" s="15" t="s">
        <v>525</v>
      </c>
      <c r="F77" s="41">
        <v>1</v>
      </c>
      <c r="G77" s="42">
        <v>14.4</v>
      </c>
      <c r="H77" s="43">
        <v>0.01</v>
      </c>
      <c r="I77" s="41" t="s">
        <v>63</v>
      </c>
      <c r="J77" s="16">
        <f t="shared" si="2"/>
        <v>14.256</v>
      </c>
      <c r="K77" s="16">
        <f>IF(Q77="",0,IF(SUMPRODUCT(('Returns &amp; Refunds'!$A$6:$A$11=C77)*('Returns &amp; Refunds'!$H$6:$H$11="Confirmed Good — Remove Charge"))&gt;0,0,Q77))</f>
        <v>14.256</v>
      </c>
      <c r="L77" s="16">
        <v>19.899999999999999</v>
      </c>
      <c r="M77" s="28">
        <v>19.7</v>
      </c>
      <c r="N77" s="29">
        <v>1.01E-2</v>
      </c>
      <c r="O77" s="44" t="s">
        <v>62</v>
      </c>
      <c r="P77" s="15"/>
      <c r="Q77" s="16">
        <f t="shared" si="3"/>
        <v>14.256</v>
      </c>
    </row>
    <row r="78" spans="1:17" ht="15" customHeight="1" x14ac:dyDescent="0.25">
      <c r="A78" s="15">
        <v>77</v>
      </c>
      <c r="B78" s="15" t="s">
        <v>189</v>
      </c>
      <c r="C78" s="15" t="s">
        <v>190</v>
      </c>
      <c r="D78" s="15" t="s">
        <v>526</v>
      </c>
      <c r="E78" s="15" t="s">
        <v>191</v>
      </c>
      <c r="F78" s="41">
        <v>1</v>
      </c>
      <c r="G78" s="42">
        <v>31.5</v>
      </c>
      <c r="H78" s="43">
        <v>0.01</v>
      </c>
      <c r="I78" s="46" t="str">
        <f>IF('Pending DSP Entry'!L59="Charge Full DSP Instead","No","Yes")</f>
        <v>Yes</v>
      </c>
      <c r="J78" s="16">
        <f t="shared" si="2"/>
        <v>31.184999999999999</v>
      </c>
      <c r="K78" s="16">
        <f>IF(Q78="",0,IF(SUMPRODUCT(('Returns &amp; Refunds'!$A$6:$A$11=C78)*('Returns &amp; Refunds'!$H$6:$H$11="Confirmed Good — Remove Charge"))&gt;0,0,Q78))</f>
        <v>31.184999999999999</v>
      </c>
      <c r="L78" s="16">
        <v>39.9</v>
      </c>
      <c r="M78" s="28">
        <v>39.11</v>
      </c>
      <c r="N78" s="29">
        <v>1.9800000000000002E-2</v>
      </c>
      <c r="O78" s="38" t="s">
        <v>129</v>
      </c>
      <c r="P78" s="47" t="str">
        <f>"Wrong rate set by reseller — decision at Pending DSP Entry section D, row 59"</f>
        <v>Wrong rate set by reseller — decision at Pending DSP Entry section D, row 59</v>
      </c>
      <c r="Q78" s="16">
        <f t="shared" si="3"/>
        <v>31.184999999999999</v>
      </c>
    </row>
    <row r="79" spans="1:17" ht="15" customHeight="1" x14ac:dyDescent="0.25">
      <c r="A79" s="15">
        <v>78</v>
      </c>
      <c r="B79" s="15" t="s">
        <v>189</v>
      </c>
      <c r="C79" s="15" t="s">
        <v>190</v>
      </c>
      <c r="D79" s="15" t="s">
        <v>526</v>
      </c>
      <c r="E79" s="15" t="s">
        <v>195</v>
      </c>
      <c r="F79" s="41">
        <v>1</v>
      </c>
      <c r="G79" s="42">
        <v>10</v>
      </c>
      <c r="H79" s="43">
        <v>0.05</v>
      </c>
      <c r="I79" s="46" t="str">
        <f>IF('Pending DSP Entry'!L61="Charge Full DSP Instead","No","Yes")</f>
        <v>Yes</v>
      </c>
      <c r="J79" s="16">
        <f t="shared" si="2"/>
        <v>9.5</v>
      </c>
      <c r="K79" s="16">
        <f>IF(Q79="",0,IF(SUMPRODUCT(('Returns &amp; Refunds'!$A$6:$A$11=C79)*('Returns &amp; Refunds'!$H$6:$H$11="Confirmed Good — Remove Charge"))&gt;0,0,Q79))</f>
        <v>9.5</v>
      </c>
      <c r="L79" s="16">
        <v>15.9</v>
      </c>
      <c r="M79" s="28">
        <v>14.95</v>
      </c>
      <c r="N79" s="29">
        <v>5.9700000000000003E-2</v>
      </c>
      <c r="O79" s="38" t="s">
        <v>129</v>
      </c>
      <c r="P79" s="47" t="str">
        <f>"Wrong rate set by reseller — decision at Pending DSP Entry section D, row 61"</f>
        <v>Wrong rate set by reseller — decision at Pending DSP Entry section D, row 61</v>
      </c>
      <c r="Q79" s="16">
        <f t="shared" si="3"/>
        <v>9.5</v>
      </c>
    </row>
    <row r="80" spans="1:17" ht="15" customHeight="1" x14ac:dyDescent="0.25">
      <c r="A80" s="15">
        <v>79</v>
      </c>
      <c r="B80" s="15" t="s">
        <v>189</v>
      </c>
      <c r="C80" s="15" t="s">
        <v>190</v>
      </c>
      <c r="D80" s="15" t="s">
        <v>526</v>
      </c>
      <c r="E80" s="15" t="s">
        <v>207</v>
      </c>
      <c r="F80" s="41">
        <v>1</v>
      </c>
      <c r="G80" s="42">
        <v>6.5</v>
      </c>
      <c r="H80" s="43">
        <v>0.05</v>
      </c>
      <c r="I80" s="46" t="str">
        <f>IF('Pending DSP Entry'!L68="Charge Full DSP Instead","No","Yes")</f>
        <v>Yes</v>
      </c>
      <c r="J80" s="16">
        <f t="shared" si="2"/>
        <v>6.1749999999999998</v>
      </c>
      <c r="K80" s="16">
        <f>IF(Q80="",0,IF(SUMPRODUCT(('Returns &amp; Refunds'!$A$6:$A$11=C80)*('Returns &amp; Refunds'!$H$6:$H$11="Confirmed Good — Remove Charge"))&gt;0,0,Q80))</f>
        <v>6.1749999999999998</v>
      </c>
      <c r="L80" s="16">
        <v>9.9</v>
      </c>
      <c r="M80" s="28">
        <v>9.31</v>
      </c>
      <c r="N80" s="29">
        <v>5.96E-2</v>
      </c>
      <c r="O80" s="38" t="s">
        <v>129</v>
      </c>
      <c r="P80" s="47" t="str">
        <f>"Wrong rate set by reseller — decision at Pending DSP Entry section D, row 68"</f>
        <v>Wrong rate set by reseller — decision at Pending DSP Entry section D, row 68</v>
      </c>
      <c r="Q80" s="16">
        <f t="shared" si="3"/>
        <v>6.1749999999999998</v>
      </c>
    </row>
    <row r="81" spans="1:17" ht="15" customHeight="1" x14ac:dyDescent="0.25">
      <c r="A81" s="15">
        <v>80</v>
      </c>
      <c r="B81" s="15" t="s">
        <v>189</v>
      </c>
      <c r="C81" s="15" t="s">
        <v>190</v>
      </c>
      <c r="D81" s="15" t="s">
        <v>526</v>
      </c>
      <c r="E81" s="15" t="s">
        <v>247</v>
      </c>
      <c r="F81" s="41">
        <v>1</v>
      </c>
      <c r="G81" s="42">
        <v>6.1</v>
      </c>
      <c r="H81" s="43">
        <v>0.05</v>
      </c>
      <c r="I81" s="46" t="str">
        <f>IF('Pending DSP Entry'!L101="Charge Full DSP Instead","No","Yes")</f>
        <v>Yes</v>
      </c>
      <c r="J81" s="16">
        <f t="shared" si="2"/>
        <v>5.794999999999999</v>
      </c>
      <c r="K81" s="16">
        <f>IF(Q81="",0,IF(SUMPRODUCT(('Returns &amp; Refunds'!$A$6:$A$11=C81)*('Returns &amp; Refunds'!$H$6:$H$11="Confirmed Good — Remove Charge"))&gt;0,0,Q81))</f>
        <v>5.794999999999999</v>
      </c>
      <c r="L81" s="16">
        <v>8.9</v>
      </c>
      <c r="M81" s="28">
        <v>8.5</v>
      </c>
      <c r="N81" s="29">
        <v>4.4900000000000002E-2</v>
      </c>
      <c r="O81" s="38" t="s">
        <v>129</v>
      </c>
      <c r="P81" s="47" t="str">
        <f>"Wrong rate set by reseller — decision at Pending DSP Entry section D, row 101"</f>
        <v>Wrong rate set by reseller — decision at Pending DSP Entry section D, row 101</v>
      </c>
      <c r="Q81" s="16">
        <f t="shared" si="3"/>
        <v>5.794999999999999</v>
      </c>
    </row>
    <row r="82" spans="1:17" ht="15" customHeight="1" x14ac:dyDescent="0.25">
      <c r="A82" s="15">
        <v>81</v>
      </c>
      <c r="B82" s="15" t="s">
        <v>189</v>
      </c>
      <c r="C82" s="15" t="s">
        <v>190</v>
      </c>
      <c r="D82" s="15" t="s">
        <v>526</v>
      </c>
      <c r="E82" s="15" t="s">
        <v>527</v>
      </c>
      <c r="F82" s="41">
        <v>1</v>
      </c>
      <c r="G82" s="42">
        <v>6.5</v>
      </c>
      <c r="H82" s="43">
        <v>0.05</v>
      </c>
      <c r="I82" s="41" t="s">
        <v>63</v>
      </c>
      <c r="J82" s="16">
        <f t="shared" si="2"/>
        <v>6.1749999999999998</v>
      </c>
      <c r="K82" s="16">
        <f>IF(Q82="",0,IF(SUMPRODUCT(('Returns &amp; Refunds'!$A$6:$A$11=C82)*('Returns &amp; Refunds'!$H$6:$H$11="Confirmed Good — Remove Charge"))&gt;0,0,Q82))</f>
        <v>6.1749999999999998</v>
      </c>
      <c r="L82" s="16">
        <v>9.9</v>
      </c>
      <c r="M82" s="28">
        <v>9.4</v>
      </c>
      <c r="N82" s="29">
        <v>5.0500000000000003E-2</v>
      </c>
      <c r="O82" s="44" t="s">
        <v>62</v>
      </c>
      <c r="P82" s="15"/>
      <c r="Q82" s="16">
        <f t="shared" si="3"/>
        <v>6.1749999999999998</v>
      </c>
    </row>
    <row r="83" spans="1:17" ht="15" customHeight="1" x14ac:dyDescent="0.25">
      <c r="A83" s="15">
        <v>82</v>
      </c>
      <c r="B83" s="15" t="s">
        <v>528</v>
      </c>
      <c r="C83" s="15" t="s">
        <v>529</v>
      </c>
      <c r="D83" s="15" t="s">
        <v>530</v>
      </c>
      <c r="E83" s="15" t="s">
        <v>285</v>
      </c>
      <c r="F83" s="41">
        <v>1</v>
      </c>
      <c r="G83" s="42">
        <v>49.8</v>
      </c>
      <c r="H83" s="43">
        <v>0.03</v>
      </c>
      <c r="I83" s="41" t="s">
        <v>69</v>
      </c>
      <c r="J83" s="16">
        <f t="shared" si="2"/>
        <v>49.8</v>
      </c>
      <c r="K83" s="16">
        <f>IF(Q83="",0,IF(SUMPRODUCT(('Returns &amp; Refunds'!$A$6:$A$11=C83)*('Returns &amp; Refunds'!$H$6:$H$11="Confirmed Good — Remove Charge"))&gt;0,0,Q83))</f>
        <v>49.8</v>
      </c>
      <c r="L83" s="16">
        <v>67.900000000000006</v>
      </c>
      <c r="M83" s="28">
        <v>67.900000000000006</v>
      </c>
      <c r="N83" s="29">
        <v>0</v>
      </c>
      <c r="O83" s="45" t="s">
        <v>68</v>
      </c>
      <c r="P83" s="15"/>
      <c r="Q83" s="16">
        <f t="shared" si="3"/>
        <v>49.8</v>
      </c>
    </row>
    <row r="84" spans="1:17" ht="15" customHeight="1" x14ac:dyDescent="0.25">
      <c r="A84" s="15">
        <v>83</v>
      </c>
      <c r="B84" s="15" t="s">
        <v>531</v>
      </c>
      <c r="C84" s="15" t="s">
        <v>532</v>
      </c>
      <c r="D84" s="15" t="s">
        <v>533</v>
      </c>
      <c r="E84" s="15" t="s">
        <v>534</v>
      </c>
      <c r="F84" s="41">
        <v>1</v>
      </c>
      <c r="G84" s="42">
        <v>34.5</v>
      </c>
      <c r="H84" s="43">
        <v>0.03</v>
      </c>
      <c r="I84" s="41" t="s">
        <v>69</v>
      </c>
      <c r="J84" s="16">
        <f t="shared" si="2"/>
        <v>34.5</v>
      </c>
      <c r="K84" s="16">
        <f>IF(Q84="",0,IF(SUMPRODUCT(('Returns &amp; Refunds'!$A$6:$A$11=C84)*('Returns &amp; Refunds'!$H$6:$H$11="Confirmed Good — Remove Charge"))&gt;0,0,Q84))</f>
        <v>34.5</v>
      </c>
      <c r="L84" s="16">
        <v>45.9</v>
      </c>
      <c r="M84" s="28">
        <v>45.9</v>
      </c>
      <c r="N84" s="29">
        <v>0</v>
      </c>
      <c r="O84" s="45" t="s">
        <v>68</v>
      </c>
      <c r="P84" s="15"/>
      <c r="Q84" s="16">
        <f t="shared" si="3"/>
        <v>34.5</v>
      </c>
    </row>
    <row r="85" spans="1:17" ht="15" customHeight="1" x14ac:dyDescent="0.25">
      <c r="A85" s="15">
        <v>84</v>
      </c>
      <c r="B85" s="15" t="s">
        <v>535</v>
      </c>
      <c r="C85" s="15" t="s">
        <v>536</v>
      </c>
      <c r="D85" s="15" t="s">
        <v>537</v>
      </c>
      <c r="E85" s="15" t="s">
        <v>204</v>
      </c>
      <c r="F85" s="41">
        <v>1</v>
      </c>
      <c r="G85" s="42">
        <v>14.8</v>
      </c>
      <c r="H85" s="43">
        <v>0.01</v>
      </c>
      <c r="I85" s="41" t="s">
        <v>63</v>
      </c>
      <c r="J85" s="16">
        <f t="shared" si="2"/>
        <v>14.652000000000001</v>
      </c>
      <c r="K85" s="16">
        <f>IF(Q85="",0,IF(SUMPRODUCT(('Returns &amp; Refunds'!$A$6:$A$11=C85)*('Returns &amp; Refunds'!$H$6:$H$11="Confirmed Good — Remove Charge"))&gt;0,0,Q85))</f>
        <v>14.652000000000001</v>
      </c>
      <c r="L85" s="16">
        <v>20.9</v>
      </c>
      <c r="M85" s="28">
        <v>20.7</v>
      </c>
      <c r="N85" s="29">
        <v>9.5999999999999992E-3</v>
      </c>
      <c r="O85" s="44" t="s">
        <v>62</v>
      </c>
      <c r="P85" s="15"/>
      <c r="Q85" s="16">
        <f t="shared" si="3"/>
        <v>14.652000000000001</v>
      </c>
    </row>
    <row r="86" spans="1:17" ht="15" customHeight="1" x14ac:dyDescent="0.25">
      <c r="A86" s="15">
        <v>85</v>
      </c>
      <c r="B86" s="15" t="s">
        <v>535</v>
      </c>
      <c r="C86" s="15" t="s">
        <v>536</v>
      </c>
      <c r="D86" s="15" t="s">
        <v>537</v>
      </c>
      <c r="E86" s="15" t="s">
        <v>281</v>
      </c>
      <c r="F86" s="41">
        <v>1</v>
      </c>
      <c r="G86" s="42">
        <v>15</v>
      </c>
      <c r="H86" s="43">
        <v>0.01</v>
      </c>
      <c r="I86" s="41" t="s">
        <v>63</v>
      </c>
      <c r="J86" s="16">
        <f t="shared" si="2"/>
        <v>14.85</v>
      </c>
      <c r="K86" s="16">
        <f>IF(Q86="",0,IF(SUMPRODUCT(('Returns &amp; Refunds'!$A$6:$A$11=C86)*('Returns &amp; Refunds'!$H$6:$H$11="Confirmed Good — Remove Charge"))&gt;0,0,Q86))</f>
        <v>14.85</v>
      </c>
      <c r="L86" s="16">
        <v>20.9</v>
      </c>
      <c r="M86" s="28">
        <v>20.7</v>
      </c>
      <c r="N86" s="29">
        <v>9.5999999999999992E-3</v>
      </c>
      <c r="O86" s="44" t="s">
        <v>62</v>
      </c>
      <c r="P86" s="15"/>
      <c r="Q86" s="16">
        <f t="shared" si="3"/>
        <v>14.85</v>
      </c>
    </row>
    <row r="87" spans="1:17" ht="15" customHeight="1" x14ac:dyDescent="0.25">
      <c r="A87" s="15">
        <v>86</v>
      </c>
      <c r="B87" s="15" t="s">
        <v>538</v>
      </c>
      <c r="C87" s="15" t="s">
        <v>539</v>
      </c>
      <c r="D87" s="15" t="s">
        <v>540</v>
      </c>
      <c r="E87" s="15" t="s">
        <v>186</v>
      </c>
      <c r="F87" s="41">
        <v>1</v>
      </c>
      <c r="G87" s="42">
        <v>12.4</v>
      </c>
      <c r="H87" s="43">
        <v>0.01</v>
      </c>
      <c r="I87" s="41" t="s">
        <v>63</v>
      </c>
      <c r="J87" s="16">
        <f t="shared" si="2"/>
        <v>12.276</v>
      </c>
      <c r="K87" s="16">
        <f>IF(Q87="",0,IF(SUMPRODUCT(('Returns &amp; Refunds'!$A$6:$A$11=C87)*('Returns &amp; Refunds'!$H$6:$H$11="Confirmed Good — Remove Charge"))&gt;0,0,Q87))</f>
        <v>12.276</v>
      </c>
      <c r="L87" s="16">
        <v>17.899999999999999</v>
      </c>
      <c r="M87" s="28">
        <v>17.7</v>
      </c>
      <c r="N87" s="29">
        <v>1.12E-2</v>
      </c>
      <c r="O87" s="44" t="s">
        <v>62</v>
      </c>
      <c r="P87" s="15"/>
      <c r="Q87" s="16">
        <f t="shared" si="3"/>
        <v>12.276</v>
      </c>
    </row>
    <row r="88" spans="1:17" ht="15" customHeight="1" x14ac:dyDescent="0.25">
      <c r="A88" s="15">
        <v>87</v>
      </c>
      <c r="B88" s="15" t="s">
        <v>541</v>
      </c>
      <c r="C88" s="15" t="s">
        <v>542</v>
      </c>
      <c r="D88" s="15" t="s">
        <v>543</v>
      </c>
      <c r="E88" s="15" t="s">
        <v>357</v>
      </c>
      <c r="F88" s="41">
        <v>1</v>
      </c>
      <c r="G88" s="42">
        <v>15.8</v>
      </c>
      <c r="H88" s="43">
        <v>0.01</v>
      </c>
      <c r="I88" s="41" t="s">
        <v>63</v>
      </c>
      <c r="J88" s="16">
        <f t="shared" si="2"/>
        <v>15.642000000000001</v>
      </c>
      <c r="K88" s="16">
        <f>IF(Q88="",0,IF(SUMPRODUCT(('Returns &amp; Refunds'!$A$6:$A$11=C88)*('Returns &amp; Refunds'!$H$6:$H$11="Confirmed Good — Remove Charge"))&gt;0,0,Q88))</f>
        <v>15.642000000000001</v>
      </c>
      <c r="L88" s="16">
        <v>21.9</v>
      </c>
      <c r="M88" s="28">
        <v>21.7</v>
      </c>
      <c r="N88" s="29">
        <v>9.1000000000000004E-3</v>
      </c>
      <c r="O88" s="44" t="s">
        <v>62</v>
      </c>
      <c r="P88" s="15"/>
      <c r="Q88" s="16">
        <f t="shared" si="3"/>
        <v>15.642000000000001</v>
      </c>
    </row>
    <row r="89" spans="1:17" ht="15" customHeight="1" x14ac:dyDescent="0.25">
      <c r="A89" s="15">
        <v>88</v>
      </c>
      <c r="B89" s="15" t="s">
        <v>544</v>
      </c>
      <c r="C89" s="15" t="s">
        <v>545</v>
      </c>
      <c r="D89" s="15" t="s">
        <v>546</v>
      </c>
      <c r="E89" s="15" t="s">
        <v>547</v>
      </c>
      <c r="F89" s="41">
        <v>1</v>
      </c>
      <c r="G89" s="42">
        <v>13.2</v>
      </c>
      <c r="H89" s="43">
        <v>0.01</v>
      </c>
      <c r="I89" s="41" t="s">
        <v>63</v>
      </c>
      <c r="J89" s="16">
        <f t="shared" si="2"/>
        <v>13.068</v>
      </c>
      <c r="K89" s="16">
        <f>IF(Q89="",0,IF(SUMPRODUCT(('Returns &amp; Refunds'!$A$6:$A$11=C89)*('Returns &amp; Refunds'!$H$6:$H$11="Confirmed Good — Remove Charge"))&gt;0,0,Q89))</f>
        <v>13.068</v>
      </c>
      <c r="L89" s="16">
        <v>17.899999999999999</v>
      </c>
      <c r="M89" s="28">
        <v>17.7</v>
      </c>
      <c r="N89" s="29">
        <v>1.12E-2</v>
      </c>
      <c r="O89" s="44" t="s">
        <v>62</v>
      </c>
      <c r="P89" s="15"/>
      <c r="Q89" s="16">
        <f t="shared" si="3"/>
        <v>13.068</v>
      </c>
    </row>
    <row r="90" spans="1:17" ht="15" customHeight="1" x14ac:dyDescent="0.25">
      <c r="A90" s="15">
        <v>89</v>
      </c>
      <c r="B90" s="15" t="s">
        <v>548</v>
      </c>
      <c r="C90" s="15" t="s">
        <v>549</v>
      </c>
      <c r="D90" s="15" t="s">
        <v>550</v>
      </c>
      <c r="E90" s="15" t="s">
        <v>236</v>
      </c>
      <c r="F90" s="41">
        <v>1</v>
      </c>
      <c r="G90" s="42">
        <v>10.7</v>
      </c>
      <c r="H90" s="43">
        <v>0.01</v>
      </c>
      <c r="I90" s="41" t="s">
        <v>63</v>
      </c>
      <c r="J90" s="16">
        <f t="shared" si="2"/>
        <v>10.593</v>
      </c>
      <c r="K90" s="16">
        <f>IF(Q90="",0,IF(SUMPRODUCT(('Returns &amp; Refunds'!$A$6:$A$11=C90)*('Returns &amp; Refunds'!$H$6:$H$11="Confirmed Good — Remove Charge"))&gt;0,0,Q90))</f>
        <v>10.593</v>
      </c>
      <c r="L90" s="16">
        <v>15</v>
      </c>
      <c r="M90" s="28">
        <v>14.9</v>
      </c>
      <c r="N90" s="29">
        <v>6.7000000000000002E-3</v>
      </c>
      <c r="O90" s="44" t="s">
        <v>62</v>
      </c>
      <c r="P90" s="15"/>
      <c r="Q90" s="16">
        <f t="shared" si="3"/>
        <v>10.593</v>
      </c>
    </row>
    <row r="91" spans="1:17" ht="15" customHeight="1" x14ac:dyDescent="0.25">
      <c r="A91" s="15">
        <v>90</v>
      </c>
      <c r="B91" s="15" t="s">
        <v>551</v>
      </c>
      <c r="C91" s="15" t="s">
        <v>552</v>
      </c>
      <c r="D91" s="15" t="s">
        <v>553</v>
      </c>
      <c r="E91" s="15" t="s">
        <v>554</v>
      </c>
      <c r="F91" s="41">
        <v>1</v>
      </c>
      <c r="G91" s="42">
        <v>13.1</v>
      </c>
      <c r="H91" s="43">
        <v>0.01</v>
      </c>
      <c r="I91" s="41" t="s">
        <v>63</v>
      </c>
      <c r="J91" s="16">
        <f t="shared" si="2"/>
        <v>12.968999999999999</v>
      </c>
      <c r="K91" s="16">
        <f>IF(Q91="",0,IF(SUMPRODUCT(('Returns &amp; Refunds'!$A$6:$A$11=C91)*('Returns &amp; Refunds'!$H$6:$H$11="Confirmed Good — Remove Charge"))&gt;0,0,Q91))</f>
        <v>12.968999999999999</v>
      </c>
      <c r="L91" s="16">
        <v>17.899999999999999</v>
      </c>
      <c r="M91" s="28">
        <v>17.7</v>
      </c>
      <c r="N91" s="29">
        <v>1.12E-2</v>
      </c>
      <c r="O91" s="44" t="s">
        <v>62</v>
      </c>
      <c r="P91" s="15"/>
      <c r="Q91" s="16">
        <f t="shared" si="3"/>
        <v>12.968999999999999</v>
      </c>
    </row>
    <row r="92" spans="1:17" ht="15" customHeight="1" x14ac:dyDescent="0.25">
      <c r="A92" s="15">
        <v>91</v>
      </c>
      <c r="B92" s="15" t="s">
        <v>555</v>
      </c>
      <c r="C92" s="15" t="s">
        <v>556</v>
      </c>
      <c r="D92" s="15" t="s">
        <v>557</v>
      </c>
      <c r="E92" s="15" t="s">
        <v>554</v>
      </c>
      <c r="F92" s="41">
        <v>1</v>
      </c>
      <c r="G92" s="42">
        <v>13.1</v>
      </c>
      <c r="H92" s="43">
        <v>0.01</v>
      </c>
      <c r="I92" s="41" t="s">
        <v>63</v>
      </c>
      <c r="J92" s="16">
        <f t="shared" si="2"/>
        <v>12.968999999999999</v>
      </c>
      <c r="K92" s="16">
        <f>IF(Q92="",0,IF(SUMPRODUCT(('Returns &amp; Refunds'!$A$6:$A$11=C92)*('Returns &amp; Refunds'!$H$6:$H$11="Confirmed Good — Remove Charge"))&gt;0,0,Q92))</f>
        <v>12.968999999999999</v>
      </c>
      <c r="L92" s="16">
        <v>17.899999999999999</v>
      </c>
      <c r="M92" s="28">
        <v>17.7</v>
      </c>
      <c r="N92" s="29">
        <v>1.12E-2</v>
      </c>
      <c r="O92" s="44" t="s">
        <v>62</v>
      </c>
      <c r="P92" s="15"/>
      <c r="Q92" s="16">
        <f t="shared" si="3"/>
        <v>12.968999999999999</v>
      </c>
    </row>
    <row r="93" spans="1:17" ht="15" customHeight="1" x14ac:dyDescent="0.25">
      <c r="A93" s="15">
        <v>92</v>
      </c>
      <c r="B93" s="15" t="s">
        <v>558</v>
      </c>
      <c r="C93" s="15" t="s">
        <v>559</v>
      </c>
      <c r="D93" s="15" t="s">
        <v>560</v>
      </c>
      <c r="E93" s="15" t="s">
        <v>561</v>
      </c>
      <c r="F93" s="41">
        <v>1</v>
      </c>
      <c r="G93" s="42">
        <v>20.3</v>
      </c>
      <c r="H93" s="43">
        <v>0.02</v>
      </c>
      <c r="I93" s="41" t="s">
        <v>63</v>
      </c>
      <c r="J93" s="16">
        <f t="shared" si="2"/>
        <v>19.894000000000002</v>
      </c>
      <c r="K93" s="16">
        <f>IF(Q93="",0,IF(SUMPRODUCT(('Returns &amp; Refunds'!$A$6:$A$11=C93)*('Returns &amp; Refunds'!$H$6:$H$11="Confirmed Good — Remove Charge"))&gt;0,0,Q93))</f>
        <v>19.894000000000002</v>
      </c>
      <c r="L93" s="16">
        <v>27.9</v>
      </c>
      <c r="M93" s="28">
        <v>27.3</v>
      </c>
      <c r="N93" s="29">
        <v>2.1499999999999998E-2</v>
      </c>
      <c r="O93" s="44" t="s">
        <v>62</v>
      </c>
      <c r="P93" s="15"/>
      <c r="Q93" s="16">
        <f t="shared" si="3"/>
        <v>19.894000000000002</v>
      </c>
    </row>
    <row r="94" spans="1:17" ht="15" customHeight="1" x14ac:dyDescent="0.25">
      <c r="A94" s="15">
        <v>93</v>
      </c>
      <c r="B94" s="15" t="s">
        <v>562</v>
      </c>
      <c r="C94" s="15" t="s">
        <v>563</v>
      </c>
      <c r="D94" s="15" t="s">
        <v>564</v>
      </c>
      <c r="E94" s="15" t="s">
        <v>565</v>
      </c>
      <c r="F94" s="41">
        <v>1</v>
      </c>
      <c r="G94" s="42">
        <v>10.6</v>
      </c>
      <c r="H94" s="43">
        <v>0.01</v>
      </c>
      <c r="I94" s="41" t="s">
        <v>63</v>
      </c>
      <c r="J94" s="16">
        <f t="shared" si="2"/>
        <v>10.494</v>
      </c>
      <c r="K94" s="16">
        <f>IF(Q94="",0,IF(SUMPRODUCT(('Returns &amp; Refunds'!$A$6:$A$11=C94)*('Returns &amp; Refunds'!$H$6:$H$11="Confirmed Good — Remove Charge"))&gt;0,0,Q94))</f>
        <v>10.494</v>
      </c>
      <c r="L94" s="16">
        <v>15</v>
      </c>
      <c r="M94" s="28">
        <v>14.9</v>
      </c>
      <c r="N94" s="29">
        <v>6.7000000000000002E-3</v>
      </c>
      <c r="O94" s="44" t="s">
        <v>62</v>
      </c>
      <c r="P94" s="15"/>
      <c r="Q94" s="16">
        <f t="shared" si="3"/>
        <v>10.494</v>
      </c>
    </row>
    <row r="95" spans="1:17" ht="15" customHeight="1" x14ac:dyDescent="0.25">
      <c r="A95" s="15">
        <v>94</v>
      </c>
      <c r="B95" s="15" t="s">
        <v>566</v>
      </c>
      <c r="C95" s="15" t="s">
        <v>567</v>
      </c>
      <c r="D95" s="15" t="s">
        <v>568</v>
      </c>
      <c r="E95" s="15" t="s">
        <v>569</v>
      </c>
      <c r="F95" s="41">
        <v>1</v>
      </c>
      <c r="G95" s="42">
        <v>28.2</v>
      </c>
      <c r="H95" s="43">
        <v>0.05</v>
      </c>
      <c r="I95" s="41" t="s">
        <v>63</v>
      </c>
      <c r="J95" s="16">
        <f t="shared" si="2"/>
        <v>26.79</v>
      </c>
      <c r="K95" s="16">
        <f>IF(Q95="",0,IF(SUMPRODUCT(('Returns &amp; Refunds'!$A$6:$A$11=C95)*('Returns &amp; Refunds'!$H$6:$H$11="Confirmed Good — Remove Charge"))&gt;0,0,Q95))</f>
        <v>26.79</v>
      </c>
      <c r="L95" s="16">
        <v>39.9</v>
      </c>
      <c r="M95" s="28">
        <v>37.9</v>
      </c>
      <c r="N95" s="29">
        <v>5.0099999999999999E-2</v>
      </c>
      <c r="O95" s="44" t="s">
        <v>62</v>
      </c>
      <c r="P95" s="15"/>
      <c r="Q95" s="16">
        <f t="shared" si="3"/>
        <v>26.79</v>
      </c>
    </row>
    <row r="96" spans="1:17" ht="15" customHeight="1" x14ac:dyDescent="0.25">
      <c r="A96" s="15">
        <v>95</v>
      </c>
      <c r="B96" s="15" t="s">
        <v>570</v>
      </c>
      <c r="C96" s="15" t="s">
        <v>571</v>
      </c>
      <c r="D96" s="15" t="s">
        <v>572</v>
      </c>
      <c r="E96" s="15" t="s">
        <v>554</v>
      </c>
      <c r="F96" s="41">
        <v>1</v>
      </c>
      <c r="G96" s="42">
        <v>13.1</v>
      </c>
      <c r="H96" s="43">
        <v>0.01</v>
      </c>
      <c r="I96" s="41" t="s">
        <v>63</v>
      </c>
      <c r="J96" s="16">
        <f t="shared" si="2"/>
        <v>12.968999999999999</v>
      </c>
      <c r="K96" s="16">
        <f>IF(Q96="",0,IF(SUMPRODUCT(('Returns &amp; Refunds'!$A$6:$A$11=C96)*('Returns &amp; Refunds'!$H$6:$H$11="Confirmed Good — Remove Charge"))&gt;0,0,Q96))</f>
        <v>12.968999999999999</v>
      </c>
      <c r="L96" s="16">
        <v>17.899999999999999</v>
      </c>
      <c r="M96" s="28">
        <v>17.7</v>
      </c>
      <c r="N96" s="29">
        <v>1.12E-2</v>
      </c>
      <c r="O96" s="44" t="s">
        <v>62</v>
      </c>
      <c r="P96" s="15"/>
      <c r="Q96" s="16">
        <f t="shared" si="3"/>
        <v>12.968999999999999</v>
      </c>
    </row>
    <row r="97" spans="1:17" ht="15" customHeight="1" x14ac:dyDescent="0.25">
      <c r="A97" s="15">
        <v>96</v>
      </c>
      <c r="B97" s="15" t="s">
        <v>59</v>
      </c>
      <c r="C97" s="15" t="s">
        <v>60</v>
      </c>
      <c r="D97" s="15" t="s">
        <v>573</v>
      </c>
      <c r="E97" s="15" t="s">
        <v>61</v>
      </c>
      <c r="F97" s="41">
        <v>1</v>
      </c>
      <c r="G97" s="50">
        <f>IFERROR(IF('Pending DSP Entry'!F6="","",'Pending DSP Entry'!F6),"")</f>
        <v>12.3</v>
      </c>
      <c r="H97" s="48">
        <f>'Pending DSP Entry'!J6</f>
        <v>0.3</v>
      </c>
      <c r="I97" s="46" t="str">
        <f>'Pending DSP Entry'!L6</f>
        <v>Yes</v>
      </c>
      <c r="J97" s="16">
        <f t="shared" si="2"/>
        <v>8.61</v>
      </c>
      <c r="K97" s="16">
        <f>IF(Q97="",0,IF(SUMPRODUCT(('Returns &amp; Refunds'!$A$6:$A$11=C97)*('Returns &amp; Refunds'!$H$6:$H$11="Confirmed Good — Remove Charge"))&gt;0,0,Q97))</f>
        <v>8.61</v>
      </c>
      <c r="L97" s="16">
        <v>15.9</v>
      </c>
      <c r="M97" s="28">
        <v>11.1</v>
      </c>
      <c r="N97" s="29">
        <v>0.3019</v>
      </c>
      <c r="O97" s="44" t="s">
        <v>62</v>
      </c>
      <c r="P97" s="47" t="str">
        <f>"Pending — see Pending DSP Entry section A, row 6"</f>
        <v>Pending — see Pending DSP Entry section A, row 6</v>
      </c>
      <c r="Q97" s="16">
        <f t="shared" si="3"/>
        <v>8.61</v>
      </c>
    </row>
    <row r="98" spans="1:17" ht="15" customHeight="1" x14ac:dyDescent="0.25">
      <c r="A98" s="15">
        <v>97</v>
      </c>
      <c r="B98" s="15" t="s">
        <v>574</v>
      </c>
      <c r="C98" s="15" t="s">
        <v>575</v>
      </c>
      <c r="D98" s="15" t="s">
        <v>576</v>
      </c>
      <c r="E98" s="15" t="s">
        <v>561</v>
      </c>
      <c r="F98" s="41">
        <v>1</v>
      </c>
      <c r="G98" s="42">
        <v>20.3</v>
      </c>
      <c r="H98" s="43">
        <v>0.02</v>
      </c>
      <c r="I98" s="41" t="s">
        <v>63</v>
      </c>
      <c r="J98" s="16">
        <f t="shared" si="2"/>
        <v>19.894000000000002</v>
      </c>
      <c r="K98" s="16">
        <f>IF(Q98="",0,IF(SUMPRODUCT(('Returns &amp; Refunds'!$A$6:$A$11=C98)*('Returns &amp; Refunds'!$H$6:$H$11="Confirmed Good — Remove Charge"))&gt;0,0,Q98))</f>
        <v>19.894000000000002</v>
      </c>
      <c r="L98" s="16">
        <v>27.9</v>
      </c>
      <c r="M98" s="28">
        <v>27.3</v>
      </c>
      <c r="N98" s="29">
        <v>2.1499999999999998E-2</v>
      </c>
      <c r="O98" s="44" t="s">
        <v>62</v>
      </c>
      <c r="P98" s="15"/>
      <c r="Q98" s="16">
        <f t="shared" si="3"/>
        <v>19.894000000000002</v>
      </c>
    </row>
    <row r="99" spans="1:17" ht="15" customHeight="1" x14ac:dyDescent="0.25">
      <c r="A99" s="15">
        <v>98</v>
      </c>
      <c r="B99" s="15" t="s">
        <v>147</v>
      </c>
      <c r="C99" s="15" t="s">
        <v>148</v>
      </c>
      <c r="D99" s="15" t="s">
        <v>577</v>
      </c>
      <c r="E99" s="15" t="s">
        <v>149</v>
      </c>
      <c r="F99" s="41">
        <v>1</v>
      </c>
      <c r="G99" s="42">
        <v>31.5</v>
      </c>
      <c r="H99" s="43">
        <v>0.01</v>
      </c>
      <c r="I99" s="46" t="str">
        <f>IF('Pending DSP Entry'!L42="Charge Full DSP Instead","No","Yes")</f>
        <v>Yes</v>
      </c>
      <c r="J99" s="16">
        <f t="shared" si="2"/>
        <v>31.184999999999999</v>
      </c>
      <c r="K99" s="16">
        <f>IF(Q99="",0,IF(SUMPRODUCT(('Returns &amp; Refunds'!$A$6:$A$11=C99)*('Returns &amp; Refunds'!$H$6:$H$11="Confirmed Good — Remove Charge"))&gt;0,0,Q99))</f>
        <v>31.184999999999999</v>
      </c>
      <c r="L99" s="16">
        <v>39.9</v>
      </c>
      <c r="M99" s="28">
        <v>37.89</v>
      </c>
      <c r="N99" s="29">
        <v>5.04E-2</v>
      </c>
      <c r="O99" s="38" t="s">
        <v>129</v>
      </c>
      <c r="P99" s="47" t="str">
        <f>"Wrong rate set by reseller — decision at Pending DSP Entry section D, row 42"</f>
        <v>Wrong rate set by reseller — decision at Pending DSP Entry section D, row 42</v>
      </c>
      <c r="Q99" s="16">
        <f t="shared" si="3"/>
        <v>31.184999999999999</v>
      </c>
    </row>
    <row r="100" spans="1:17" ht="15" customHeight="1" x14ac:dyDescent="0.25">
      <c r="A100" s="15">
        <v>99</v>
      </c>
      <c r="B100" s="15" t="s">
        <v>578</v>
      </c>
      <c r="C100" s="15" t="s">
        <v>579</v>
      </c>
      <c r="D100" s="15" t="s">
        <v>580</v>
      </c>
      <c r="E100" s="15" t="s">
        <v>469</v>
      </c>
      <c r="F100" s="41">
        <v>1</v>
      </c>
      <c r="G100" s="42">
        <v>13.5</v>
      </c>
      <c r="H100" s="43">
        <v>0.01</v>
      </c>
      <c r="I100" s="41" t="s">
        <v>63</v>
      </c>
      <c r="J100" s="16">
        <f t="shared" si="2"/>
        <v>13.365</v>
      </c>
      <c r="K100" s="16">
        <f>IF(Q100="",0,IF(SUMPRODUCT(('Returns &amp; Refunds'!$A$6:$A$11=C100)*('Returns &amp; Refunds'!$H$6:$H$11="Confirmed Good — Remove Charge"))&gt;0,0,Q100))</f>
        <v>13.365</v>
      </c>
      <c r="L100" s="16">
        <v>17.899999999999999</v>
      </c>
      <c r="M100" s="28">
        <v>17.7</v>
      </c>
      <c r="N100" s="29">
        <v>1.12E-2</v>
      </c>
      <c r="O100" s="44" t="s">
        <v>62</v>
      </c>
      <c r="P100" s="15"/>
      <c r="Q100" s="16">
        <f t="shared" si="3"/>
        <v>13.365</v>
      </c>
    </row>
    <row r="101" spans="1:17" ht="15" customHeight="1" x14ac:dyDescent="0.25">
      <c r="A101" s="15">
        <v>100</v>
      </c>
      <c r="B101" s="15" t="s">
        <v>164</v>
      </c>
      <c r="C101" s="15" t="s">
        <v>165</v>
      </c>
      <c r="D101" s="15" t="s">
        <v>581</v>
      </c>
      <c r="E101" s="15" t="s">
        <v>166</v>
      </c>
      <c r="F101" s="41">
        <v>1</v>
      </c>
      <c r="G101" s="42">
        <v>18.3</v>
      </c>
      <c r="H101" s="43">
        <v>0.05</v>
      </c>
      <c r="I101" s="46" t="str">
        <f>IF('Pending DSP Entry'!L49="Charge Full DSP Instead","No","Yes")</f>
        <v>Yes</v>
      </c>
      <c r="J101" s="16">
        <f t="shared" si="2"/>
        <v>17.385000000000002</v>
      </c>
      <c r="K101" s="16">
        <f>IF(Q101="",0,IF(SUMPRODUCT(('Returns &amp; Refunds'!$A$6:$A$11=C101)*('Returns &amp; Refunds'!$H$6:$H$11="Confirmed Good — Remove Charge"))&gt;0,0,Q101))</f>
        <v>17.385000000000002</v>
      </c>
      <c r="L101" s="16">
        <v>24.9</v>
      </c>
      <c r="M101" s="28">
        <v>22.89</v>
      </c>
      <c r="N101" s="29">
        <v>8.0699999999999994E-2</v>
      </c>
      <c r="O101" s="38" t="s">
        <v>129</v>
      </c>
      <c r="P101" s="47" t="str">
        <f>"Wrong rate set by reseller — decision at Pending DSP Entry section D, row 49"</f>
        <v>Wrong rate set by reseller — decision at Pending DSP Entry section D, row 49</v>
      </c>
      <c r="Q101" s="16">
        <f t="shared" si="3"/>
        <v>17.385000000000002</v>
      </c>
    </row>
    <row r="102" spans="1:17" ht="15" customHeight="1" x14ac:dyDescent="0.25">
      <c r="A102" s="15">
        <v>101</v>
      </c>
      <c r="B102" s="15" t="s">
        <v>582</v>
      </c>
      <c r="C102" s="15" t="s">
        <v>583</v>
      </c>
      <c r="D102" s="15" t="s">
        <v>584</v>
      </c>
      <c r="E102" s="15" t="s">
        <v>585</v>
      </c>
      <c r="F102" s="41">
        <v>1</v>
      </c>
      <c r="G102" s="42">
        <v>9.6</v>
      </c>
      <c r="H102" s="43">
        <v>0.01</v>
      </c>
      <c r="I102" s="41" t="s">
        <v>63</v>
      </c>
      <c r="J102" s="16">
        <f t="shared" si="2"/>
        <v>9.5039999999999996</v>
      </c>
      <c r="K102" s="16">
        <f>IF(Q102="",0,IF(SUMPRODUCT(('Returns &amp; Refunds'!$A$6:$A$11=C102)*('Returns &amp; Refunds'!$H$6:$H$11="Confirmed Good — Remove Charge"))&gt;0,0,Q102))</f>
        <v>9.5039999999999996</v>
      </c>
      <c r="L102" s="16">
        <v>14.9</v>
      </c>
      <c r="M102" s="28">
        <v>14.8</v>
      </c>
      <c r="N102" s="29">
        <v>6.7000000000000002E-3</v>
      </c>
      <c r="O102" s="44" t="s">
        <v>62</v>
      </c>
      <c r="P102" s="15"/>
      <c r="Q102" s="16">
        <f t="shared" si="3"/>
        <v>9.5039999999999996</v>
      </c>
    </row>
    <row r="103" spans="1:17" ht="15" customHeight="1" x14ac:dyDescent="0.25">
      <c r="A103" s="15">
        <v>102</v>
      </c>
      <c r="B103" s="15" t="s">
        <v>586</v>
      </c>
      <c r="C103" s="15" t="s">
        <v>587</v>
      </c>
      <c r="D103" s="15" t="s">
        <v>588</v>
      </c>
      <c r="E103" s="15" t="s">
        <v>448</v>
      </c>
      <c r="F103" s="41">
        <v>1</v>
      </c>
      <c r="G103" s="42">
        <v>16.3</v>
      </c>
      <c r="H103" s="43">
        <v>0.01</v>
      </c>
      <c r="I103" s="41" t="s">
        <v>63</v>
      </c>
      <c r="J103" s="16">
        <f t="shared" si="2"/>
        <v>16.137</v>
      </c>
      <c r="K103" s="16">
        <f>IF(Q103="",0,IF(SUMPRODUCT(('Returns &amp; Refunds'!$A$6:$A$11=C103)*('Returns &amp; Refunds'!$H$6:$H$11="Confirmed Good — Remove Charge"))&gt;0,0,Q103))</f>
        <v>16.137</v>
      </c>
      <c r="L103" s="16">
        <v>21.9</v>
      </c>
      <c r="M103" s="28">
        <v>21.7</v>
      </c>
      <c r="N103" s="29">
        <v>9.1000000000000004E-3</v>
      </c>
      <c r="O103" s="44" t="s">
        <v>62</v>
      </c>
      <c r="P103" s="15"/>
      <c r="Q103" s="16">
        <f t="shared" si="3"/>
        <v>16.137</v>
      </c>
    </row>
    <row r="104" spans="1:17" ht="15" customHeight="1" x14ac:dyDescent="0.25">
      <c r="A104" s="15">
        <v>103</v>
      </c>
      <c r="B104" s="15" t="s">
        <v>589</v>
      </c>
      <c r="C104" s="15" t="s">
        <v>590</v>
      </c>
      <c r="D104" s="15" t="s">
        <v>591</v>
      </c>
      <c r="E104" s="15" t="s">
        <v>592</v>
      </c>
      <c r="F104" s="41">
        <v>1</v>
      </c>
      <c r="G104" s="42">
        <v>20.6</v>
      </c>
      <c r="H104" s="43">
        <v>0.06</v>
      </c>
      <c r="I104" s="41" t="s">
        <v>69</v>
      </c>
      <c r="J104" s="16">
        <f t="shared" si="2"/>
        <v>20.6</v>
      </c>
      <c r="K104" s="16">
        <f>IF(Q104="",0,IF(SUMPRODUCT(('Returns &amp; Refunds'!$A$6:$A$11=C104)*('Returns &amp; Refunds'!$H$6:$H$11="Confirmed Good — Remove Charge"))&gt;0,0,Q104))</f>
        <v>20.6</v>
      </c>
      <c r="L104" s="16">
        <v>29.9</v>
      </c>
      <c r="M104" s="28">
        <v>29.9</v>
      </c>
      <c r="N104" s="29">
        <v>0</v>
      </c>
      <c r="O104" s="45" t="s">
        <v>68</v>
      </c>
      <c r="P104" s="15"/>
      <c r="Q104" s="16">
        <f t="shared" si="3"/>
        <v>20.6</v>
      </c>
    </row>
    <row r="105" spans="1:17" ht="15" customHeight="1" x14ac:dyDescent="0.25">
      <c r="A105" s="15">
        <v>104</v>
      </c>
      <c r="B105" s="15" t="s">
        <v>157</v>
      </c>
      <c r="C105" s="15" t="s">
        <v>158</v>
      </c>
      <c r="D105" s="15" t="s">
        <v>593</v>
      </c>
      <c r="E105" s="15" t="s">
        <v>159</v>
      </c>
      <c r="F105" s="41">
        <v>1</v>
      </c>
      <c r="G105" s="42">
        <v>15</v>
      </c>
      <c r="H105" s="43">
        <v>0.01</v>
      </c>
      <c r="I105" s="46" t="str">
        <f>IF('Pending DSP Entry'!L46="Charge Full DSP Instead","No","Yes")</f>
        <v>Yes</v>
      </c>
      <c r="J105" s="16">
        <f t="shared" si="2"/>
        <v>14.85</v>
      </c>
      <c r="K105" s="16">
        <f>IF(Q105="",0,IF(SUMPRODUCT(('Returns &amp; Refunds'!$A$6:$A$11=C105)*('Returns &amp; Refunds'!$H$6:$H$11="Confirmed Good — Remove Charge"))&gt;0,0,Q105))</f>
        <v>14.85</v>
      </c>
      <c r="L105" s="16">
        <v>20.9</v>
      </c>
      <c r="M105" s="28">
        <v>19.89</v>
      </c>
      <c r="N105" s="29">
        <v>4.8300000000000003E-2</v>
      </c>
      <c r="O105" s="38" t="s">
        <v>129</v>
      </c>
      <c r="P105" s="47" t="str">
        <f>"Wrong rate set by reseller — decision at Pending DSP Entry section D, row 46"</f>
        <v>Wrong rate set by reseller — decision at Pending DSP Entry section D, row 46</v>
      </c>
      <c r="Q105" s="16">
        <f t="shared" si="3"/>
        <v>14.85</v>
      </c>
    </row>
    <row r="106" spans="1:17" ht="15" customHeight="1" x14ac:dyDescent="0.25">
      <c r="A106" s="15">
        <v>105</v>
      </c>
      <c r="B106" s="15" t="s">
        <v>157</v>
      </c>
      <c r="C106" s="15" t="s">
        <v>158</v>
      </c>
      <c r="D106" s="15" t="s">
        <v>593</v>
      </c>
      <c r="E106" s="15" t="s">
        <v>594</v>
      </c>
      <c r="F106" s="41">
        <v>1</v>
      </c>
      <c r="G106" s="42">
        <v>14.9</v>
      </c>
      <c r="H106" s="43">
        <v>0.01</v>
      </c>
      <c r="I106" s="41" t="s">
        <v>63</v>
      </c>
      <c r="J106" s="16">
        <f t="shared" si="2"/>
        <v>14.750999999999999</v>
      </c>
      <c r="K106" s="16">
        <f>IF(Q106="",0,IF(SUMPRODUCT(('Returns &amp; Refunds'!$A$6:$A$11=C106)*('Returns &amp; Refunds'!$H$6:$H$11="Confirmed Good — Remove Charge"))&gt;0,0,Q106))</f>
        <v>14.750999999999999</v>
      </c>
      <c r="L106" s="16">
        <v>20.9</v>
      </c>
      <c r="M106" s="28">
        <v>20.7</v>
      </c>
      <c r="N106" s="29">
        <v>9.5999999999999992E-3</v>
      </c>
      <c r="O106" s="44" t="s">
        <v>62</v>
      </c>
      <c r="P106" s="15"/>
      <c r="Q106" s="16">
        <f t="shared" si="3"/>
        <v>14.750999999999999</v>
      </c>
    </row>
    <row r="107" spans="1:17" ht="15" customHeight="1" x14ac:dyDescent="0.25">
      <c r="A107" s="15">
        <v>106</v>
      </c>
      <c r="B107" s="15" t="s">
        <v>595</v>
      </c>
      <c r="C107" s="15" t="s">
        <v>596</v>
      </c>
      <c r="D107" s="15" t="s">
        <v>597</v>
      </c>
      <c r="E107" s="15" t="s">
        <v>598</v>
      </c>
      <c r="F107" s="41">
        <v>1</v>
      </c>
      <c r="G107" s="42">
        <v>16.3</v>
      </c>
      <c r="H107" s="43">
        <v>0.05</v>
      </c>
      <c r="I107" s="41" t="s">
        <v>63</v>
      </c>
      <c r="J107" s="16">
        <f t="shared" si="2"/>
        <v>15.484999999999999</v>
      </c>
      <c r="K107" s="16">
        <f>IF(Q107="",0,IF(SUMPRODUCT(('Returns &amp; Refunds'!$A$6:$A$11=C107)*('Returns &amp; Refunds'!$H$6:$H$11="Confirmed Good — Remove Charge"))&gt;0,0,Q107))</f>
        <v>15.484999999999999</v>
      </c>
      <c r="L107" s="16">
        <v>21.9</v>
      </c>
      <c r="M107" s="28">
        <v>20.8</v>
      </c>
      <c r="N107" s="29">
        <v>5.0200000000000002E-2</v>
      </c>
      <c r="O107" s="44" t="s">
        <v>62</v>
      </c>
      <c r="P107" s="15"/>
      <c r="Q107" s="16">
        <f t="shared" si="3"/>
        <v>15.484999999999999</v>
      </c>
    </row>
    <row r="108" spans="1:17" ht="15" customHeight="1" x14ac:dyDescent="0.25">
      <c r="A108" s="15">
        <v>107</v>
      </c>
      <c r="B108" s="15" t="s">
        <v>599</v>
      </c>
      <c r="C108" s="15" t="s">
        <v>600</v>
      </c>
      <c r="D108" s="15" t="s">
        <v>601</v>
      </c>
      <c r="E108" s="15" t="s">
        <v>602</v>
      </c>
      <c r="F108" s="41">
        <v>1</v>
      </c>
      <c r="G108" s="42">
        <v>39.5</v>
      </c>
      <c r="H108" s="43">
        <v>0.03</v>
      </c>
      <c r="I108" s="41" t="s">
        <v>69</v>
      </c>
      <c r="J108" s="16">
        <f t="shared" si="2"/>
        <v>39.5</v>
      </c>
      <c r="K108" s="16">
        <f>IF(Q108="",0,IF(SUMPRODUCT(('Returns &amp; Refunds'!$A$6:$A$11=C108)*('Returns &amp; Refunds'!$H$6:$H$11="Confirmed Good — Remove Charge"))&gt;0,0,Q108))</f>
        <v>39.5</v>
      </c>
      <c r="L108" s="16">
        <v>59.9</v>
      </c>
      <c r="M108" s="28">
        <v>59.9</v>
      </c>
      <c r="N108" s="29">
        <v>0</v>
      </c>
      <c r="O108" s="45" t="s">
        <v>68</v>
      </c>
      <c r="P108" s="15"/>
      <c r="Q108" s="16">
        <f t="shared" si="3"/>
        <v>39.5</v>
      </c>
    </row>
    <row r="109" spans="1:17" ht="15" customHeight="1" x14ac:dyDescent="0.25">
      <c r="A109" s="15">
        <v>108</v>
      </c>
      <c r="B109" s="15" t="s">
        <v>603</v>
      </c>
      <c r="C109" s="15" t="s">
        <v>604</v>
      </c>
      <c r="D109" s="15" t="s">
        <v>605</v>
      </c>
      <c r="E109" s="15" t="s">
        <v>606</v>
      </c>
      <c r="F109" s="41">
        <v>1</v>
      </c>
      <c r="G109" s="42">
        <v>18.600000000000001</v>
      </c>
      <c r="H109" s="43">
        <v>0.25</v>
      </c>
      <c r="I109" s="41" t="s">
        <v>63</v>
      </c>
      <c r="J109" s="16">
        <f t="shared" si="2"/>
        <v>13.950000000000001</v>
      </c>
      <c r="K109" s="16">
        <f>IF(Q109="",0,IF(SUMPRODUCT(('Returns &amp; Refunds'!$A$6:$A$11=C109)*('Returns &amp; Refunds'!$H$6:$H$11="Confirmed Good — Remove Charge"))&gt;0,0,Q109))</f>
        <v>13.950000000000001</v>
      </c>
      <c r="L109" s="16">
        <v>27.9</v>
      </c>
      <c r="M109" s="28">
        <v>20.9</v>
      </c>
      <c r="N109" s="29">
        <v>0.25090000000000001</v>
      </c>
      <c r="O109" s="44" t="s">
        <v>62</v>
      </c>
      <c r="P109" s="15"/>
      <c r="Q109" s="16">
        <f t="shared" si="3"/>
        <v>13.950000000000001</v>
      </c>
    </row>
    <row r="110" spans="1:17" ht="15" customHeight="1" x14ac:dyDescent="0.25">
      <c r="A110" s="15">
        <v>109</v>
      </c>
      <c r="B110" s="15" t="s">
        <v>607</v>
      </c>
      <c r="C110" s="15" t="s">
        <v>608</v>
      </c>
      <c r="D110" s="15" t="s">
        <v>609</v>
      </c>
      <c r="E110" s="15" t="s">
        <v>383</v>
      </c>
      <c r="F110" s="41">
        <v>1</v>
      </c>
      <c r="G110" s="42">
        <v>14.8</v>
      </c>
      <c r="H110" s="43">
        <v>0.01</v>
      </c>
      <c r="I110" s="41" t="s">
        <v>63</v>
      </c>
      <c r="J110" s="16">
        <f t="shared" si="2"/>
        <v>14.652000000000001</v>
      </c>
      <c r="K110" s="16">
        <f>IF(Q110="",0,IF(SUMPRODUCT(('Returns &amp; Refunds'!$A$6:$A$11=C110)*('Returns &amp; Refunds'!$H$6:$H$11="Confirmed Good — Remove Charge"))&gt;0,0,Q110))</f>
        <v>14.652000000000001</v>
      </c>
      <c r="L110" s="16">
        <v>20.9</v>
      </c>
      <c r="M110" s="28">
        <v>20.7</v>
      </c>
      <c r="N110" s="29">
        <v>9.5999999999999992E-3</v>
      </c>
      <c r="O110" s="44" t="s">
        <v>62</v>
      </c>
      <c r="P110" s="15"/>
      <c r="Q110" s="16">
        <f t="shared" si="3"/>
        <v>14.652000000000001</v>
      </c>
    </row>
    <row r="111" spans="1:17" ht="15" customHeight="1" x14ac:dyDescent="0.25">
      <c r="A111" s="15">
        <v>110</v>
      </c>
      <c r="B111" s="15" t="s">
        <v>85</v>
      </c>
      <c r="C111" s="15" t="s">
        <v>86</v>
      </c>
      <c r="D111" s="15" t="s">
        <v>610</v>
      </c>
      <c r="E111" s="15" t="s">
        <v>87</v>
      </c>
      <c r="F111" s="41">
        <v>1</v>
      </c>
      <c r="G111" s="42">
        <v>15.7</v>
      </c>
      <c r="H111" s="43">
        <v>0.05</v>
      </c>
      <c r="I111" s="41" t="s">
        <v>63</v>
      </c>
      <c r="J111" s="16">
        <f t="shared" si="2"/>
        <v>14.914999999999999</v>
      </c>
      <c r="K111" s="16">
        <f>IF(Q111="",0,IF(SUMPRODUCT(('Returns &amp; Refunds'!$A$6:$A$11=C111)*('Returns &amp; Refunds'!$H$6:$H$11="Confirmed Good — Remove Charge"))&gt;0,0,Q111))</f>
        <v>14.914999999999999</v>
      </c>
      <c r="L111" s="16">
        <v>19.899999999999999</v>
      </c>
      <c r="M111" s="28">
        <v>18.899999999999999</v>
      </c>
      <c r="N111" s="29">
        <v>5.0299999999999997E-2</v>
      </c>
      <c r="O111" s="44" t="s">
        <v>62</v>
      </c>
      <c r="P111" s="15"/>
      <c r="Q111" s="16">
        <f t="shared" si="3"/>
        <v>14.914999999999999</v>
      </c>
    </row>
    <row r="112" spans="1:17" ht="15" customHeight="1" x14ac:dyDescent="0.25">
      <c r="A112" s="15">
        <v>111</v>
      </c>
      <c r="B112" s="15" t="s">
        <v>611</v>
      </c>
      <c r="C112" s="15" t="s">
        <v>612</v>
      </c>
      <c r="D112" s="15" t="s">
        <v>613</v>
      </c>
      <c r="E112" s="15" t="s">
        <v>444</v>
      </c>
      <c r="F112" s="41">
        <v>1</v>
      </c>
      <c r="G112" s="42">
        <v>19</v>
      </c>
      <c r="H112" s="43">
        <v>0.05</v>
      </c>
      <c r="I112" s="41" t="s">
        <v>69</v>
      </c>
      <c r="J112" s="16">
        <f t="shared" si="2"/>
        <v>19</v>
      </c>
      <c r="K112" s="16">
        <f>IF(Q112="",0,IF(SUMPRODUCT(('Returns &amp; Refunds'!$A$6:$A$11=C112)*('Returns &amp; Refunds'!$H$6:$H$11="Confirmed Good — Remove Charge"))&gt;0,0,Q112))</f>
        <v>19</v>
      </c>
      <c r="L112" s="16">
        <v>26.9</v>
      </c>
      <c r="M112" s="28">
        <v>26.9</v>
      </c>
      <c r="N112" s="29">
        <v>0</v>
      </c>
      <c r="O112" s="45" t="s">
        <v>68</v>
      </c>
      <c r="P112" s="15"/>
      <c r="Q112" s="16">
        <f t="shared" si="3"/>
        <v>19</v>
      </c>
    </row>
    <row r="113" spans="1:17" ht="15" customHeight="1" x14ac:dyDescent="0.25">
      <c r="A113" s="15">
        <v>112</v>
      </c>
      <c r="B113" s="15" t="s">
        <v>614</v>
      </c>
      <c r="C113" s="15" t="s">
        <v>615</v>
      </c>
      <c r="D113" s="15" t="s">
        <v>616</v>
      </c>
      <c r="E113" s="15" t="s">
        <v>617</v>
      </c>
      <c r="F113" s="41">
        <v>1</v>
      </c>
      <c r="G113" s="42">
        <v>17.5</v>
      </c>
      <c r="H113" s="43">
        <v>0.05</v>
      </c>
      <c r="I113" s="41" t="s">
        <v>63</v>
      </c>
      <c r="J113" s="16">
        <f t="shared" si="2"/>
        <v>16.625</v>
      </c>
      <c r="K113" s="16">
        <f>IF(Q113="",0,IF(SUMPRODUCT(('Returns &amp; Refunds'!$A$6:$A$11=C113)*('Returns &amp; Refunds'!$H$6:$H$11="Confirmed Good — Remove Charge"))&gt;0,0,Q113))</f>
        <v>16.625</v>
      </c>
      <c r="L113" s="16">
        <v>24.9</v>
      </c>
      <c r="M113" s="28">
        <v>23.7</v>
      </c>
      <c r="N113" s="29">
        <v>4.82E-2</v>
      </c>
      <c r="O113" s="44" t="s">
        <v>62</v>
      </c>
      <c r="P113" s="15"/>
      <c r="Q113" s="16">
        <f t="shared" si="3"/>
        <v>16.625</v>
      </c>
    </row>
    <row r="114" spans="1:17" ht="15" customHeight="1" x14ac:dyDescent="0.25">
      <c r="A114" s="15">
        <v>113</v>
      </c>
      <c r="B114" s="15" t="s">
        <v>614</v>
      </c>
      <c r="C114" s="15" t="s">
        <v>615</v>
      </c>
      <c r="D114" s="15" t="s">
        <v>616</v>
      </c>
      <c r="E114" s="15" t="s">
        <v>236</v>
      </c>
      <c r="F114" s="41">
        <v>1</v>
      </c>
      <c r="G114" s="42">
        <v>10.7</v>
      </c>
      <c r="H114" s="43">
        <v>0.01</v>
      </c>
      <c r="I114" s="41" t="s">
        <v>63</v>
      </c>
      <c r="J114" s="16">
        <f t="shared" si="2"/>
        <v>10.593</v>
      </c>
      <c r="K114" s="16">
        <f>IF(Q114="",0,IF(SUMPRODUCT(('Returns &amp; Refunds'!$A$6:$A$11=C114)*('Returns &amp; Refunds'!$H$6:$H$11="Confirmed Good — Remove Charge"))&gt;0,0,Q114))</f>
        <v>10.593</v>
      </c>
      <c r="L114" s="16">
        <v>15.9</v>
      </c>
      <c r="M114" s="28">
        <v>15.7</v>
      </c>
      <c r="N114" s="29">
        <v>1.26E-2</v>
      </c>
      <c r="O114" s="44" t="s">
        <v>62</v>
      </c>
      <c r="P114" s="15"/>
      <c r="Q114" s="16">
        <f t="shared" si="3"/>
        <v>10.593</v>
      </c>
    </row>
    <row r="115" spans="1:17" ht="15" customHeight="1" x14ac:dyDescent="0.25">
      <c r="A115" s="15">
        <v>114</v>
      </c>
      <c r="B115" s="15" t="s">
        <v>618</v>
      </c>
      <c r="C115" s="15" t="s">
        <v>619</v>
      </c>
      <c r="D115" s="15" t="s">
        <v>620</v>
      </c>
      <c r="E115" s="15" t="s">
        <v>621</v>
      </c>
      <c r="F115" s="41">
        <v>1</v>
      </c>
      <c r="G115" s="42">
        <v>8.8000000000000007</v>
      </c>
      <c r="H115" s="43">
        <v>0.25</v>
      </c>
      <c r="I115" s="41" t="s">
        <v>63</v>
      </c>
      <c r="J115" s="16">
        <f t="shared" si="2"/>
        <v>6.6000000000000005</v>
      </c>
      <c r="K115" s="16">
        <f>IF(Q115="",0,IF(SUMPRODUCT(('Returns &amp; Refunds'!$A$6:$A$11=C115)*('Returns &amp; Refunds'!$H$6:$H$11="Confirmed Good — Remove Charge"))&gt;0,0,Q115))</f>
        <v>6.6000000000000005</v>
      </c>
      <c r="L115" s="16">
        <v>12.9</v>
      </c>
      <c r="M115" s="28">
        <v>9.6999999999999993</v>
      </c>
      <c r="N115" s="29">
        <v>0.24809999999999999</v>
      </c>
      <c r="O115" s="44" t="s">
        <v>62</v>
      </c>
      <c r="P115" s="15"/>
      <c r="Q115" s="16">
        <f t="shared" si="3"/>
        <v>6.6000000000000005</v>
      </c>
    </row>
    <row r="116" spans="1:17" ht="15" customHeight="1" x14ac:dyDescent="0.25">
      <c r="A116" s="15">
        <v>115</v>
      </c>
      <c r="B116" s="15" t="s">
        <v>622</v>
      </c>
      <c r="C116" s="15" t="s">
        <v>623</v>
      </c>
      <c r="D116" s="15" t="s">
        <v>624</v>
      </c>
      <c r="E116" s="15" t="s">
        <v>625</v>
      </c>
      <c r="F116" s="41">
        <v>1</v>
      </c>
      <c r="G116" s="42">
        <v>14.4</v>
      </c>
      <c r="H116" s="43">
        <v>0.01</v>
      </c>
      <c r="I116" s="41" t="s">
        <v>63</v>
      </c>
      <c r="J116" s="16">
        <f t="shared" si="2"/>
        <v>14.256</v>
      </c>
      <c r="K116" s="16">
        <f>IF(Q116="",0,IF(SUMPRODUCT(('Returns &amp; Refunds'!$A$6:$A$11=C116)*('Returns &amp; Refunds'!$H$6:$H$11="Confirmed Good — Remove Charge"))&gt;0,0,Q116))</f>
        <v>14.256</v>
      </c>
      <c r="L116" s="16">
        <v>19.899999999999999</v>
      </c>
      <c r="M116" s="28">
        <v>19.7</v>
      </c>
      <c r="N116" s="29">
        <v>1.01E-2</v>
      </c>
      <c r="O116" s="44" t="s">
        <v>62</v>
      </c>
      <c r="P116" s="15"/>
      <c r="Q116" s="16">
        <f t="shared" si="3"/>
        <v>14.256</v>
      </c>
    </row>
    <row r="117" spans="1:17" ht="15" customHeight="1" x14ac:dyDescent="0.25">
      <c r="A117" s="15">
        <v>116</v>
      </c>
      <c r="B117" s="15" t="s">
        <v>626</v>
      </c>
      <c r="C117" s="15" t="s">
        <v>627</v>
      </c>
      <c r="D117" s="15" t="s">
        <v>628</v>
      </c>
      <c r="E117" s="15" t="s">
        <v>629</v>
      </c>
      <c r="F117" s="41">
        <v>1</v>
      </c>
      <c r="G117" s="42">
        <v>6.5</v>
      </c>
      <c r="H117" s="43">
        <v>0.05</v>
      </c>
      <c r="I117" s="41" t="s">
        <v>63</v>
      </c>
      <c r="J117" s="16">
        <f t="shared" si="2"/>
        <v>6.1749999999999998</v>
      </c>
      <c r="K117" s="16">
        <f>IF(Q117="",0,IF(SUMPRODUCT(('Returns &amp; Refunds'!$A$6:$A$11=C117)*('Returns &amp; Refunds'!$H$6:$H$11="Confirmed Good — Remove Charge"))&gt;0,0,Q117))</f>
        <v>6.1749999999999998</v>
      </c>
      <c r="L117" s="16">
        <v>9.9</v>
      </c>
      <c r="M117" s="28">
        <v>9.4</v>
      </c>
      <c r="N117" s="29">
        <v>5.0500000000000003E-2</v>
      </c>
      <c r="O117" s="44" t="s">
        <v>62</v>
      </c>
      <c r="P117" s="15"/>
      <c r="Q117" s="16">
        <f t="shared" si="3"/>
        <v>6.1749999999999998</v>
      </c>
    </row>
    <row r="118" spans="1:17" ht="15" customHeight="1" x14ac:dyDescent="0.25">
      <c r="A118" s="15">
        <v>117</v>
      </c>
      <c r="B118" s="15" t="s">
        <v>630</v>
      </c>
      <c r="C118" s="15" t="s">
        <v>631</v>
      </c>
      <c r="D118" s="15" t="s">
        <v>632</v>
      </c>
      <c r="E118" s="15" t="s">
        <v>633</v>
      </c>
      <c r="F118" s="41">
        <v>1</v>
      </c>
      <c r="G118" s="42">
        <v>16.8</v>
      </c>
      <c r="H118" s="43">
        <v>0.03</v>
      </c>
      <c r="I118" s="41" t="s">
        <v>69</v>
      </c>
      <c r="J118" s="16">
        <f t="shared" si="2"/>
        <v>16.8</v>
      </c>
      <c r="K118" s="16">
        <f>IF(Q118="",0,IF(SUMPRODUCT(('Returns &amp; Refunds'!$A$6:$A$11=C118)*('Returns &amp; Refunds'!$H$6:$H$11="Confirmed Good — Remove Charge"))&gt;0,0,Q118))</f>
        <v>16.8</v>
      </c>
      <c r="L118" s="16">
        <v>23.9</v>
      </c>
      <c r="M118" s="28">
        <v>23.9</v>
      </c>
      <c r="N118" s="29">
        <v>0</v>
      </c>
      <c r="O118" s="45" t="s">
        <v>68</v>
      </c>
      <c r="P118" s="15"/>
      <c r="Q118" s="16">
        <f t="shared" si="3"/>
        <v>16.8</v>
      </c>
    </row>
    <row r="119" spans="1:17" ht="15" customHeight="1" x14ac:dyDescent="0.25">
      <c r="A119" s="15">
        <v>118</v>
      </c>
      <c r="B119" s="15" t="s">
        <v>634</v>
      </c>
      <c r="C119" s="15" t="s">
        <v>635</v>
      </c>
      <c r="D119" s="15" t="s">
        <v>636</v>
      </c>
      <c r="E119" s="15" t="s">
        <v>637</v>
      </c>
      <c r="F119" s="41">
        <v>1</v>
      </c>
      <c r="G119" s="42">
        <v>46.7</v>
      </c>
      <c r="H119" s="43">
        <v>0.03</v>
      </c>
      <c r="I119" s="41" t="s">
        <v>63</v>
      </c>
      <c r="J119" s="16">
        <f t="shared" si="2"/>
        <v>45.298999999999999</v>
      </c>
      <c r="K119" s="16">
        <f>IF(Q119="",0,IF(SUMPRODUCT(('Returns &amp; Refunds'!$A$6:$A$11=C119)*('Returns &amp; Refunds'!$H$6:$H$11="Confirmed Good — Remove Charge"))&gt;0,0,Q119))</f>
        <v>45.298999999999999</v>
      </c>
      <c r="L119" s="16">
        <v>64.900000000000006</v>
      </c>
      <c r="M119" s="28">
        <v>63</v>
      </c>
      <c r="N119" s="29">
        <v>2.93E-2</v>
      </c>
      <c r="O119" s="44" t="s">
        <v>62</v>
      </c>
      <c r="P119" s="15"/>
      <c r="Q119" s="16">
        <f t="shared" si="3"/>
        <v>45.298999999999999</v>
      </c>
    </row>
    <row r="120" spans="1:17" ht="15" customHeight="1" x14ac:dyDescent="0.25">
      <c r="A120" s="15">
        <v>119</v>
      </c>
      <c r="B120" s="15" t="s">
        <v>634</v>
      </c>
      <c r="C120" s="15" t="s">
        <v>635</v>
      </c>
      <c r="D120" s="15" t="s">
        <v>636</v>
      </c>
      <c r="E120" s="15" t="s">
        <v>638</v>
      </c>
      <c r="F120" s="41">
        <v>1</v>
      </c>
      <c r="G120" s="42">
        <v>46.7</v>
      </c>
      <c r="H120" s="43">
        <v>0.03</v>
      </c>
      <c r="I120" s="41" t="s">
        <v>63</v>
      </c>
      <c r="J120" s="16">
        <f t="shared" si="2"/>
        <v>45.298999999999999</v>
      </c>
      <c r="K120" s="16">
        <f>IF(Q120="",0,IF(SUMPRODUCT(('Returns &amp; Refunds'!$A$6:$A$11=C120)*('Returns &amp; Refunds'!$H$6:$H$11="Confirmed Good — Remove Charge"))&gt;0,0,Q120))</f>
        <v>45.298999999999999</v>
      </c>
      <c r="L120" s="16">
        <v>64.900000000000006</v>
      </c>
      <c r="M120" s="28">
        <v>63</v>
      </c>
      <c r="N120" s="29">
        <v>2.93E-2</v>
      </c>
      <c r="O120" s="44" t="s">
        <v>62</v>
      </c>
      <c r="P120" s="15"/>
      <c r="Q120" s="16">
        <f t="shared" si="3"/>
        <v>45.298999999999999</v>
      </c>
    </row>
    <row r="121" spans="1:17" ht="15" customHeight="1" x14ac:dyDescent="0.25">
      <c r="A121" s="15">
        <v>120</v>
      </c>
      <c r="B121" s="15" t="s">
        <v>639</v>
      </c>
      <c r="C121" s="15" t="s">
        <v>640</v>
      </c>
      <c r="D121" s="15" t="s">
        <v>641</v>
      </c>
      <c r="E121" s="15" t="s">
        <v>642</v>
      </c>
      <c r="F121" s="41">
        <v>1</v>
      </c>
      <c r="G121" s="42">
        <v>39.5</v>
      </c>
      <c r="H121" s="43">
        <v>0.03</v>
      </c>
      <c r="I121" s="41" t="s">
        <v>69</v>
      </c>
      <c r="J121" s="16">
        <f t="shared" si="2"/>
        <v>39.5</v>
      </c>
      <c r="K121" s="16">
        <f>IF(Q121="",0,IF(SUMPRODUCT(('Returns &amp; Refunds'!$A$6:$A$11=C121)*('Returns &amp; Refunds'!$H$6:$H$11="Confirmed Good — Remove Charge"))&gt;0,0,Q121))</f>
        <v>39.5</v>
      </c>
      <c r="L121" s="16">
        <v>59.9</v>
      </c>
      <c r="M121" s="28">
        <v>59.9</v>
      </c>
      <c r="N121" s="29">
        <v>0</v>
      </c>
      <c r="O121" s="45" t="s">
        <v>68</v>
      </c>
      <c r="P121" s="15"/>
      <c r="Q121" s="16">
        <f t="shared" si="3"/>
        <v>39.5</v>
      </c>
    </row>
    <row r="122" spans="1:17" ht="15" customHeight="1" x14ac:dyDescent="0.25">
      <c r="A122" s="15">
        <v>121</v>
      </c>
      <c r="B122" s="15" t="s">
        <v>88</v>
      </c>
      <c r="C122" s="15" t="s">
        <v>89</v>
      </c>
      <c r="D122" s="15" t="s">
        <v>643</v>
      </c>
      <c r="E122" s="15" t="s">
        <v>87</v>
      </c>
      <c r="F122" s="41">
        <v>1</v>
      </c>
      <c r="G122" s="42">
        <v>15.7</v>
      </c>
      <c r="H122" s="43">
        <v>0.05</v>
      </c>
      <c r="I122" s="41" t="s">
        <v>63</v>
      </c>
      <c r="J122" s="16">
        <f t="shared" si="2"/>
        <v>14.914999999999999</v>
      </c>
      <c r="K122" s="16">
        <f>IF(Q122="",0,IF(SUMPRODUCT(('Returns &amp; Refunds'!$A$6:$A$11=C122)*('Returns &amp; Refunds'!$H$6:$H$11="Confirmed Good — Remove Charge"))&gt;0,0,Q122))</f>
        <v>14.914999999999999</v>
      </c>
      <c r="L122" s="16">
        <v>19.899999999999999</v>
      </c>
      <c r="M122" s="28">
        <v>18.899999999999999</v>
      </c>
      <c r="N122" s="29">
        <v>5.0299999999999997E-2</v>
      </c>
      <c r="O122" s="44" t="s">
        <v>62</v>
      </c>
      <c r="P122" s="15"/>
      <c r="Q122" s="16">
        <f t="shared" si="3"/>
        <v>14.914999999999999</v>
      </c>
    </row>
    <row r="123" spans="1:17" ht="15" customHeight="1" x14ac:dyDescent="0.25">
      <c r="A123" s="15">
        <v>122</v>
      </c>
      <c r="B123" s="15" t="s">
        <v>90</v>
      </c>
      <c r="C123" s="15" t="s">
        <v>91</v>
      </c>
      <c r="D123" s="15" t="s">
        <v>644</v>
      </c>
      <c r="E123" s="15" t="s">
        <v>645</v>
      </c>
      <c r="F123" s="41">
        <v>1</v>
      </c>
      <c r="G123" s="42">
        <v>13.9</v>
      </c>
      <c r="H123" s="43">
        <v>0.02</v>
      </c>
      <c r="I123" s="41" t="s">
        <v>63</v>
      </c>
      <c r="J123" s="16">
        <f t="shared" si="2"/>
        <v>13.622</v>
      </c>
      <c r="K123" s="16">
        <f>IF(Q123="",0,IF(SUMPRODUCT(('Returns &amp; Refunds'!$A$6:$A$11=C123)*('Returns &amp; Refunds'!$H$6:$H$11="Confirmed Good — Remove Charge"))&gt;0,0,Q123))</f>
        <v>13.622</v>
      </c>
      <c r="L123" s="16">
        <v>19.899999999999999</v>
      </c>
      <c r="M123" s="28">
        <v>19.5</v>
      </c>
      <c r="N123" s="29">
        <v>2.01E-2</v>
      </c>
      <c r="O123" s="44" t="s">
        <v>62</v>
      </c>
      <c r="P123" s="15"/>
      <c r="Q123" s="16">
        <f t="shared" si="3"/>
        <v>13.622</v>
      </c>
    </row>
    <row r="124" spans="1:17" ht="15" customHeight="1" x14ac:dyDescent="0.25">
      <c r="A124" s="15">
        <v>123</v>
      </c>
      <c r="B124" s="15" t="s">
        <v>90</v>
      </c>
      <c r="C124" s="15" t="s">
        <v>91</v>
      </c>
      <c r="D124" s="15" t="s">
        <v>644</v>
      </c>
      <c r="E124" s="15" t="s">
        <v>87</v>
      </c>
      <c r="F124" s="41">
        <v>1</v>
      </c>
      <c r="G124" s="42">
        <v>15.7</v>
      </c>
      <c r="H124" s="43">
        <v>0.05</v>
      </c>
      <c r="I124" s="41" t="s">
        <v>63</v>
      </c>
      <c r="J124" s="16">
        <f t="shared" si="2"/>
        <v>14.914999999999999</v>
      </c>
      <c r="K124" s="16">
        <f>IF(Q124="",0,IF(SUMPRODUCT(('Returns &amp; Refunds'!$A$6:$A$11=C124)*('Returns &amp; Refunds'!$H$6:$H$11="Confirmed Good — Remove Charge"))&gt;0,0,Q124))</f>
        <v>14.914999999999999</v>
      </c>
      <c r="L124" s="16">
        <v>19.899999999999999</v>
      </c>
      <c r="M124" s="28">
        <v>18.899999999999999</v>
      </c>
      <c r="N124" s="29">
        <v>5.0299999999999997E-2</v>
      </c>
      <c r="O124" s="44" t="s">
        <v>62</v>
      </c>
      <c r="P124" s="15"/>
      <c r="Q124" s="16">
        <f t="shared" si="3"/>
        <v>14.914999999999999</v>
      </c>
    </row>
    <row r="125" spans="1:17" ht="15" customHeight="1" x14ac:dyDescent="0.25">
      <c r="A125" s="15">
        <v>124</v>
      </c>
      <c r="B125" s="15" t="s">
        <v>646</v>
      </c>
      <c r="C125" s="15" t="s">
        <v>647</v>
      </c>
      <c r="D125" s="15" t="s">
        <v>648</v>
      </c>
      <c r="E125" s="15" t="s">
        <v>649</v>
      </c>
      <c r="F125" s="41">
        <v>1</v>
      </c>
      <c r="G125" s="42">
        <v>49.9</v>
      </c>
      <c r="H125" s="43">
        <v>0.3</v>
      </c>
      <c r="I125" s="41" t="s">
        <v>63</v>
      </c>
      <c r="J125" s="16">
        <f t="shared" si="2"/>
        <v>34.93</v>
      </c>
      <c r="K125" s="16">
        <f>IF(Q125="",0,IF(SUMPRODUCT(('Returns &amp; Refunds'!$A$6:$A$11=C125)*('Returns &amp; Refunds'!$H$6:$H$11="Confirmed Good — Remove Charge"))&gt;0,0,Q125))</f>
        <v>34.93</v>
      </c>
      <c r="L125" s="16">
        <v>65.900000000000006</v>
      </c>
      <c r="M125" s="28">
        <v>46.1</v>
      </c>
      <c r="N125" s="29">
        <v>0.30049999999999999</v>
      </c>
      <c r="O125" s="44" t="s">
        <v>62</v>
      </c>
      <c r="P125" s="15"/>
      <c r="Q125" s="16">
        <f t="shared" si="3"/>
        <v>34.93</v>
      </c>
    </row>
    <row r="126" spans="1:17" ht="15" customHeight="1" x14ac:dyDescent="0.25">
      <c r="A126" s="15">
        <v>125</v>
      </c>
      <c r="B126" s="15" t="s">
        <v>650</v>
      </c>
      <c r="C126" s="15" t="s">
        <v>651</v>
      </c>
      <c r="D126" s="15" t="s">
        <v>652</v>
      </c>
      <c r="E126" s="15" t="s">
        <v>320</v>
      </c>
      <c r="F126" s="41">
        <v>1</v>
      </c>
      <c r="G126" s="42">
        <v>10.5</v>
      </c>
      <c r="H126" s="43">
        <v>0.01</v>
      </c>
      <c r="I126" s="41" t="s">
        <v>63</v>
      </c>
      <c r="J126" s="16">
        <f t="shared" si="2"/>
        <v>10.395</v>
      </c>
      <c r="K126" s="16">
        <f>IF(Q126="",0,IF(SUMPRODUCT(('Returns &amp; Refunds'!$A$6:$A$11=C126)*('Returns &amp; Refunds'!$H$6:$H$11="Confirmed Good — Remove Charge"))&gt;0,0,Q126))</f>
        <v>10.395</v>
      </c>
      <c r="L126" s="16">
        <v>15</v>
      </c>
      <c r="M126" s="28">
        <v>14.9</v>
      </c>
      <c r="N126" s="29">
        <v>6.7000000000000002E-3</v>
      </c>
      <c r="O126" s="44" t="s">
        <v>62</v>
      </c>
      <c r="P126" s="15"/>
      <c r="Q126" s="16">
        <f t="shared" si="3"/>
        <v>10.395</v>
      </c>
    </row>
    <row r="127" spans="1:17" ht="15" customHeight="1" x14ac:dyDescent="0.25">
      <c r="A127" s="15">
        <v>126</v>
      </c>
      <c r="B127" s="15" t="s">
        <v>650</v>
      </c>
      <c r="C127" s="15" t="s">
        <v>651</v>
      </c>
      <c r="D127" s="15" t="s">
        <v>652</v>
      </c>
      <c r="E127" s="15" t="s">
        <v>653</v>
      </c>
      <c r="F127" s="41">
        <v>1</v>
      </c>
      <c r="G127" s="42">
        <v>10.5</v>
      </c>
      <c r="H127" s="43">
        <v>0.01</v>
      </c>
      <c r="I127" s="41" t="s">
        <v>63</v>
      </c>
      <c r="J127" s="16">
        <f t="shared" si="2"/>
        <v>10.395</v>
      </c>
      <c r="K127" s="16">
        <f>IF(Q127="",0,IF(SUMPRODUCT(('Returns &amp; Refunds'!$A$6:$A$11=C127)*('Returns &amp; Refunds'!$H$6:$H$11="Confirmed Good — Remove Charge"))&gt;0,0,Q127))</f>
        <v>10.395</v>
      </c>
      <c r="L127" s="16">
        <v>15</v>
      </c>
      <c r="M127" s="28">
        <v>14.9</v>
      </c>
      <c r="N127" s="29">
        <v>6.7000000000000002E-3</v>
      </c>
      <c r="O127" s="44" t="s">
        <v>62</v>
      </c>
      <c r="P127" s="15"/>
      <c r="Q127" s="16">
        <f t="shared" si="3"/>
        <v>10.395</v>
      </c>
    </row>
    <row r="128" spans="1:17" ht="15" customHeight="1" x14ac:dyDescent="0.25">
      <c r="A128" s="15">
        <v>127</v>
      </c>
      <c r="B128" s="15" t="s">
        <v>654</v>
      </c>
      <c r="C128" s="15" t="s">
        <v>655</v>
      </c>
      <c r="D128" s="15" t="s">
        <v>656</v>
      </c>
      <c r="E128" s="15" t="s">
        <v>236</v>
      </c>
      <c r="F128" s="41">
        <v>1</v>
      </c>
      <c r="G128" s="42">
        <v>10.7</v>
      </c>
      <c r="H128" s="43">
        <v>0.01</v>
      </c>
      <c r="I128" s="41" t="s">
        <v>63</v>
      </c>
      <c r="J128" s="16">
        <f t="shared" si="2"/>
        <v>10.593</v>
      </c>
      <c r="K128" s="16">
        <f>IF(Q128="",0,IF(SUMPRODUCT(('Returns &amp; Refunds'!$A$6:$A$11=C128)*('Returns &amp; Refunds'!$H$6:$H$11="Confirmed Good — Remove Charge"))&gt;0,0,Q128))</f>
        <v>10.593</v>
      </c>
      <c r="L128" s="16">
        <v>15.9</v>
      </c>
      <c r="M128" s="28">
        <v>15.7</v>
      </c>
      <c r="N128" s="29">
        <v>1.26E-2</v>
      </c>
      <c r="O128" s="44" t="s">
        <v>62</v>
      </c>
      <c r="P128" s="15"/>
      <c r="Q128" s="16">
        <f t="shared" si="3"/>
        <v>10.593</v>
      </c>
    </row>
    <row r="129" spans="1:17" ht="15" customHeight="1" x14ac:dyDescent="0.25">
      <c r="A129" s="15">
        <v>128</v>
      </c>
      <c r="B129" s="15" t="s">
        <v>657</v>
      </c>
      <c r="C129" s="15" t="s">
        <v>658</v>
      </c>
      <c r="D129" s="15" t="s">
        <v>659</v>
      </c>
      <c r="E129" s="15" t="s">
        <v>242</v>
      </c>
      <c r="F129" s="41">
        <v>1</v>
      </c>
      <c r="G129" s="42">
        <v>10.5</v>
      </c>
      <c r="H129" s="43">
        <v>0.01</v>
      </c>
      <c r="I129" s="41" t="s">
        <v>63</v>
      </c>
      <c r="J129" s="16">
        <f t="shared" si="2"/>
        <v>10.395</v>
      </c>
      <c r="K129" s="16">
        <f>IF(Q129="",0,IF(SUMPRODUCT(('Returns &amp; Refunds'!$A$6:$A$11=C129)*('Returns &amp; Refunds'!$H$6:$H$11="Confirmed Good — Remove Charge"))&gt;0,0,Q129))</f>
        <v>0</v>
      </c>
      <c r="L129" s="16">
        <v>15</v>
      </c>
      <c r="M129" s="28">
        <v>14.9</v>
      </c>
      <c r="N129" s="29">
        <v>6.7000000000000002E-3</v>
      </c>
      <c r="O129" s="44" t="s">
        <v>62</v>
      </c>
      <c r="P129" s="15"/>
      <c r="Q129" s="16">
        <f t="shared" si="3"/>
        <v>10.395</v>
      </c>
    </row>
    <row r="130" spans="1:17" ht="15" customHeight="1" x14ac:dyDescent="0.25">
      <c r="A130" s="15">
        <v>129</v>
      </c>
      <c r="B130" s="15" t="s">
        <v>139</v>
      </c>
      <c r="C130" s="15" t="s">
        <v>140</v>
      </c>
      <c r="D130" s="15" t="s">
        <v>660</v>
      </c>
      <c r="E130" s="15" t="s">
        <v>136</v>
      </c>
      <c r="F130" s="41">
        <v>1</v>
      </c>
      <c r="G130" s="42">
        <v>15</v>
      </c>
      <c r="H130" s="43">
        <v>0.01</v>
      </c>
      <c r="I130" s="46" t="str">
        <f>IF('Pending DSP Entry'!L38="Charge Full DSP Instead","No","Yes")</f>
        <v>Yes</v>
      </c>
      <c r="J130" s="16">
        <f t="shared" ref="J130:J193" si="4">IF(G130="","",IF(I130="Yes",G130*(1-H130),G130))</f>
        <v>14.85</v>
      </c>
      <c r="K130" s="16">
        <f>IF(Q130="",0,IF(SUMPRODUCT(('Returns &amp; Refunds'!$A$6:$A$11=C130)*('Returns &amp; Refunds'!$H$6:$H$11="Confirmed Good — Remove Charge"))&gt;0,0,Q130))</f>
        <v>14.85</v>
      </c>
      <c r="L130" s="16">
        <v>20.9</v>
      </c>
      <c r="M130" s="28">
        <v>19.84</v>
      </c>
      <c r="N130" s="29">
        <v>5.0700000000000002E-2</v>
      </c>
      <c r="O130" s="38" t="s">
        <v>129</v>
      </c>
      <c r="P130" s="47" t="str">
        <f>"Wrong rate set by reseller — decision at Pending DSP Entry section D, row 38"</f>
        <v>Wrong rate set by reseller — decision at Pending DSP Entry section D, row 38</v>
      </c>
      <c r="Q130" s="16">
        <f t="shared" ref="Q130:Q193" si="5">IF(J130="",0,F130*J130)</f>
        <v>14.85</v>
      </c>
    </row>
    <row r="131" spans="1:17" ht="15" customHeight="1" x14ac:dyDescent="0.25">
      <c r="A131" s="15">
        <v>130</v>
      </c>
      <c r="B131" s="15" t="s">
        <v>661</v>
      </c>
      <c r="C131" s="15" t="s">
        <v>662</v>
      </c>
      <c r="D131" s="15" t="s">
        <v>663</v>
      </c>
      <c r="E131" s="15" t="s">
        <v>664</v>
      </c>
      <c r="F131" s="41">
        <v>1</v>
      </c>
      <c r="G131" s="42">
        <v>11.1</v>
      </c>
      <c r="H131" s="43">
        <v>0.35</v>
      </c>
      <c r="I131" s="41" t="s">
        <v>63</v>
      </c>
      <c r="J131" s="16">
        <f t="shared" si="4"/>
        <v>7.2149999999999999</v>
      </c>
      <c r="K131" s="16">
        <f>IF(Q131="",0,IF(SUMPRODUCT(('Returns &amp; Refunds'!$A$6:$A$11=C131)*('Returns &amp; Refunds'!$H$6:$H$11="Confirmed Good — Remove Charge"))&gt;0,0,Q131))</f>
        <v>7.2149999999999999</v>
      </c>
      <c r="L131" s="16">
        <v>17.899999999999999</v>
      </c>
      <c r="M131" s="28">
        <v>11.6</v>
      </c>
      <c r="N131" s="29">
        <v>0.35199999999999998</v>
      </c>
      <c r="O131" s="44" t="s">
        <v>62</v>
      </c>
      <c r="P131" s="15"/>
      <c r="Q131" s="16">
        <f t="shared" si="5"/>
        <v>7.2149999999999999</v>
      </c>
    </row>
    <row r="132" spans="1:17" ht="15" customHeight="1" x14ac:dyDescent="0.25">
      <c r="A132" s="15">
        <v>131</v>
      </c>
      <c r="B132" s="15" t="s">
        <v>665</v>
      </c>
      <c r="C132" s="15" t="s">
        <v>666</v>
      </c>
      <c r="D132" s="15" t="s">
        <v>667</v>
      </c>
      <c r="E132" s="15" t="s">
        <v>179</v>
      </c>
      <c r="F132" s="41">
        <v>1</v>
      </c>
      <c r="G132" s="42">
        <v>11.3</v>
      </c>
      <c r="H132" s="43">
        <v>0.01</v>
      </c>
      <c r="I132" s="41" t="s">
        <v>63</v>
      </c>
      <c r="J132" s="16">
        <f t="shared" si="4"/>
        <v>11.187000000000001</v>
      </c>
      <c r="K132" s="16">
        <f>IF(Q132="",0,IF(SUMPRODUCT(('Returns &amp; Refunds'!$A$6:$A$11=C132)*('Returns &amp; Refunds'!$H$6:$H$11="Confirmed Good — Remove Charge"))&gt;0,0,Q132))</f>
        <v>11.187000000000001</v>
      </c>
      <c r="L132" s="16">
        <v>15.9</v>
      </c>
      <c r="M132" s="28">
        <v>15.7</v>
      </c>
      <c r="N132" s="29">
        <v>1.26E-2</v>
      </c>
      <c r="O132" s="44" t="s">
        <v>62</v>
      </c>
      <c r="P132" s="15"/>
      <c r="Q132" s="16">
        <f t="shared" si="5"/>
        <v>11.187000000000001</v>
      </c>
    </row>
    <row r="133" spans="1:17" ht="15" customHeight="1" x14ac:dyDescent="0.25">
      <c r="A133" s="15">
        <v>132</v>
      </c>
      <c r="B133" s="15" t="s">
        <v>668</v>
      </c>
      <c r="C133" s="15" t="s">
        <v>669</v>
      </c>
      <c r="D133" s="15" t="s">
        <v>670</v>
      </c>
      <c r="E133" s="15" t="s">
        <v>671</v>
      </c>
      <c r="F133" s="41">
        <v>2</v>
      </c>
      <c r="G133" s="42">
        <v>19</v>
      </c>
      <c r="H133" s="43">
        <v>0.05</v>
      </c>
      <c r="I133" s="41" t="s">
        <v>63</v>
      </c>
      <c r="J133" s="16">
        <f t="shared" si="4"/>
        <v>18.05</v>
      </c>
      <c r="K133" s="16">
        <f>IF(Q133="",0,IF(SUMPRODUCT(('Returns &amp; Refunds'!$A$6:$A$11=C133)*('Returns &amp; Refunds'!$H$6:$H$11="Confirmed Good — Remove Charge"))&gt;0,0,Q133))</f>
        <v>36.1</v>
      </c>
      <c r="L133" s="16">
        <v>26.9</v>
      </c>
      <c r="M133" s="28">
        <v>25.6</v>
      </c>
      <c r="N133" s="29">
        <v>4.8300000000000003E-2</v>
      </c>
      <c r="O133" s="44" t="s">
        <v>62</v>
      </c>
      <c r="P133" s="15"/>
      <c r="Q133" s="16">
        <f t="shared" si="5"/>
        <v>36.1</v>
      </c>
    </row>
    <row r="134" spans="1:17" ht="15" customHeight="1" x14ac:dyDescent="0.25">
      <c r="A134" s="15">
        <v>133</v>
      </c>
      <c r="B134" s="15" t="s">
        <v>672</v>
      </c>
      <c r="C134" s="15" t="s">
        <v>673</v>
      </c>
      <c r="D134" s="15" t="s">
        <v>674</v>
      </c>
      <c r="E134" s="15" t="s">
        <v>429</v>
      </c>
      <c r="F134" s="41">
        <v>1</v>
      </c>
      <c r="G134" s="42">
        <v>13.5</v>
      </c>
      <c r="H134" s="43">
        <v>0.01</v>
      </c>
      <c r="I134" s="41" t="s">
        <v>63</v>
      </c>
      <c r="J134" s="16">
        <f t="shared" si="4"/>
        <v>13.365</v>
      </c>
      <c r="K134" s="16">
        <f>IF(Q134="",0,IF(SUMPRODUCT(('Returns &amp; Refunds'!$A$6:$A$11=C134)*('Returns &amp; Refunds'!$H$6:$H$11="Confirmed Good — Remove Charge"))&gt;0,0,Q134))</f>
        <v>13.365</v>
      </c>
      <c r="L134" s="16">
        <v>17.899999999999999</v>
      </c>
      <c r="M134" s="28">
        <v>17.7</v>
      </c>
      <c r="N134" s="29">
        <v>1.12E-2</v>
      </c>
      <c r="O134" s="44" t="s">
        <v>62</v>
      </c>
      <c r="P134" s="15"/>
      <c r="Q134" s="16">
        <f t="shared" si="5"/>
        <v>13.365</v>
      </c>
    </row>
    <row r="135" spans="1:17" ht="15" customHeight="1" x14ac:dyDescent="0.25">
      <c r="A135" s="15">
        <v>134</v>
      </c>
      <c r="B135" s="15" t="s">
        <v>675</v>
      </c>
      <c r="C135" s="15" t="s">
        <v>676</v>
      </c>
      <c r="D135" s="15" t="s">
        <v>677</v>
      </c>
      <c r="E135" s="15" t="s">
        <v>678</v>
      </c>
      <c r="F135" s="41">
        <v>1</v>
      </c>
      <c r="G135" s="42">
        <v>11.3</v>
      </c>
      <c r="H135" s="43">
        <v>0.01</v>
      </c>
      <c r="I135" s="41" t="s">
        <v>63</v>
      </c>
      <c r="J135" s="16">
        <f t="shared" si="4"/>
        <v>11.187000000000001</v>
      </c>
      <c r="K135" s="16">
        <f>IF(Q135="",0,IF(SUMPRODUCT(('Returns &amp; Refunds'!$A$6:$A$11=C135)*('Returns &amp; Refunds'!$H$6:$H$11="Confirmed Good — Remove Charge"))&gt;0,0,Q135))</f>
        <v>11.187000000000001</v>
      </c>
      <c r="L135" s="16">
        <v>15.9</v>
      </c>
      <c r="M135" s="28">
        <v>15.7</v>
      </c>
      <c r="N135" s="29">
        <v>1.26E-2</v>
      </c>
      <c r="O135" s="44" t="s">
        <v>62</v>
      </c>
      <c r="P135" s="15"/>
      <c r="Q135" s="16">
        <f t="shared" si="5"/>
        <v>11.187000000000001</v>
      </c>
    </row>
    <row r="136" spans="1:17" ht="15" customHeight="1" x14ac:dyDescent="0.25">
      <c r="A136" s="15">
        <v>135</v>
      </c>
      <c r="B136" s="15" t="s">
        <v>679</v>
      </c>
      <c r="C136" s="15" t="s">
        <v>680</v>
      </c>
      <c r="D136" s="15" t="s">
        <v>681</v>
      </c>
      <c r="E136" s="15" t="s">
        <v>383</v>
      </c>
      <c r="F136" s="41">
        <v>1</v>
      </c>
      <c r="G136" s="42">
        <v>14.8</v>
      </c>
      <c r="H136" s="43">
        <v>0.01</v>
      </c>
      <c r="I136" s="41" t="s">
        <v>63</v>
      </c>
      <c r="J136" s="16">
        <f t="shared" si="4"/>
        <v>14.652000000000001</v>
      </c>
      <c r="K136" s="16">
        <f>IF(Q136="",0,IF(SUMPRODUCT(('Returns &amp; Refunds'!$A$6:$A$11=C136)*('Returns &amp; Refunds'!$H$6:$H$11="Confirmed Good — Remove Charge"))&gt;0,0,Q136))</f>
        <v>14.652000000000001</v>
      </c>
      <c r="L136" s="16">
        <v>20.9</v>
      </c>
      <c r="M136" s="28">
        <v>20.7</v>
      </c>
      <c r="N136" s="29">
        <v>9.5999999999999992E-3</v>
      </c>
      <c r="O136" s="44" t="s">
        <v>62</v>
      </c>
      <c r="P136" s="15"/>
      <c r="Q136" s="16">
        <f t="shared" si="5"/>
        <v>14.652000000000001</v>
      </c>
    </row>
    <row r="137" spans="1:17" ht="15" customHeight="1" x14ac:dyDescent="0.25">
      <c r="A137" s="15">
        <v>136</v>
      </c>
      <c r="B137" s="15" t="s">
        <v>682</v>
      </c>
      <c r="C137" s="15" t="s">
        <v>683</v>
      </c>
      <c r="D137" s="15" t="s">
        <v>684</v>
      </c>
      <c r="E137" s="15" t="s">
        <v>547</v>
      </c>
      <c r="F137" s="41">
        <v>1</v>
      </c>
      <c r="G137" s="42">
        <v>13.2</v>
      </c>
      <c r="H137" s="43">
        <v>0.01</v>
      </c>
      <c r="I137" s="41" t="s">
        <v>63</v>
      </c>
      <c r="J137" s="16">
        <f t="shared" si="4"/>
        <v>13.068</v>
      </c>
      <c r="K137" s="16">
        <f>IF(Q137="",0,IF(SUMPRODUCT(('Returns &amp; Refunds'!$A$6:$A$11=C137)*('Returns &amp; Refunds'!$H$6:$H$11="Confirmed Good — Remove Charge"))&gt;0,0,Q137))</f>
        <v>13.068</v>
      </c>
      <c r="L137" s="16">
        <v>17.899999999999999</v>
      </c>
      <c r="M137" s="28">
        <v>17.7</v>
      </c>
      <c r="N137" s="29">
        <v>1.12E-2</v>
      </c>
      <c r="O137" s="44" t="s">
        <v>62</v>
      </c>
      <c r="P137" s="15"/>
      <c r="Q137" s="16">
        <f t="shared" si="5"/>
        <v>13.068</v>
      </c>
    </row>
    <row r="138" spans="1:17" ht="15" customHeight="1" x14ac:dyDescent="0.25">
      <c r="A138" s="15">
        <v>137</v>
      </c>
      <c r="B138" s="15" t="s">
        <v>685</v>
      </c>
      <c r="C138" s="15" t="s">
        <v>686</v>
      </c>
      <c r="D138" s="15" t="s">
        <v>687</v>
      </c>
      <c r="E138" s="15" t="s">
        <v>244</v>
      </c>
      <c r="F138" s="41">
        <v>1</v>
      </c>
      <c r="G138" s="42">
        <v>12.4</v>
      </c>
      <c r="H138" s="43">
        <v>0.01</v>
      </c>
      <c r="I138" s="41" t="s">
        <v>63</v>
      </c>
      <c r="J138" s="16">
        <f t="shared" si="4"/>
        <v>12.276</v>
      </c>
      <c r="K138" s="16">
        <f>IF(Q138="",0,IF(SUMPRODUCT(('Returns &amp; Refunds'!$A$6:$A$11=C138)*('Returns &amp; Refunds'!$H$6:$H$11="Confirmed Good — Remove Charge"))&gt;0,0,Q138))</f>
        <v>12.276</v>
      </c>
      <c r="L138" s="16">
        <v>17.899999999999999</v>
      </c>
      <c r="M138" s="28">
        <v>17.7</v>
      </c>
      <c r="N138" s="29">
        <v>1.12E-2</v>
      </c>
      <c r="O138" s="44" t="s">
        <v>62</v>
      </c>
      <c r="P138" s="15"/>
      <c r="Q138" s="16">
        <f t="shared" si="5"/>
        <v>12.276</v>
      </c>
    </row>
    <row r="139" spans="1:17" ht="15" customHeight="1" x14ac:dyDescent="0.25">
      <c r="A139" s="15">
        <v>138</v>
      </c>
      <c r="B139" s="15" t="s">
        <v>688</v>
      </c>
      <c r="C139" s="15" t="s">
        <v>689</v>
      </c>
      <c r="D139" s="15" t="s">
        <v>690</v>
      </c>
      <c r="E139" s="15" t="s">
        <v>242</v>
      </c>
      <c r="F139" s="41">
        <v>1</v>
      </c>
      <c r="G139" s="42">
        <v>10.5</v>
      </c>
      <c r="H139" s="43">
        <v>0.01</v>
      </c>
      <c r="I139" s="41" t="s">
        <v>63</v>
      </c>
      <c r="J139" s="16">
        <f t="shared" si="4"/>
        <v>10.395</v>
      </c>
      <c r="K139" s="16">
        <f>IF(Q139="",0,IF(SUMPRODUCT(('Returns &amp; Refunds'!$A$6:$A$11=C139)*('Returns &amp; Refunds'!$H$6:$H$11="Confirmed Good — Remove Charge"))&gt;0,0,Q139))</f>
        <v>10.395</v>
      </c>
      <c r="L139" s="16">
        <v>15</v>
      </c>
      <c r="M139" s="28">
        <v>14.9</v>
      </c>
      <c r="N139" s="29">
        <v>6.7000000000000002E-3</v>
      </c>
      <c r="O139" s="44" t="s">
        <v>62</v>
      </c>
      <c r="P139" s="15"/>
      <c r="Q139" s="16">
        <f t="shared" si="5"/>
        <v>10.395</v>
      </c>
    </row>
    <row r="140" spans="1:17" ht="15" customHeight="1" x14ac:dyDescent="0.25">
      <c r="A140" s="15">
        <v>139</v>
      </c>
      <c r="B140" s="15" t="s">
        <v>691</v>
      </c>
      <c r="C140" s="15" t="s">
        <v>692</v>
      </c>
      <c r="D140" s="15" t="s">
        <v>693</v>
      </c>
      <c r="E140" s="15" t="s">
        <v>694</v>
      </c>
      <c r="F140" s="41">
        <v>1</v>
      </c>
      <c r="G140" s="42">
        <v>39.700000000000003</v>
      </c>
      <c r="H140" s="43">
        <v>0.05</v>
      </c>
      <c r="I140" s="41" t="s">
        <v>63</v>
      </c>
      <c r="J140" s="16">
        <f t="shared" si="4"/>
        <v>37.715000000000003</v>
      </c>
      <c r="K140" s="16">
        <f>IF(Q140="",0,IF(SUMPRODUCT(('Returns &amp; Refunds'!$A$6:$A$11=C140)*('Returns &amp; Refunds'!$H$6:$H$11="Confirmed Good — Remove Charge"))&gt;0,0,Q140))</f>
        <v>37.715000000000003</v>
      </c>
      <c r="L140" s="16">
        <v>54.9</v>
      </c>
      <c r="M140" s="28">
        <v>52.2</v>
      </c>
      <c r="N140" s="29">
        <v>4.9200000000000001E-2</v>
      </c>
      <c r="O140" s="44" t="s">
        <v>62</v>
      </c>
      <c r="P140" s="15"/>
      <c r="Q140" s="16">
        <f t="shared" si="5"/>
        <v>37.715000000000003</v>
      </c>
    </row>
    <row r="141" spans="1:17" ht="15" customHeight="1" x14ac:dyDescent="0.25">
      <c r="A141" s="15">
        <v>140</v>
      </c>
      <c r="B141" s="15" t="s">
        <v>92</v>
      </c>
      <c r="C141" s="15" t="s">
        <v>93</v>
      </c>
      <c r="D141" s="15" t="s">
        <v>695</v>
      </c>
      <c r="E141" s="15" t="s">
        <v>82</v>
      </c>
      <c r="F141" s="41">
        <v>1</v>
      </c>
      <c r="G141" s="42">
        <v>15.5</v>
      </c>
      <c r="H141" s="43">
        <v>0.05</v>
      </c>
      <c r="I141" s="41" t="s">
        <v>63</v>
      </c>
      <c r="J141" s="16">
        <f t="shared" si="4"/>
        <v>14.725</v>
      </c>
      <c r="K141" s="16">
        <f>IF(Q141="",0,IF(SUMPRODUCT(('Returns &amp; Refunds'!$A$6:$A$11=C141)*('Returns &amp; Refunds'!$H$6:$H$11="Confirmed Good — Remove Charge"))&gt;0,0,Q141))</f>
        <v>14.725</v>
      </c>
      <c r="L141" s="16">
        <v>19.899999999999999</v>
      </c>
      <c r="M141" s="28">
        <v>18.899999999999999</v>
      </c>
      <c r="N141" s="29">
        <v>5.0299999999999997E-2</v>
      </c>
      <c r="O141" s="44" t="s">
        <v>62</v>
      </c>
      <c r="P141" s="15"/>
      <c r="Q141" s="16">
        <f t="shared" si="5"/>
        <v>14.725</v>
      </c>
    </row>
    <row r="142" spans="1:17" ht="15" customHeight="1" x14ac:dyDescent="0.25">
      <c r="A142" s="15">
        <v>141</v>
      </c>
      <c r="B142" s="15" t="s">
        <v>696</v>
      </c>
      <c r="C142" s="15" t="s">
        <v>697</v>
      </c>
      <c r="D142" s="15" t="s">
        <v>698</v>
      </c>
      <c r="E142" s="15" t="s">
        <v>179</v>
      </c>
      <c r="F142" s="41">
        <v>1</v>
      </c>
      <c r="G142" s="42">
        <v>11.3</v>
      </c>
      <c r="H142" s="43">
        <v>0.01</v>
      </c>
      <c r="I142" s="41" t="s">
        <v>63</v>
      </c>
      <c r="J142" s="16">
        <f t="shared" si="4"/>
        <v>11.187000000000001</v>
      </c>
      <c r="K142" s="16">
        <f>IF(Q142="",0,IF(SUMPRODUCT(('Returns &amp; Refunds'!$A$6:$A$11=C142)*('Returns &amp; Refunds'!$H$6:$H$11="Confirmed Good — Remove Charge"))&gt;0,0,Q142))</f>
        <v>11.187000000000001</v>
      </c>
      <c r="L142" s="16">
        <v>15.9</v>
      </c>
      <c r="M142" s="28">
        <v>15.7</v>
      </c>
      <c r="N142" s="29">
        <v>1.26E-2</v>
      </c>
      <c r="O142" s="44" t="s">
        <v>62</v>
      </c>
      <c r="P142" s="15"/>
      <c r="Q142" s="16">
        <f t="shared" si="5"/>
        <v>11.187000000000001</v>
      </c>
    </row>
    <row r="143" spans="1:17" ht="15" customHeight="1" x14ac:dyDescent="0.25">
      <c r="A143" s="15">
        <v>142</v>
      </c>
      <c r="B143" s="15" t="s">
        <v>699</v>
      </c>
      <c r="C143" s="15" t="s">
        <v>700</v>
      </c>
      <c r="D143" s="15" t="s">
        <v>701</v>
      </c>
      <c r="E143" s="15" t="s">
        <v>702</v>
      </c>
      <c r="F143" s="41">
        <v>1</v>
      </c>
      <c r="G143" s="42">
        <v>36.5</v>
      </c>
      <c r="H143" s="43">
        <v>0.2</v>
      </c>
      <c r="I143" s="41" t="s">
        <v>63</v>
      </c>
      <c r="J143" s="16">
        <f t="shared" si="4"/>
        <v>29.200000000000003</v>
      </c>
      <c r="K143" s="16">
        <f>IF(Q143="",0,IF(SUMPRODUCT(('Returns &amp; Refunds'!$A$6:$A$11=C143)*('Returns &amp; Refunds'!$H$6:$H$11="Confirmed Good — Remove Charge"))&gt;0,0,Q143))</f>
        <v>29.200000000000003</v>
      </c>
      <c r="L143" s="16">
        <v>47.9</v>
      </c>
      <c r="M143" s="28">
        <v>38.299999999999997</v>
      </c>
      <c r="N143" s="29">
        <v>0.20039999999999999</v>
      </c>
      <c r="O143" s="44" t="s">
        <v>62</v>
      </c>
      <c r="P143" s="15"/>
      <c r="Q143" s="16">
        <f t="shared" si="5"/>
        <v>29.200000000000003</v>
      </c>
    </row>
    <row r="144" spans="1:17" ht="15" customHeight="1" x14ac:dyDescent="0.25">
      <c r="A144" s="15">
        <v>143</v>
      </c>
      <c r="B144" s="15" t="s">
        <v>703</v>
      </c>
      <c r="C144" s="15" t="s">
        <v>704</v>
      </c>
      <c r="D144" s="15" t="s">
        <v>705</v>
      </c>
      <c r="E144" s="15" t="s">
        <v>236</v>
      </c>
      <c r="F144" s="41">
        <v>1</v>
      </c>
      <c r="G144" s="42">
        <v>10.7</v>
      </c>
      <c r="H144" s="43">
        <v>0.01</v>
      </c>
      <c r="I144" s="41" t="s">
        <v>63</v>
      </c>
      <c r="J144" s="16">
        <f t="shared" si="4"/>
        <v>10.593</v>
      </c>
      <c r="K144" s="16">
        <f>IF(Q144="",0,IF(SUMPRODUCT(('Returns &amp; Refunds'!$A$6:$A$11=C144)*('Returns &amp; Refunds'!$H$6:$H$11="Confirmed Good — Remove Charge"))&gt;0,0,Q144))</f>
        <v>10.593</v>
      </c>
      <c r="L144" s="16">
        <v>15.9</v>
      </c>
      <c r="M144" s="28">
        <v>15.7</v>
      </c>
      <c r="N144" s="29">
        <v>1.26E-2</v>
      </c>
      <c r="O144" s="44" t="s">
        <v>62</v>
      </c>
      <c r="P144" s="15"/>
      <c r="Q144" s="16">
        <f t="shared" si="5"/>
        <v>10.593</v>
      </c>
    </row>
    <row r="145" spans="1:17" ht="15" customHeight="1" x14ac:dyDescent="0.25">
      <c r="A145" s="15">
        <v>144</v>
      </c>
      <c r="B145" s="15" t="s">
        <v>706</v>
      </c>
      <c r="C145" s="15" t="s">
        <v>707</v>
      </c>
      <c r="D145" s="15" t="s">
        <v>708</v>
      </c>
      <c r="E145" s="15" t="s">
        <v>281</v>
      </c>
      <c r="F145" s="41">
        <v>1</v>
      </c>
      <c r="G145" s="42">
        <v>15</v>
      </c>
      <c r="H145" s="43">
        <v>0.01</v>
      </c>
      <c r="I145" s="41" t="s">
        <v>63</v>
      </c>
      <c r="J145" s="16">
        <f t="shared" si="4"/>
        <v>14.85</v>
      </c>
      <c r="K145" s="16">
        <f>IF(Q145="",0,IF(SUMPRODUCT(('Returns &amp; Refunds'!$A$6:$A$11=C145)*('Returns &amp; Refunds'!$H$6:$H$11="Confirmed Good — Remove Charge"))&gt;0,0,Q145))</f>
        <v>14.85</v>
      </c>
      <c r="L145" s="16">
        <v>20.9</v>
      </c>
      <c r="M145" s="28">
        <v>20.7</v>
      </c>
      <c r="N145" s="29">
        <v>9.5999999999999992E-3</v>
      </c>
      <c r="O145" s="44" t="s">
        <v>62</v>
      </c>
      <c r="P145" s="15"/>
      <c r="Q145" s="16">
        <f t="shared" si="5"/>
        <v>14.85</v>
      </c>
    </row>
    <row r="146" spans="1:17" ht="15" customHeight="1" x14ac:dyDescent="0.25">
      <c r="A146" s="15">
        <v>145</v>
      </c>
      <c r="B146" s="15" t="s">
        <v>709</v>
      </c>
      <c r="C146" s="15" t="s">
        <v>710</v>
      </c>
      <c r="D146" s="15" t="s">
        <v>711</v>
      </c>
      <c r="E146" s="15" t="s">
        <v>244</v>
      </c>
      <c r="F146" s="41">
        <v>2</v>
      </c>
      <c r="G146" s="42">
        <v>12.4</v>
      </c>
      <c r="H146" s="43">
        <v>0.01</v>
      </c>
      <c r="I146" s="41" t="s">
        <v>63</v>
      </c>
      <c r="J146" s="16">
        <f t="shared" si="4"/>
        <v>12.276</v>
      </c>
      <c r="K146" s="16">
        <f>IF(Q146="",0,IF(SUMPRODUCT(('Returns &amp; Refunds'!$A$6:$A$11=C146)*('Returns &amp; Refunds'!$H$6:$H$11="Confirmed Good — Remove Charge"))&gt;0,0,Q146))</f>
        <v>24.552</v>
      </c>
      <c r="L146" s="16">
        <v>17.899999999999999</v>
      </c>
      <c r="M146" s="28">
        <v>17.7</v>
      </c>
      <c r="N146" s="29">
        <v>1.12E-2</v>
      </c>
      <c r="O146" s="44" t="s">
        <v>62</v>
      </c>
      <c r="P146" s="15"/>
      <c r="Q146" s="16">
        <f t="shared" si="5"/>
        <v>24.552</v>
      </c>
    </row>
    <row r="147" spans="1:17" ht="15" customHeight="1" x14ac:dyDescent="0.25">
      <c r="A147" s="15">
        <v>146</v>
      </c>
      <c r="B147" s="15" t="s">
        <v>712</v>
      </c>
      <c r="C147" s="15" t="s">
        <v>713</v>
      </c>
      <c r="D147" s="15" t="s">
        <v>714</v>
      </c>
      <c r="E147" s="15" t="s">
        <v>715</v>
      </c>
      <c r="F147" s="41">
        <v>1</v>
      </c>
      <c r="G147" s="42">
        <v>27.8</v>
      </c>
      <c r="H147" s="43">
        <v>0.08</v>
      </c>
      <c r="I147" s="41" t="s">
        <v>69</v>
      </c>
      <c r="J147" s="16">
        <f t="shared" si="4"/>
        <v>27.8</v>
      </c>
      <c r="K147" s="16">
        <f>IF(Q147="",0,IF(SUMPRODUCT(('Returns &amp; Refunds'!$A$6:$A$11=C147)*('Returns &amp; Refunds'!$H$6:$H$11="Confirmed Good — Remove Charge"))&gt;0,0,Q147))</f>
        <v>27.8</v>
      </c>
      <c r="L147" s="16">
        <v>39.9</v>
      </c>
      <c r="M147" s="28">
        <v>39.9</v>
      </c>
      <c r="N147" s="29">
        <v>0</v>
      </c>
      <c r="O147" s="45" t="s">
        <v>68</v>
      </c>
      <c r="P147" s="15"/>
      <c r="Q147" s="16">
        <f t="shared" si="5"/>
        <v>27.8</v>
      </c>
    </row>
    <row r="148" spans="1:17" ht="15" customHeight="1" x14ac:dyDescent="0.25">
      <c r="A148" s="15">
        <v>147</v>
      </c>
      <c r="B148" s="15" t="s">
        <v>716</v>
      </c>
      <c r="C148" s="15" t="s">
        <v>717</v>
      </c>
      <c r="D148" s="15" t="s">
        <v>718</v>
      </c>
      <c r="E148" s="15" t="s">
        <v>719</v>
      </c>
      <c r="F148" s="41">
        <v>1</v>
      </c>
      <c r="G148" s="42">
        <v>42.3</v>
      </c>
      <c r="H148" s="43">
        <v>0.1</v>
      </c>
      <c r="I148" s="41" t="s">
        <v>63</v>
      </c>
      <c r="J148" s="16">
        <f t="shared" si="4"/>
        <v>38.07</v>
      </c>
      <c r="K148" s="16">
        <f>IF(Q148="",0,IF(SUMPRODUCT(('Returns &amp; Refunds'!$A$6:$A$11=C148)*('Returns &amp; Refunds'!$H$6:$H$11="Confirmed Good — Remove Charge"))&gt;0,0,Q148))</f>
        <v>38.07</v>
      </c>
      <c r="L148" s="16">
        <v>57.9</v>
      </c>
      <c r="M148" s="28">
        <v>52.1</v>
      </c>
      <c r="N148" s="29">
        <v>0.1002</v>
      </c>
      <c r="O148" s="44" t="s">
        <v>62</v>
      </c>
      <c r="P148" s="15"/>
      <c r="Q148" s="16">
        <f t="shared" si="5"/>
        <v>38.07</v>
      </c>
    </row>
    <row r="149" spans="1:17" ht="15" customHeight="1" x14ac:dyDescent="0.25">
      <c r="A149" s="15">
        <v>148</v>
      </c>
      <c r="B149" s="15" t="s">
        <v>720</v>
      </c>
      <c r="C149" s="15" t="s">
        <v>721</v>
      </c>
      <c r="D149" s="15" t="s">
        <v>722</v>
      </c>
      <c r="E149" s="15" t="s">
        <v>723</v>
      </c>
      <c r="F149" s="41">
        <v>1</v>
      </c>
      <c r="G149" s="42">
        <v>31.5</v>
      </c>
      <c r="H149" s="43">
        <v>0.05</v>
      </c>
      <c r="I149" s="41" t="s">
        <v>63</v>
      </c>
      <c r="J149" s="16">
        <f t="shared" si="4"/>
        <v>29.924999999999997</v>
      </c>
      <c r="K149" s="16">
        <f>IF(Q149="",0,IF(SUMPRODUCT(('Returns &amp; Refunds'!$A$6:$A$11=C149)*('Returns &amp; Refunds'!$H$6:$H$11="Confirmed Good — Remove Charge"))&gt;0,0,Q149))</f>
        <v>29.924999999999997</v>
      </c>
      <c r="L149" s="16">
        <v>39.9</v>
      </c>
      <c r="M149" s="28">
        <v>37.9</v>
      </c>
      <c r="N149" s="29">
        <v>5.0099999999999999E-2</v>
      </c>
      <c r="O149" s="44" t="s">
        <v>62</v>
      </c>
      <c r="P149" s="15"/>
      <c r="Q149" s="16">
        <f t="shared" si="5"/>
        <v>29.924999999999997</v>
      </c>
    </row>
    <row r="150" spans="1:17" ht="15" customHeight="1" x14ac:dyDescent="0.25">
      <c r="A150" s="15">
        <v>149</v>
      </c>
      <c r="B150" s="15" t="s">
        <v>724</v>
      </c>
      <c r="C150" s="15" t="s">
        <v>725</v>
      </c>
      <c r="D150" s="15" t="s">
        <v>726</v>
      </c>
      <c r="E150" s="15" t="s">
        <v>727</v>
      </c>
      <c r="F150" s="41">
        <v>1</v>
      </c>
      <c r="G150" s="42">
        <v>18.8</v>
      </c>
      <c r="H150" s="43">
        <v>0.01</v>
      </c>
      <c r="I150" s="41" t="s">
        <v>63</v>
      </c>
      <c r="J150" s="16">
        <f t="shared" si="4"/>
        <v>18.612000000000002</v>
      </c>
      <c r="K150" s="16">
        <f>IF(Q150="",0,IF(SUMPRODUCT(('Returns &amp; Refunds'!$A$6:$A$11=C150)*('Returns &amp; Refunds'!$H$6:$H$11="Confirmed Good — Remove Charge"))&gt;0,0,Q150))</f>
        <v>18.612000000000002</v>
      </c>
      <c r="L150" s="16">
        <v>24.9</v>
      </c>
      <c r="M150" s="28">
        <v>24.7</v>
      </c>
      <c r="N150" s="29">
        <v>8.0000000000000002E-3</v>
      </c>
      <c r="O150" s="44" t="s">
        <v>62</v>
      </c>
      <c r="P150" s="15"/>
      <c r="Q150" s="16">
        <f t="shared" si="5"/>
        <v>18.612000000000002</v>
      </c>
    </row>
    <row r="151" spans="1:17" ht="15" customHeight="1" x14ac:dyDescent="0.25">
      <c r="A151" s="15">
        <v>150</v>
      </c>
      <c r="B151" s="15" t="s">
        <v>728</v>
      </c>
      <c r="C151" s="15" t="s">
        <v>729</v>
      </c>
      <c r="D151" s="15" t="s">
        <v>730</v>
      </c>
      <c r="E151" s="15" t="s">
        <v>731</v>
      </c>
      <c r="F151" s="41">
        <v>1</v>
      </c>
      <c r="G151" s="42">
        <v>47</v>
      </c>
      <c r="H151" s="43">
        <v>0.02</v>
      </c>
      <c r="I151" s="41" t="s">
        <v>69</v>
      </c>
      <c r="J151" s="16">
        <f t="shared" si="4"/>
        <v>47</v>
      </c>
      <c r="K151" s="16">
        <f>IF(Q151="",0,IF(SUMPRODUCT(('Returns &amp; Refunds'!$A$6:$A$11=C151)*('Returns &amp; Refunds'!$H$6:$H$11="Confirmed Good — Remove Charge"))&gt;0,0,Q151))</f>
        <v>47</v>
      </c>
      <c r="L151" s="16">
        <v>64.900000000000006</v>
      </c>
      <c r="M151" s="28">
        <v>64.900000000000006</v>
      </c>
      <c r="N151" s="29">
        <v>0</v>
      </c>
      <c r="O151" s="45" t="s">
        <v>68</v>
      </c>
      <c r="P151" s="15"/>
      <c r="Q151" s="16">
        <f t="shared" si="5"/>
        <v>47</v>
      </c>
    </row>
    <row r="152" spans="1:17" ht="15" customHeight="1" x14ac:dyDescent="0.25">
      <c r="A152" s="15">
        <v>151</v>
      </c>
      <c r="B152" s="15" t="s">
        <v>732</v>
      </c>
      <c r="C152" s="15" t="s">
        <v>733</v>
      </c>
      <c r="D152" s="15" t="s">
        <v>734</v>
      </c>
      <c r="E152" s="15" t="s">
        <v>735</v>
      </c>
      <c r="F152" s="41">
        <v>1</v>
      </c>
      <c r="G152" s="42">
        <v>44.3</v>
      </c>
      <c r="H152" s="43">
        <v>0.4</v>
      </c>
      <c r="I152" s="41" t="s">
        <v>63</v>
      </c>
      <c r="J152" s="16">
        <f t="shared" si="4"/>
        <v>26.58</v>
      </c>
      <c r="K152" s="16">
        <f>IF(Q152="",0,IF(SUMPRODUCT(('Returns &amp; Refunds'!$A$6:$A$11=C152)*('Returns &amp; Refunds'!$H$6:$H$11="Confirmed Good — Remove Charge"))&gt;0,0,Q152))</f>
        <v>26.58</v>
      </c>
      <c r="L152" s="16">
        <v>59.9</v>
      </c>
      <c r="M152" s="28">
        <v>35.9</v>
      </c>
      <c r="N152" s="29">
        <v>0.4007</v>
      </c>
      <c r="O152" s="44" t="s">
        <v>62</v>
      </c>
      <c r="P152" s="15"/>
      <c r="Q152" s="16">
        <f t="shared" si="5"/>
        <v>26.58</v>
      </c>
    </row>
    <row r="153" spans="1:17" ht="15" customHeight="1" x14ac:dyDescent="0.25">
      <c r="A153" s="15">
        <v>152</v>
      </c>
      <c r="B153" s="15" t="s">
        <v>736</v>
      </c>
      <c r="C153" s="15" t="s">
        <v>737</v>
      </c>
      <c r="D153" s="15" t="s">
        <v>738</v>
      </c>
      <c r="E153" s="15" t="s">
        <v>320</v>
      </c>
      <c r="F153" s="41">
        <v>1</v>
      </c>
      <c r="G153" s="42">
        <v>10.5</v>
      </c>
      <c r="H153" s="43">
        <v>0.01</v>
      </c>
      <c r="I153" s="41" t="s">
        <v>63</v>
      </c>
      <c r="J153" s="16">
        <f t="shared" si="4"/>
        <v>10.395</v>
      </c>
      <c r="K153" s="16">
        <f>IF(Q153="",0,IF(SUMPRODUCT(('Returns &amp; Refunds'!$A$6:$A$11=C153)*('Returns &amp; Refunds'!$H$6:$H$11="Confirmed Good — Remove Charge"))&gt;0,0,Q153))</f>
        <v>10.395</v>
      </c>
      <c r="L153" s="16">
        <v>15</v>
      </c>
      <c r="M153" s="28">
        <v>14.9</v>
      </c>
      <c r="N153" s="29">
        <v>6.7000000000000002E-3</v>
      </c>
      <c r="O153" s="44" t="s">
        <v>62</v>
      </c>
      <c r="P153" s="15"/>
      <c r="Q153" s="16">
        <f t="shared" si="5"/>
        <v>10.395</v>
      </c>
    </row>
    <row r="154" spans="1:17" ht="15" customHeight="1" x14ac:dyDescent="0.25">
      <c r="A154" s="15">
        <v>153</v>
      </c>
      <c r="B154" s="15" t="s">
        <v>94</v>
      </c>
      <c r="C154" s="15" t="s">
        <v>95</v>
      </c>
      <c r="D154" s="15" t="s">
        <v>739</v>
      </c>
      <c r="E154" s="15" t="s">
        <v>87</v>
      </c>
      <c r="F154" s="41">
        <v>1</v>
      </c>
      <c r="G154" s="42">
        <v>15.7</v>
      </c>
      <c r="H154" s="43">
        <v>0.05</v>
      </c>
      <c r="I154" s="41" t="s">
        <v>63</v>
      </c>
      <c r="J154" s="16">
        <f t="shared" si="4"/>
        <v>14.914999999999999</v>
      </c>
      <c r="K154" s="16">
        <f>IF(Q154="",0,IF(SUMPRODUCT(('Returns &amp; Refunds'!$A$6:$A$11=C154)*('Returns &amp; Refunds'!$H$6:$H$11="Confirmed Good — Remove Charge"))&gt;0,0,Q154))</f>
        <v>14.914999999999999</v>
      </c>
      <c r="L154" s="16">
        <v>19.899999999999999</v>
      </c>
      <c r="M154" s="28">
        <v>18.899999999999999</v>
      </c>
      <c r="N154" s="29">
        <v>5.0299999999999997E-2</v>
      </c>
      <c r="O154" s="44" t="s">
        <v>62</v>
      </c>
      <c r="P154" s="15"/>
      <c r="Q154" s="16">
        <f t="shared" si="5"/>
        <v>14.914999999999999</v>
      </c>
    </row>
    <row r="155" spans="1:17" ht="15" customHeight="1" x14ac:dyDescent="0.25">
      <c r="A155" s="15">
        <v>154</v>
      </c>
      <c r="B155" s="15" t="s">
        <v>740</v>
      </c>
      <c r="C155" s="15" t="s">
        <v>741</v>
      </c>
      <c r="D155" s="15" t="s">
        <v>742</v>
      </c>
      <c r="E155" s="15" t="s">
        <v>743</v>
      </c>
      <c r="F155" s="41">
        <v>1</v>
      </c>
      <c r="G155" s="42">
        <v>33.9</v>
      </c>
      <c r="H155" s="43">
        <v>0.2</v>
      </c>
      <c r="I155" s="41" t="s">
        <v>63</v>
      </c>
      <c r="J155" s="16">
        <f t="shared" si="4"/>
        <v>27.12</v>
      </c>
      <c r="K155" s="16">
        <f>IF(Q155="",0,IF(SUMPRODUCT(('Returns &amp; Refunds'!$A$6:$A$11=C155)*('Returns &amp; Refunds'!$H$6:$H$11="Confirmed Good — Remove Charge"))&gt;0,0,Q155))</f>
        <v>27.12</v>
      </c>
      <c r="L155" s="16">
        <v>47.9</v>
      </c>
      <c r="M155" s="28">
        <v>38.299999999999997</v>
      </c>
      <c r="N155" s="29">
        <v>0.20039999999999999</v>
      </c>
      <c r="O155" s="44" t="s">
        <v>62</v>
      </c>
      <c r="P155" s="15"/>
      <c r="Q155" s="16">
        <f t="shared" si="5"/>
        <v>27.12</v>
      </c>
    </row>
    <row r="156" spans="1:17" ht="15" customHeight="1" x14ac:dyDescent="0.25">
      <c r="A156" s="15">
        <v>155</v>
      </c>
      <c r="B156" s="15" t="s">
        <v>744</v>
      </c>
      <c r="C156" s="15" t="s">
        <v>745</v>
      </c>
      <c r="D156" s="15" t="s">
        <v>746</v>
      </c>
      <c r="E156" s="15" t="s">
        <v>747</v>
      </c>
      <c r="F156" s="41">
        <v>1</v>
      </c>
      <c r="G156" s="42">
        <v>18.8</v>
      </c>
      <c r="H156" s="43">
        <v>0.05</v>
      </c>
      <c r="I156" s="41" t="s">
        <v>63</v>
      </c>
      <c r="J156" s="16">
        <f t="shared" si="4"/>
        <v>17.86</v>
      </c>
      <c r="K156" s="16">
        <f>IF(Q156="",0,IF(SUMPRODUCT(('Returns &amp; Refunds'!$A$6:$A$11=C156)*('Returns &amp; Refunds'!$H$6:$H$11="Confirmed Good — Remove Charge"))&gt;0,0,Q156))</f>
        <v>17.86</v>
      </c>
      <c r="L156" s="16">
        <v>24.9</v>
      </c>
      <c r="M156" s="28">
        <v>23.7</v>
      </c>
      <c r="N156" s="29">
        <v>4.82E-2</v>
      </c>
      <c r="O156" s="44" t="s">
        <v>62</v>
      </c>
      <c r="P156" s="15"/>
      <c r="Q156" s="16">
        <f t="shared" si="5"/>
        <v>17.86</v>
      </c>
    </row>
    <row r="157" spans="1:17" ht="15" customHeight="1" x14ac:dyDescent="0.25">
      <c r="A157" s="15">
        <v>156</v>
      </c>
      <c r="B157" s="15" t="s">
        <v>748</v>
      </c>
      <c r="C157" s="15" t="s">
        <v>749</v>
      </c>
      <c r="D157" s="15" t="s">
        <v>750</v>
      </c>
      <c r="E157" s="15" t="s">
        <v>751</v>
      </c>
      <c r="F157" s="41">
        <v>1</v>
      </c>
      <c r="G157" s="42">
        <v>13.8</v>
      </c>
      <c r="H157" s="43">
        <v>0.02</v>
      </c>
      <c r="I157" s="41" t="s">
        <v>63</v>
      </c>
      <c r="J157" s="16">
        <f t="shared" si="4"/>
        <v>13.524000000000001</v>
      </c>
      <c r="K157" s="16">
        <f>IF(Q157="",0,IF(SUMPRODUCT(('Returns &amp; Refunds'!$A$6:$A$11=C157)*('Returns &amp; Refunds'!$H$6:$H$11="Confirmed Good — Remove Charge"))&gt;0,0,Q157))</f>
        <v>13.524000000000001</v>
      </c>
      <c r="L157" s="16">
        <v>19.899999999999999</v>
      </c>
      <c r="M157" s="28">
        <v>19.5</v>
      </c>
      <c r="N157" s="29">
        <v>2.01E-2</v>
      </c>
      <c r="O157" s="44" t="s">
        <v>62</v>
      </c>
      <c r="P157" s="15"/>
      <c r="Q157" s="16">
        <f t="shared" si="5"/>
        <v>13.524000000000001</v>
      </c>
    </row>
    <row r="158" spans="1:17" ht="15" customHeight="1" x14ac:dyDescent="0.25">
      <c r="A158" s="15">
        <v>157</v>
      </c>
      <c r="B158" s="15" t="s">
        <v>752</v>
      </c>
      <c r="C158" s="15" t="s">
        <v>753</v>
      </c>
      <c r="D158" s="15" t="s">
        <v>754</v>
      </c>
      <c r="E158" s="15" t="s">
        <v>755</v>
      </c>
      <c r="F158" s="41">
        <v>1</v>
      </c>
      <c r="G158" s="42">
        <v>17.3</v>
      </c>
      <c r="H158" s="43">
        <v>0.3</v>
      </c>
      <c r="I158" s="41" t="s">
        <v>63</v>
      </c>
      <c r="J158" s="16">
        <f t="shared" si="4"/>
        <v>12.11</v>
      </c>
      <c r="K158" s="16">
        <f>IF(Q158="",0,IF(SUMPRODUCT(('Returns &amp; Refunds'!$A$6:$A$11=C158)*('Returns &amp; Refunds'!$H$6:$H$11="Confirmed Good — Remove Charge"))&gt;0,0,Q158))</f>
        <v>12.11</v>
      </c>
      <c r="L158" s="16">
        <v>24.9</v>
      </c>
      <c r="M158" s="28">
        <v>17.399999999999999</v>
      </c>
      <c r="N158" s="29">
        <v>0.30120000000000002</v>
      </c>
      <c r="O158" s="44" t="s">
        <v>62</v>
      </c>
      <c r="P158" s="15"/>
      <c r="Q158" s="16">
        <f t="shared" si="5"/>
        <v>12.11</v>
      </c>
    </row>
    <row r="159" spans="1:17" ht="15" customHeight="1" x14ac:dyDescent="0.25">
      <c r="A159" s="15">
        <v>158</v>
      </c>
      <c r="B159" s="15" t="s">
        <v>756</v>
      </c>
      <c r="C159" s="15" t="s">
        <v>757</v>
      </c>
      <c r="D159" s="15" t="s">
        <v>758</v>
      </c>
      <c r="E159" s="15" t="s">
        <v>233</v>
      </c>
      <c r="F159" s="41">
        <v>1</v>
      </c>
      <c r="G159" s="42">
        <v>10.7</v>
      </c>
      <c r="H159" s="43">
        <v>0.01</v>
      </c>
      <c r="I159" s="41" t="s">
        <v>63</v>
      </c>
      <c r="J159" s="16">
        <f t="shared" si="4"/>
        <v>10.593</v>
      </c>
      <c r="K159" s="16">
        <f>IF(Q159="",0,IF(SUMPRODUCT(('Returns &amp; Refunds'!$A$6:$A$11=C159)*('Returns &amp; Refunds'!$H$6:$H$11="Confirmed Good — Remove Charge"))&gt;0,0,Q159))</f>
        <v>10.593</v>
      </c>
      <c r="L159" s="16">
        <v>15</v>
      </c>
      <c r="M159" s="28">
        <v>14.9</v>
      </c>
      <c r="N159" s="29">
        <v>6.7000000000000002E-3</v>
      </c>
      <c r="O159" s="44" t="s">
        <v>62</v>
      </c>
      <c r="P159" s="15"/>
      <c r="Q159" s="16">
        <f t="shared" si="5"/>
        <v>10.593</v>
      </c>
    </row>
    <row r="160" spans="1:17" ht="15" customHeight="1" x14ac:dyDescent="0.25">
      <c r="A160" s="15">
        <v>159</v>
      </c>
      <c r="B160" s="15" t="s">
        <v>756</v>
      </c>
      <c r="C160" s="15" t="s">
        <v>757</v>
      </c>
      <c r="D160" s="15" t="s">
        <v>758</v>
      </c>
      <c r="E160" s="15" t="s">
        <v>469</v>
      </c>
      <c r="F160" s="41">
        <v>1</v>
      </c>
      <c r="G160" s="42">
        <v>13.5</v>
      </c>
      <c r="H160" s="43">
        <v>0.01</v>
      </c>
      <c r="I160" s="41" t="s">
        <v>63</v>
      </c>
      <c r="J160" s="16">
        <f t="shared" si="4"/>
        <v>13.365</v>
      </c>
      <c r="K160" s="16">
        <f>IF(Q160="",0,IF(SUMPRODUCT(('Returns &amp; Refunds'!$A$6:$A$11=C160)*('Returns &amp; Refunds'!$H$6:$H$11="Confirmed Good — Remove Charge"))&gt;0,0,Q160))</f>
        <v>13.365</v>
      </c>
      <c r="L160" s="16">
        <v>17.899999999999999</v>
      </c>
      <c r="M160" s="28">
        <v>17.7</v>
      </c>
      <c r="N160" s="29">
        <v>1.12E-2</v>
      </c>
      <c r="O160" s="44" t="s">
        <v>62</v>
      </c>
      <c r="P160" s="15"/>
      <c r="Q160" s="16">
        <f t="shared" si="5"/>
        <v>13.365</v>
      </c>
    </row>
    <row r="161" spans="1:17" ht="15" customHeight="1" x14ac:dyDescent="0.25">
      <c r="A161" s="15">
        <v>160</v>
      </c>
      <c r="B161" s="15" t="s">
        <v>759</v>
      </c>
      <c r="C161" s="15" t="s">
        <v>760</v>
      </c>
      <c r="D161" s="15" t="s">
        <v>761</v>
      </c>
      <c r="E161" s="15" t="s">
        <v>762</v>
      </c>
      <c r="F161" s="41">
        <v>1</v>
      </c>
      <c r="G161" s="42">
        <v>11.3</v>
      </c>
      <c r="H161" s="43">
        <v>0.01</v>
      </c>
      <c r="I161" s="41" t="s">
        <v>63</v>
      </c>
      <c r="J161" s="16">
        <f t="shared" si="4"/>
        <v>11.187000000000001</v>
      </c>
      <c r="K161" s="16">
        <f>IF(Q161="",0,IF(SUMPRODUCT(('Returns &amp; Refunds'!$A$6:$A$11=C161)*('Returns &amp; Refunds'!$H$6:$H$11="Confirmed Good — Remove Charge"))&gt;0,0,Q161))</f>
        <v>11.187000000000001</v>
      </c>
      <c r="L161" s="16">
        <v>15.9</v>
      </c>
      <c r="M161" s="28">
        <v>15.7</v>
      </c>
      <c r="N161" s="29">
        <v>1.26E-2</v>
      </c>
      <c r="O161" s="44" t="s">
        <v>62</v>
      </c>
      <c r="P161" s="15"/>
      <c r="Q161" s="16">
        <f t="shared" si="5"/>
        <v>11.187000000000001</v>
      </c>
    </row>
    <row r="162" spans="1:17" ht="15" customHeight="1" x14ac:dyDescent="0.25">
      <c r="A162" s="15">
        <v>161</v>
      </c>
      <c r="B162" s="15" t="s">
        <v>763</v>
      </c>
      <c r="C162" s="15" t="s">
        <v>764</v>
      </c>
      <c r="D162" s="15" t="s">
        <v>765</v>
      </c>
      <c r="E162" s="15" t="s">
        <v>766</v>
      </c>
      <c r="F162" s="41">
        <v>2</v>
      </c>
      <c r="G162" s="42">
        <v>10.6</v>
      </c>
      <c r="H162" s="43">
        <v>0.01</v>
      </c>
      <c r="I162" s="41" t="s">
        <v>63</v>
      </c>
      <c r="J162" s="16">
        <f t="shared" si="4"/>
        <v>10.494</v>
      </c>
      <c r="K162" s="16">
        <f>IF(Q162="",0,IF(SUMPRODUCT(('Returns &amp; Refunds'!$A$6:$A$11=C162)*('Returns &amp; Refunds'!$H$6:$H$11="Confirmed Good — Remove Charge"))&gt;0,0,Q162))</f>
        <v>20.988</v>
      </c>
      <c r="L162" s="16">
        <v>15</v>
      </c>
      <c r="M162" s="28">
        <v>14.9</v>
      </c>
      <c r="N162" s="29">
        <v>6.7000000000000002E-3</v>
      </c>
      <c r="O162" s="44" t="s">
        <v>62</v>
      </c>
      <c r="P162" s="15"/>
      <c r="Q162" s="16">
        <f t="shared" si="5"/>
        <v>20.988</v>
      </c>
    </row>
    <row r="163" spans="1:17" ht="15" customHeight="1" x14ac:dyDescent="0.25">
      <c r="A163" s="15">
        <v>162</v>
      </c>
      <c r="B163" s="15" t="s">
        <v>767</v>
      </c>
      <c r="C163" s="15" t="s">
        <v>768</v>
      </c>
      <c r="D163" s="15" t="s">
        <v>769</v>
      </c>
      <c r="E163" s="15" t="s">
        <v>399</v>
      </c>
      <c r="F163" s="41">
        <v>1</v>
      </c>
      <c r="G163" s="42">
        <v>13.1</v>
      </c>
      <c r="H163" s="43">
        <v>0.01</v>
      </c>
      <c r="I163" s="41" t="s">
        <v>63</v>
      </c>
      <c r="J163" s="16">
        <f t="shared" si="4"/>
        <v>12.968999999999999</v>
      </c>
      <c r="K163" s="16">
        <f>IF(Q163="",0,IF(SUMPRODUCT(('Returns &amp; Refunds'!$A$6:$A$11=C163)*('Returns &amp; Refunds'!$H$6:$H$11="Confirmed Good — Remove Charge"))&gt;0,0,Q163))</f>
        <v>12.968999999999999</v>
      </c>
      <c r="L163" s="16">
        <v>17.899999999999999</v>
      </c>
      <c r="M163" s="28">
        <v>17.71</v>
      </c>
      <c r="N163" s="29">
        <v>1.06E-2</v>
      </c>
      <c r="O163" s="44" t="s">
        <v>62</v>
      </c>
      <c r="P163" s="15"/>
      <c r="Q163" s="16">
        <f t="shared" si="5"/>
        <v>12.968999999999999</v>
      </c>
    </row>
    <row r="164" spans="1:17" ht="15" customHeight="1" x14ac:dyDescent="0.25">
      <c r="A164" s="15">
        <v>163</v>
      </c>
      <c r="B164" s="15" t="s">
        <v>770</v>
      </c>
      <c r="C164" s="15" t="s">
        <v>771</v>
      </c>
      <c r="D164" s="15" t="s">
        <v>772</v>
      </c>
      <c r="E164" s="15" t="s">
        <v>773</v>
      </c>
      <c r="F164" s="41">
        <v>1</v>
      </c>
      <c r="G164" s="42">
        <v>10.5</v>
      </c>
      <c r="H164" s="43">
        <v>0.01</v>
      </c>
      <c r="I164" s="41" t="s">
        <v>63</v>
      </c>
      <c r="J164" s="16">
        <f t="shared" si="4"/>
        <v>10.395</v>
      </c>
      <c r="K164" s="16">
        <f>IF(Q164="",0,IF(SUMPRODUCT(('Returns &amp; Refunds'!$A$6:$A$11=C164)*('Returns &amp; Refunds'!$H$6:$H$11="Confirmed Good — Remove Charge"))&gt;0,0,Q164))</f>
        <v>10.395</v>
      </c>
      <c r="L164" s="16">
        <v>15</v>
      </c>
      <c r="M164" s="28">
        <v>14.9</v>
      </c>
      <c r="N164" s="29">
        <v>6.7000000000000002E-3</v>
      </c>
      <c r="O164" s="44" t="s">
        <v>62</v>
      </c>
      <c r="P164" s="15"/>
      <c r="Q164" s="16">
        <f t="shared" si="5"/>
        <v>10.395</v>
      </c>
    </row>
    <row r="165" spans="1:17" ht="15" customHeight="1" x14ac:dyDescent="0.25">
      <c r="A165" s="15">
        <v>164</v>
      </c>
      <c r="B165" s="15" t="s">
        <v>774</v>
      </c>
      <c r="C165" s="15" t="s">
        <v>775</v>
      </c>
      <c r="D165" s="15" t="s">
        <v>776</v>
      </c>
      <c r="E165" s="15" t="s">
        <v>777</v>
      </c>
      <c r="F165" s="41">
        <v>1</v>
      </c>
      <c r="G165" s="42">
        <v>14.8</v>
      </c>
      <c r="H165" s="43">
        <v>0.01</v>
      </c>
      <c r="I165" s="41" t="s">
        <v>63</v>
      </c>
      <c r="J165" s="16">
        <f t="shared" si="4"/>
        <v>14.652000000000001</v>
      </c>
      <c r="K165" s="16">
        <f>IF(Q165="",0,IF(SUMPRODUCT(('Returns &amp; Refunds'!$A$6:$A$11=C165)*('Returns &amp; Refunds'!$H$6:$H$11="Confirmed Good — Remove Charge"))&gt;0,0,Q165))</f>
        <v>14.652000000000001</v>
      </c>
      <c r="L165" s="16">
        <v>20.9</v>
      </c>
      <c r="M165" s="28">
        <v>20.7</v>
      </c>
      <c r="N165" s="29">
        <v>9.5999999999999992E-3</v>
      </c>
      <c r="O165" s="44" t="s">
        <v>62</v>
      </c>
      <c r="P165" s="15"/>
      <c r="Q165" s="16">
        <f t="shared" si="5"/>
        <v>14.652000000000001</v>
      </c>
    </row>
    <row r="166" spans="1:17" ht="15" customHeight="1" x14ac:dyDescent="0.25">
      <c r="A166" s="15">
        <v>165</v>
      </c>
      <c r="B166" s="15" t="s">
        <v>778</v>
      </c>
      <c r="C166" s="15" t="s">
        <v>779</v>
      </c>
      <c r="D166" s="15" t="s">
        <v>780</v>
      </c>
      <c r="E166" s="15" t="s">
        <v>781</v>
      </c>
      <c r="F166" s="41">
        <v>1</v>
      </c>
      <c r="G166" s="42">
        <v>23.8</v>
      </c>
      <c r="H166" s="43">
        <v>0.1</v>
      </c>
      <c r="I166" s="41" t="s">
        <v>63</v>
      </c>
      <c r="J166" s="16">
        <f t="shared" si="4"/>
        <v>21.42</v>
      </c>
      <c r="K166" s="16">
        <f>IF(Q166="",0,IF(SUMPRODUCT(('Returns &amp; Refunds'!$A$6:$A$11=C166)*('Returns &amp; Refunds'!$H$6:$H$11="Confirmed Good — Remove Charge"))&gt;0,0,Q166))</f>
        <v>21.42</v>
      </c>
      <c r="L166" s="16">
        <v>34.9</v>
      </c>
      <c r="M166" s="28">
        <v>31.4</v>
      </c>
      <c r="N166" s="29">
        <v>0.1003</v>
      </c>
      <c r="O166" s="44" t="s">
        <v>62</v>
      </c>
      <c r="P166" s="15"/>
      <c r="Q166" s="16">
        <f t="shared" si="5"/>
        <v>21.42</v>
      </c>
    </row>
    <row r="167" spans="1:17" ht="15" customHeight="1" x14ac:dyDescent="0.25">
      <c r="A167" s="15">
        <v>166</v>
      </c>
      <c r="B167" s="15" t="s">
        <v>782</v>
      </c>
      <c r="C167" s="15" t="s">
        <v>783</v>
      </c>
      <c r="D167" s="15" t="s">
        <v>784</v>
      </c>
      <c r="E167" s="15" t="s">
        <v>785</v>
      </c>
      <c r="F167" s="41">
        <v>1</v>
      </c>
      <c r="G167" s="42">
        <v>27.1</v>
      </c>
      <c r="H167" s="43">
        <v>0.05</v>
      </c>
      <c r="I167" s="41" t="s">
        <v>63</v>
      </c>
      <c r="J167" s="16">
        <f t="shared" si="4"/>
        <v>25.745000000000001</v>
      </c>
      <c r="K167" s="16">
        <f>IF(Q167="",0,IF(SUMPRODUCT(('Returns &amp; Refunds'!$A$6:$A$11=C167)*('Returns &amp; Refunds'!$H$6:$H$11="Confirmed Good — Remove Charge"))&gt;0,0,Q167))</f>
        <v>25.745000000000001</v>
      </c>
      <c r="L167" s="16">
        <v>35.9</v>
      </c>
      <c r="M167" s="28">
        <v>34.1</v>
      </c>
      <c r="N167" s="29">
        <v>5.0099999999999999E-2</v>
      </c>
      <c r="O167" s="44" t="s">
        <v>62</v>
      </c>
      <c r="P167" s="15"/>
      <c r="Q167" s="16">
        <f t="shared" si="5"/>
        <v>25.745000000000001</v>
      </c>
    </row>
    <row r="168" spans="1:17" ht="15" customHeight="1" x14ac:dyDescent="0.25">
      <c r="A168" s="15">
        <v>167</v>
      </c>
      <c r="B168" s="15" t="s">
        <v>786</v>
      </c>
      <c r="C168" s="15" t="s">
        <v>787</v>
      </c>
      <c r="D168" s="15" t="s">
        <v>788</v>
      </c>
      <c r="E168" s="15" t="s">
        <v>320</v>
      </c>
      <c r="F168" s="41">
        <v>1</v>
      </c>
      <c r="G168" s="42">
        <v>10.5</v>
      </c>
      <c r="H168" s="43">
        <v>0.01</v>
      </c>
      <c r="I168" s="41" t="s">
        <v>63</v>
      </c>
      <c r="J168" s="16">
        <f t="shared" si="4"/>
        <v>10.395</v>
      </c>
      <c r="K168" s="16">
        <f>IF(Q168="",0,IF(SUMPRODUCT(('Returns &amp; Refunds'!$A$6:$A$11=C168)*('Returns &amp; Refunds'!$H$6:$H$11="Confirmed Good — Remove Charge"))&gt;0,0,Q168))</f>
        <v>10.395</v>
      </c>
      <c r="L168" s="16">
        <v>15</v>
      </c>
      <c r="M168" s="28">
        <v>14.9</v>
      </c>
      <c r="N168" s="29">
        <v>6.7000000000000002E-3</v>
      </c>
      <c r="O168" s="44" t="s">
        <v>62</v>
      </c>
      <c r="P168" s="15"/>
      <c r="Q168" s="16">
        <f t="shared" si="5"/>
        <v>10.395</v>
      </c>
    </row>
    <row r="169" spans="1:17" ht="15" customHeight="1" x14ac:dyDescent="0.25">
      <c r="A169" s="15">
        <v>168</v>
      </c>
      <c r="B169" s="15" t="s">
        <v>789</v>
      </c>
      <c r="C169" s="15" t="s">
        <v>790</v>
      </c>
      <c r="D169" s="15" t="s">
        <v>791</v>
      </c>
      <c r="E169" s="15" t="s">
        <v>792</v>
      </c>
      <c r="F169" s="41">
        <v>1</v>
      </c>
      <c r="G169" s="42">
        <v>13.6</v>
      </c>
      <c r="H169" s="43">
        <v>0.2</v>
      </c>
      <c r="I169" s="41" t="s">
        <v>63</v>
      </c>
      <c r="J169" s="16">
        <f t="shared" si="4"/>
        <v>10.88</v>
      </c>
      <c r="K169" s="16">
        <f>IF(Q169="",0,IF(SUMPRODUCT(('Returns &amp; Refunds'!$A$6:$A$11=C169)*('Returns &amp; Refunds'!$H$6:$H$11="Confirmed Good — Remove Charge"))&gt;0,0,Q169))</f>
        <v>10.88</v>
      </c>
      <c r="L169" s="16">
        <v>19.899999999999999</v>
      </c>
      <c r="M169" s="28">
        <v>15.9</v>
      </c>
      <c r="N169" s="29">
        <v>0.20100000000000001</v>
      </c>
      <c r="O169" s="44" t="s">
        <v>62</v>
      </c>
      <c r="P169" s="15"/>
      <c r="Q169" s="16">
        <f t="shared" si="5"/>
        <v>10.88</v>
      </c>
    </row>
    <row r="170" spans="1:17" ht="15" customHeight="1" x14ac:dyDescent="0.25">
      <c r="A170" s="15">
        <v>169</v>
      </c>
      <c r="B170" s="15" t="s">
        <v>793</v>
      </c>
      <c r="C170" s="15" t="s">
        <v>794</v>
      </c>
      <c r="D170" s="15" t="s">
        <v>795</v>
      </c>
      <c r="E170" s="15" t="s">
        <v>186</v>
      </c>
      <c r="F170" s="41">
        <v>1</v>
      </c>
      <c r="G170" s="42">
        <v>12.4</v>
      </c>
      <c r="H170" s="43">
        <v>0.01</v>
      </c>
      <c r="I170" s="41" t="s">
        <v>63</v>
      </c>
      <c r="J170" s="16">
        <f t="shared" si="4"/>
        <v>12.276</v>
      </c>
      <c r="K170" s="16">
        <f>IF(Q170="",0,IF(SUMPRODUCT(('Returns &amp; Refunds'!$A$6:$A$11=C170)*('Returns &amp; Refunds'!$H$6:$H$11="Confirmed Good — Remove Charge"))&gt;0,0,Q170))</f>
        <v>12.276</v>
      </c>
      <c r="L170" s="16">
        <v>17.899999999999999</v>
      </c>
      <c r="M170" s="28">
        <v>17.7</v>
      </c>
      <c r="N170" s="29">
        <v>1.12E-2</v>
      </c>
      <c r="O170" s="44" t="s">
        <v>62</v>
      </c>
      <c r="P170" s="15"/>
      <c r="Q170" s="16">
        <f t="shared" si="5"/>
        <v>12.276</v>
      </c>
    </row>
    <row r="171" spans="1:17" ht="15" customHeight="1" x14ac:dyDescent="0.25">
      <c r="A171" s="15">
        <v>170</v>
      </c>
      <c r="B171" s="15" t="s">
        <v>796</v>
      </c>
      <c r="C171" s="15" t="s">
        <v>797</v>
      </c>
      <c r="D171" s="15" t="s">
        <v>798</v>
      </c>
      <c r="E171" s="15" t="s">
        <v>233</v>
      </c>
      <c r="F171" s="41">
        <v>1</v>
      </c>
      <c r="G171" s="42">
        <v>10.7</v>
      </c>
      <c r="H171" s="43">
        <v>0.01</v>
      </c>
      <c r="I171" s="41" t="s">
        <v>63</v>
      </c>
      <c r="J171" s="16">
        <f t="shared" si="4"/>
        <v>10.593</v>
      </c>
      <c r="K171" s="16">
        <f>IF(Q171="",0,IF(SUMPRODUCT(('Returns &amp; Refunds'!$A$6:$A$11=C171)*('Returns &amp; Refunds'!$H$6:$H$11="Confirmed Good — Remove Charge"))&gt;0,0,Q171))</f>
        <v>10.593</v>
      </c>
      <c r="L171" s="16">
        <v>15</v>
      </c>
      <c r="M171" s="28">
        <v>14.9</v>
      </c>
      <c r="N171" s="29">
        <v>6.7000000000000002E-3</v>
      </c>
      <c r="O171" s="44" t="s">
        <v>62</v>
      </c>
      <c r="P171" s="15"/>
      <c r="Q171" s="16">
        <f t="shared" si="5"/>
        <v>10.593</v>
      </c>
    </row>
    <row r="172" spans="1:17" ht="15" customHeight="1" x14ac:dyDescent="0.25">
      <c r="A172" s="15">
        <v>171</v>
      </c>
      <c r="B172" s="15" t="s">
        <v>96</v>
      </c>
      <c r="C172" s="15" t="s">
        <v>97</v>
      </c>
      <c r="D172" s="15" t="s">
        <v>799</v>
      </c>
      <c r="E172" s="15" t="s">
        <v>98</v>
      </c>
      <c r="F172" s="41">
        <v>1</v>
      </c>
      <c r="G172" s="42">
        <v>17.100000000000001</v>
      </c>
      <c r="H172" s="43">
        <v>0.05</v>
      </c>
      <c r="I172" s="41" t="s">
        <v>63</v>
      </c>
      <c r="J172" s="16">
        <f t="shared" si="4"/>
        <v>16.245000000000001</v>
      </c>
      <c r="K172" s="16">
        <f>IF(Q172="",0,IF(SUMPRODUCT(('Returns &amp; Refunds'!$A$6:$A$11=C172)*('Returns &amp; Refunds'!$H$6:$H$11="Confirmed Good — Remove Charge"))&gt;0,0,Q172))</f>
        <v>16.245000000000001</v>
      </c>
      <c r="L172" s="16">
        <v>21.9</v>
      </c>
      <c r="M172" s="28">
        <v>20.8</v>
      </c>
      <c r="N172" s="29">
        <v>5.0200000000000002E-2</v>
      </c>
      <c r="O172" s="44" t="s">
        <v>62</v>
      </c>
      <c r="P172" s="15"/>
      <c r="Q172" s="16">
        <f t="shared" si="5"/>
        <v>16.245000000000001</v>
      </c>
    </row>
    <row r="173" spans="1:17" ht="15" customHeight="1" x14ac:dyDescent="0.25">
      <c r="A173" s="15">
        <v>172</v>
      </c>
      <c r="B173" s="15" t="s">
        <v>800</v>
      </c>
      <c r="C173" s="15" t="s">
        <v>801</v>
      </c>
      <c r="D173" s="15" t="s">
        <v>802</v>
      </c>
      <c r="E173" s="15" t="s">
        <v>803</v>
      </c>
      <c r="F173" s="41">
        <v>1</v>
      </c>
      <c r="G173" s="42">
        <v>39.5</v>
      </c>
      <c r="H173" s="43">
        <v>0.03</v>
      </c>
      <c r="I173" s="41" t="s">
        <v>69</v>
      </c>
      <c r="J173" s="16">
        <f t="shared" si="4"/>
        <v>39.5</v>
      </c>
      <c r="K173" s="16">
        <f>IF(Q173="",0,IF(SUMPRODUCT(('Returns &amp; Refunds'!$A$6:$A$11=C173)*('Returns &amp; Refunds'!$H$6:$H$11="Confirmed Good — Remove Charge"))&gt;0,0,Q173))</f>
        <v>39.5</v>
      </c>
      <c r="L173" s="16">
        <v>59.9</v>
      </c>
      <c r="M173" s="28">
        <v>59.9</v>
      </c>
      <c r="N173" s="29">
        <v>0</v>
      </c>
      <c r="O173" s="45" t="s">
        <v>68</v>
      </c>
      <c r="P173" s="15"/>
      <c r="Q173" s="16">
        <f t="shared" si="5"/>
        <v>39.5</v>
      </c>
    </row>
    <row r="174" spans="1:17" ht="15" customHeight="1" x14ac:dyDescent="0.25">
      <c r="A174" s="15">
        <v>173</v>
      </c>
      <c r="B174" s="15" t="s">
        <v>804</v>
      </c>
      <c r="C174" s="15" t="s">
        <v>805</v>
      </c>
      <c r="D174" s="15" t="s">
        <v>806</v>
      </c>
      <c r="E174" s="15" t="s">
        <v>429</v>
      </c>
      <c r="F174" s="41">
        <v>1</v>
      </c>
      <c r="G174" s="42">
        <v>13.5</v>
      </c>
      <c r="H174" s="43">
        <v>0.01</v>
      </c>
      <c r="I174" s="41" t="s">
        <v>63</v>
      </c>
      <c r="J174" s="16">
        <f t="shared" si="4"/>
        <v>13.365</v>
      </c>
      <c r="K174" s="16">
        <f>IF(Q174="",0,IF(SUMPRODUCT(('Returns &amp; Refunds'!$A$6:$A$11=C174)*('Returns &amp; Refunds'!$H$6:$H$11="Confirmed Good — Remove Charge"))&gt;0,0,Q174))</f>
        <v>13.365</v>
      </c>
      <c r="L174" s="16">
        <v>17.899999999999999</v>
      </c>
      <c r="M174" s="28">
        <v>17.7</v>
      </c>
      <c r="N174" s="29">
        <v>1.12E-2</v>
      </c>
      <c r="O174" s="44" t="s">
        <v>62</v>
      </c>
      <c r="P174" s="15"/>
      <c r="Q174" s="16">
        <f t="shared" si="5"/>
        <v>13.365</v>
      </c>
    </row>
    <row r="175" spans="1:17" ht="15" customHeight="1" x14ac:dyDescent="0.25">
      <c r="A175" s="15">
        <v>174</v>
      </c>
      <c r="B175" s="15" t="s">
        <v>807</v>
      </c>
      <c r="C175" s="15" t="s">
        <v>808</v>
      </c>
      <c r="D175" s="15" t="s">
        <v>809</v>
      </c>
      <c r="E175" s="15" t="s">
        <v>810</v>
      </c>
      <c r="F175" s="41">
        <v>1</v>
      </c>
      <c r="G175" s="42">
        <v>33.700000000000003</v>
      </c>
      <c r="H175" s="43">
        <v>0.03</v>
      </c>
      <c r="I175" s="41" t="s">
        <v>69</v>
      </c>
      <c r="J175" s="16">
        <f t="shared" si="4"/>
        <v>33.700000000000003</v>
      </c>
      <c r="K175" s="16">
        <f>IF(Q175="",0,IF(SUMPRODUCT(('Returns &amp; Refunds'!$A$6:$A$11=C175)*('Returns &amp; Refunds'!$H$6:$H$11="Confirmed Good — Remove Charge"))&gt;0,0,Q175))</f>
        <v>0</v>
      </c>
      <c r="L175" s="16">
        <v>47.9</v>
      </c>
      <c r="M175" s="28">
        <v>47.9</v>
      </c>
      <c r="N175" s="29">
        <v>0</v>
      </c>
      <c r="O175" s="45" t="s">
        <v>68</v>
      </c>
      <c r="P175" s="15"/>
      <c r="Q175" s="16">
        <f t="shared" si="5"/>
        <v>33.700000000000003</v>
      </c>
    </row>
    <row r="176" spans="1:17" ht="15" customHeight="1" x14ac:dyDescent="0.25">
      <c r="A176" s="15">
        <v>175</v>
      </c>
      <c r="B176" s="15" t="s">
        <v>811</v>
      </c>
      <c r="C176" s="15" t="s">
        <v>812</v>
      </c>
      <c r="D176" s="15" t="s">
        <v>813</v>
      </c>
      <c r="E176" s="15" t="s">
        <v>361</v>
      </c>
      <c r="F176" s="41">
        <v>1</v>
      </c>
      <c r="G176" s="42">
        <v>13.1</v>
      </c>
      <c r="H176" s="43">
        <v>0.01</v>
      </c>
      <c r="I176" s="41" t="s">
        <v>63</v>
      </c>
      <c r="J176" s="16">
        <f t="shared" si="4"/>
        <v>12.968999999999999</v>
      </c>
      <c r="K176" s="16">
        <f>IF(Q176="",0,IF(SUMPRODUCT(('Returns &amp; Refunds'!$A$6:$A$11=C176)*('Returns &amp; Refunds'!$H$6:$H$11="Confirmed Good — Remove Charge"))&gt;0,0,Q176))</f>
        <v>12.968999999999999</v>
      </c>
      <c r="L176" s="16">
        <v>17.899999999999999</v>
      </c>
      <c r="M176" s="28">
        <v>17.7</v>
      </c>
      <c r="N176" s="29">
        <v>1.12E-2</v>
      </c>
      <c r="O176" s="44" t="s">
        <v>62</v>
      </c>
      <c r="P176" s="15"/>
      <c r="Q176" s="16">
        <f t="shared" si="5"/>
        <v>12.968999999999999</v>
      </c>
    </row>
    <row r="177" spans="1:17" ht="15" customHeight="1" x14ac:dyDescent="0.25">
      <c r="A177" s="15">
        <v>176</v>
      </c>
      <c r="B177" s="15" t="s">
        <v>814</v>
      </c>
      <c r="C177" s="15" t="s">
        <v>815</v>
      </c>
      <c r="D177" s="15" t="s">
        <v>816</v>
      </c>
      <c r="E177" s="15" t="s">
        <v>817</v>
      </c>
      <c r="F177" s="41">
        <v>2</v>
      </c>
      <c r="G177" s="42">
        <v>24.1</v>
      </c>
      <c r="H177" s="43">
        <v>0.03</v>
      </c>
      <c r="I177" s="41" t="s">
        <v>69</v>
      </c>
      <c r="J177" s="16">
        <f t="shared" si="4"/>
        <v>24.1</v>
      </c>
      <c r="K177" s="16">
        <f>IF(Q177="",0,IF(SUMPRODUCT(('Returns &amp; Refunds'!$A$6:$A$11=C177)*('Returns &amp; Refunds'!$H$6:$H$11="Confirmed Good — Remove Charge"))&gt;0,0,Q177))</f>
        <v>48.2</v>
      </c>
      <c r="L177" s="16">
        <v>34.9</v>
      </c>
      <c r="M177" s="28">
        <v>34.9</v>
      </c>
      <c r="N177" s="29">
        <v>0</v>
      </c>
      <c r="O177" s="45" t="s">
        <v>68</v>
      </c>
      <c r="P177" s="15"/>
      <c r="Q177" s="16">
        <f t="shared" si="5"/>
        <v>48.2</v>
      </c>
    </row>
    <row r="178" spans="1:17" ht="15" customHeight="1" x14ac:dyDescent="0.25">
      <c r="A178" s="15">
        <v>177</v>
      </c>
      <c r="B178" s="15" t="s">
        <v>818</v>
      </c>
      <c r="C178" s="15" t="s">
        <v>819</v>
      </c>
      <c r="D178" s="15" t="s">
        <v>820</v>
      </c>
      <c r="E178" s="15" t="s">
        <v>469</v>
      </c>
      <c r="F178" s="41">
        <v>1</v>
      </c>
      <c r="G178" s="42">
        <v>13.5</v>
      </c>
      <c r="H178" s="43">
        <v>0.01</v>
      </c>
      <c r="I178" s="41" t="s">
        <v>63</v>
      </c>
      <c r="J178" s="16">
        <f t="shared" si="4"/>
        <v>13.365</v>
      </c>
      <c r="K178" s="16">
        <f>IF(Q178="",0,IF(SUMPRODUCT(('Returns &amp; Refunds'!$A$6:$A$11=C178)*('Returns &amp; Refunds'!$H$6:$H$11="Confirmed Good — Remove Charge"))&gt;0,0,Q178))</f>
        <v>13.365</v>
      </c>
      <c r="L178" s="16">
        <v>17.899999999999999</v>
      </c>
      <c r="M178" s="28">
        <v>17.7</v>
      </c>
      <c r="N178" s="29">
        <v>1.12E-2</v>
      </c>
      <c r="O178" s="44" t="s">
        <v>62</v>
      </c>
      <c r="P178" s="15"/>
      <c r="Q178" s="16">
        <f t="shared" si="5"/>
        <v>13.365</v>
      </c>
    </row>
    <row r="179" spans="1:17" ht="15" customHeight="1" x14ac:dyDescent="0.25">
      <c r="A179" s="15">
        <v>178</v>
      </c>
      <c r="B179" s="15" t="s">
        <v>821</v>
      </c>
      <c r="C179" s="15" t="s">
        <v>822</v>
      </c>
      <c r="D179" s="15" t="s">
        <v>823</v>
      </c>
      <c r="E179" s="15" t="s">
        <v>824</v>
      </c>
      <c r="F179" s="41">
        <v>1</v>
      </c>
      <c r="G179" s="42">
        <v>10.8</v>
      </c>
      <c r="H179" s="43">
        <v>0.06</v>
      </c>
      <c r="I179" s="41" t="s">
        <v>63</v>
      </c>
      <c r="J179" s="16">
        <f t="shared" si="4"/>
        <v>10.151999999999999</v>
      </c>
      <c r="K179" s="16">
        <f>IF(Q179="",0,IF(SUMPRODUCT(('Returns &amp; Refunds'!$A$6:$A$11=C179)*('Returns &amp; Refunds'!$H$6:$H$11="Confirmed Good — Remove Charge"))&gt;0,0,Q179))</f>
        <v>10.151999999999999</v>
      </c>
      <c r="L179" s="16">
        <v>15.9</v>
      </c>
      <c r="M179" s="28">
        <v>14.9</v>
      </c>
      <c r="N179" s="29">
        <v>6.2899999999999998E-2</v>
      </c>
      <c r="O179" s="44" t="s">
        <v>62</v>
      </c>
      <c r="P179" s="15"/>
      <c r="Q179" s="16">
        <f t="shared" si="5"/>
        <v>10.151999999999999</v>
      </c>
    </row>
    <row r="180" spans="1:17" ht="15" customHeight="1" x14ac:dyDescent="0.25">
      <c r="A180" s="15">
        <v>179</v>
      </c>
      <c r="B180" s="15" t="s">
        <v>825</v>
      </c>
      <c r="C180" s="15" t="s">
        <v>826</v>
      </c>
      <c r="D180" s="15" t="s">
        <v>827</v>
      </c>
      <c r="E180" s="15" t="s">
        <v>828</v>
      </c>
      <c r="F180" s="41">
        <v>1</v>
      </c>
      <c r="G180" s="42">
        <v>15.6</v>
      </c>
      <c r="H180" s="43">
        <v>0.1</v>
      </c>
      <c r="I180" s="41" t="s">
        <v>63</v>
      </c>
      <c r="J180" s="16">
        <f t="shared" si="4"/>
        <v>14.04</v>
      </c>
      <c r="K180" s="16">
        <f>IF(Q180="",0,IF(SUMPRODUCT(('Returns &amp; Refunds'!$A$6:$A$11=C180)*('Returns &amp; Refunds'!$H$6:$H$11="Confirmed Good — Remove Charge"))&gt;0,0,Q180))</f>
        <v>14.04</v>
      </c>
      <c r="L180" s="16">
        <v>24.9</v>
      </c>
      <c r="M180" s="28">
        <v>22.4</v>
      </c>
      <c r="N180" s="29">
        <v>0.1004</v>
      </c>
      <c r="O180" s="44" t="s">
        <v>62</v>
      </c>
      <c r="P180" s="15"/>
      <c r="Q180" s="16">
        <f t="shared" si="5"/>
        <v>14.04</v>
      </c>
    </row>
    <row r="181" spans="1:17" ht="15" customHeight="1" x14ac:dyDescent="0.25">
      <c r="A181" s="15">
        <v>180</v>
      </c>
      <c r="B181" s="15" t="s">
        <v>248</v>
      </c>
      <c r="C181" s="15" t="s">
        <v>249</v>
      </c>
      <c r="D181" s="15" t="s">
        <v>829</v>
      </c>
      <c r="E181" s="15" t="s">
        <v>250</v>
      </c>
      <c r="F181" s="41">
        <v>1</v>
      </c>
      <c r="G181" s="42">
        <v>6.1</v>
      </c>
      <c r="H181" s="43">
        <v>0.05</v>
      </c>
      <c r="I181" s="46" t="str">
        <f>IF('Pending DSP Entry'!L102="Charge Full DSP Instead","No","Yes")</f>
        <v>Yes</v>
      </c>
      <c r="J181" s="16">
        <f t="shared" si="4"/>
        <v>5.794999999999999</v>
      </c>
      <c r="K181" s="16">
        <f>IF(Q181="",0,IF(SUMPRODUCT(('Returns &amp; Refunds'!$A$6:$A$11=C181)*('Returns &amp; Refunds'!$H$6:$H$11="Confirmed Good — Remove Charge"))&gt;0,0,Q181))</f>
        <v>5.794999999999999</v>
      </c>
      <c r="L181" s="16">
        <v>8.9</v>
      </c>
      <c r="M181" s="28">
        <v>8.5</v>
      </c>
      <c r="N181" s="29">
        <v>4.4900000000000002E-2</v>
      </c>
      <c r="O181" s="38" t="s">
        <v>129</v>
      </c>
      <c r="P181" s="47" t="str">
        <f>"Wrong rate set by reseller — decision at Pending DSP Entry section D, row 102"</f>
        <v>Wrong rate set by reseller — decision at Pending DSP Entry section D, row 102</v>
      </c>
      <c r="Q181" s="16">
        <f t="shared" si="5"/>
        <v>5.794999999999999</v>
      </c>
    </row>
    <row r="182" spans="1:17" ht="15" customHeight="1" x14ac:dyDescent="0.25">
      <c r="A182" s="15">
        <v>181</v>
      </c>
      <c r="B182" s="15" t="s">
        <v>830</v>
      </c>
      <c r="C182" s="15" t="s">
        <v>831</v>
      </c>
      <c r="D182" s="15" t="s">
        <v>832</v>
      </c>
      <c r="E182" s="15" t="s">
        <v>833</v>
      </c>
      <c r="F182" s="41">
        <v>1</v>
      </c>
      <c r="G182" s="42">
        <v>43.7</v>
      </c>
      <c r="H182" s="43">
        <v>0.2</v>
      </c>
      <c r="I182" s="41" t="s">
        <v>63</v>
      </c>
      <c r="J182" s="16">
        <f t="shared" si="4"/>
        <v>34.96</v>
      </c>
      <c r="K182" s="16">
        <f>IF(Q182="",0,IF(SUMPRODUCT(('Returns &amp; Refunds'!$A$6:$A$11=C182)*('Returns &amp; Refunds'!$H$6:$H$11="Confirmed Good — Remove Charge"))&gt;0,0,Q182))</f>
        <v>34.96</v>
      </c>
      <c r="L182" s="16">
        <v>59.9</v>
      </c>
      <c r="M182" s="28">
        <v>47.9</v>
      </c>
      <c r="N182" s="29">
        <v>0.20030000000000001</v>
      </c>
      <c r="O182" s="44" t="s">
        <v>62</v>
      </c>
      <c r="P182" s="15"/>
      <c r="Q182" s="16">
        <f t="shared" si="5"/>
        <v>34.96</v>
      </c>
    </row>
    <row r="183" spans="1:17" ht="15" customHeight="1" x14ac:dyDescent="0.25">
      <c r="A183" s="15">
        <v>182</v>
      </c>
      <c r="B183" s="15" t="s">
        <v>830</v>
      </c>
      <c r="C183" s="15" t="s">
        <v>831</v>
      </c>
      <c r="D183" s="15" t="s">
        <v>832</v>
      </c>
      <c r="E183" s="15" t="s">
        <v>834</v>
      </c>
      <c r="F183" s="41">
        <v>1</v>
      </c>
      <c r="G183" s="42">
        <v>17.5</v>
      </c>
      <c r="H183" s="43">
        <v>0.1</v>
      </c>
      <c r="I183" s="41" t="s">
        <v>69</v>
      </c>
      <c r="J183" s="16">
        <f t="shared" si="4"/>
        <v>17.5</v>
      </c>
      <c r="K183" s="16">
        <f>IF(Q183="",0,IF(SUMPRODUCT(('Returns &amp; Refunds'!$A$6:$A$11=C183)*('Returns &amp; Refunds'!$H$6:$H$11="Confirmed Good — Remove Charge"))&gt;0,0,Q183))</f>
        <v>17.5</v>
      </c>
      <c r="L183" s="16">
        <v>24.9</v>
      </c>
      <c r="M183" s="28">
        <v>24.9</v>
      </c>
      <c r="N183" s="29">
        <v>0</v>
      </c>
      <c r="O183" s="45" t="s">
        <v>68</v>
      </c>
      <c r="P183" s="15"/>
      <c r="Q183" s="16">
        <f t="shared" si="5"/>
        <v>17.5</v>
      </c>
    </row>
    <row r="184" spans="1:17" ht="15" customHeight="1" x14ac:dyDescent="0.25">
      <c r="A184" s="15">
        <v>183</v>
      </c>
      <c r="B184" s="15" t="s">
        <v>835</v>
      </c>
      <c r="C184" s="15" t="s">
        <v>836</v>
      </c>
      <c r="D184" s="15" t="s">
        <v>837</v>
      </c>
      <c r="E184" s="15" t="s">
        <v>838</v>
      </c>
      <c r="F184" s="41">
        <v>1</v>
      </c>
      <c r="G184" s="42">
        <v>14.3</v>
      </c>
      <c r="H184" s="43">
        <v>0.03</v>
      </c>
      <c r="I184" s="41" t="s">
        <v>63</v>
      </c>
      <c r="J184" s="16">
        <f t="shared" si="4"/>
        <v>13.871</v>
      </c>
      <c r="K184" s="16">
        <f>IF(Q184="",0,IF(SUMPRODUCT(('Returns &amp; Refunds'!$A$6:$A$11=C184)*('Returns &amp; Refunds'!$H$6:$H$11="Confirmed Good — Remove Charge"))&gt;0,0,Q184))</f>
        <v>13.871</v>
      </c>
      <c r="L184" s="16">
        <v>19.899999999999999</v>
      </c>
      <c r="M184" s="28">
        <v>19.3</v>
      </c>
      <c r="N184" s="29">
        <v>3.0200000000000001E-2</v>
      </c>
      <c r="O184" s="44" t="s">
        <v>62</v>
      </c>
      <c r="P184" s="15"/>
      <c r="Q184" s="16">
        <f t="shared" si="5"/>
        <v>13.871</v>
      </c>
    </row>
    <row r="185" spans="1:17" ht="15" customHeight="1" x14ac:dyDescent="0.25">
      <c r="A185" s="15">
        <v>184</v>
      </c>
      <c r="B185" s="15" t="s">
        <v>839</v>
      </c>
      <c r="C185" s="15" t="s">
        <v>840</v>
      </c>
      <c r="D185" s="15" t="s">
        <v>841</v>
      </c>
      <c r="E185" s="15" t="s">
        <v>842</v>
      </c>
      <c r="F185" s="41">
        <v>1</v>
      </c>
      <c r="G185" s="42">
        <v>6.1</v>
      </c>
      <c r="H185" s="43">
        <v>0.05</v>
      </c>
      <c r="I185" s="41" t="s">
        <v>63</v>
      </c>
      <c r="J185" s="16">
        <f t="shared" si="4"/>
        <v>5.794999999999999</v>
      </c>
      <c r="K185" s="16">
        <f>IF(Q185="",0,IF(SUMPRODUCT(('Returns &amp; Refunds'!$A$6:$A$11=C185)*('Returns &amp; Refunds'!$H$6:$H$11="Confirmed Good — Remove Charge"))&gt;0,0,Q185))</f>
        <v>5.794999999999999</v>
      </c>
      <c r="L185" s="16">
        <v>8.5</v>
      </c>
      <c r="M185" s="28">
        <v>8.1</v>
      </c>
      <c r="N185" s="29">
        <v>4.7100000000000003E-2</v>
      </c>
      <c r="O185" s="44" t="s">
        <v>62</v>
      </c>
      <c r="P185" s="15"/>
      <c r="Q185" s="16">
        <f t="shared" si="5"/>
        <v>5.794999999999999</v>
      </c>
    </row>
    <row r="186" spans="1:17" ht="15" customHeight="1" x14ac:dyDescent="0.25">
      <c r="A186" s="15">
        <v>185</v>
      </c>
      <c r="B186" s="15" t="s">
        <v>839</v>
      </c>
      <c r="C186" s="15" t="s">
        <v>840</v>
      </c>
      <c r="D186" s="15" t="s">
        <v>841</v>
      </c>
      <c r="E186" s="15" t="s">
        <v>179</v>
      </c>
      <c r="F186" s="41">
        <v>1</v>
      </c>
      <c r="G186" s="42">
        <v>11.3</v>
      </c>
      <c r="H186" s="43">
        <v>0.01</v>
      </c>
      <c r="I186" s="41" t="s">
        <v>63</v>
      </c>
      <c r="J186" s="16">
        <f t="shared" si="4"/>
        <v>11.187000000000001</v>
      </c>
      <c r="K186" s="16">
        <f>IF(Q186="",0,IF(SUMPRODUCT(('Returns &amp; Refunds'!$A$6:$A$11=C186)*('Returns &amp; Refunds'!$H$6:$H$11="Confirmed Good — Remove Charge"))&gt;0,0,Q186))</f>
        <v>11.187000000000001</v>
      </c>
      <c r="L186" s="16">
        <v>15.9</v>
      </c>
      <c r="M186" s="28">
        <v>15.7</v>
      </c>
      <c r="N186" s="29">
        <v>1.26E-2</v>
      </c>
      <c r="O186" s="44" t="s">
        <v>62</v>
      </c>
      <c r="P186" s="15"/>
      <c r="Q186" s="16">
        <f t="shared" si="5"/>
        <v>11.187000000000001</v>
      </c>
    </row>
    <row r="187" spans="1:17" ht="15" customHeight="1" x14ac:dyDescent="0.25">
      <c r="A187" s="15">
        <v>186</v>
      </c>
      <c r="B187" s="15" t="s">
        <v>843</v>
      </c>
      <c r="C187" s="15" t="s">
        <v>844</v>
      </c>
      <c r="D187" s="15" t="s">
        <v>845</v>
      </c>
      <c r="E187" s="15" t="s">
        <v>490</v>
      </c>
      <c r="F187" s="41">
        <v>1</v>
      </c>
      <c r="G187" s="42">
        <v>50.3</v>
      </c>
      <c r="H187" s="43">
        <v>0.02</v>
      </c>
      <c r="I187" s="41" t="s">
        <v>69</v>
      </c>
      <c r="J187" s="16">
        <f t="shared" si="4"/>
        <v>50.3</v>
      </c>
      <c r="K187" s="16">
        <f>IF(Q187="",0,IF(SUMPRODUCT(('Returns &amp; Refunds'!$A$6:$A$11=C187)*('Returns &amp; Refunds'!$H$6:$H$11="Confirmed Good — Remove Charge"))&gt;0,0,Q187))</f>
        <v>50.3</v>
      </c>
      <c r="L187" s="16">
        <v>69.900000000000006</v>
      </c>
      <c r="M187" s="28">
        <v>69.900000000000006</v>
      </c>
      <c r="N187" s="29">
        <v>0</v>
      </c>
      <c r="O187" s="45" t="s">
        <v>68</v>
      </c>
      <c r="P187" s="15"/>
      <c r="Q187" s="16">
        <f t="shared" si="5"/>
        <v>50.3</v>
      </c>
    </row>
    <row r="188" spans="1:17" ht="15" customHeight="1" x14ac:dyDescent="0.25">
      <c r="A188" s="15">
        <v>187</v>
      </c>
      <c r="B188" s="15" t="s">
        <v>846</v>
      </c>
      <c r="C188" s="15" t="s">
        <v>847</v>
      </c>
      <c r="D188" s="15" t="s">
        <v>848</v>
      </c>
      <c r="E188" s="15" t="s">
        <v>642</v>
      </c>
      <c r="F188" s="41">
        <v>1</v>
      </c>
      <c r="G188" s="42">
        <v>39.5</v>
      </c>
      <c r="H188" s="43">
        <v>0.03</v>
      </c>
      <c r="I188" s="41" t="s">
        <v>69</v>
      </c>
      <c r="J188" s="16">
        <f t="shared" si="4"/>
        <v>39.5</v>
      </c>
      <c r="K188" s="16">
        <f>IF(Q188="",0,IF(SUMPRODUCT(('Returns &amp; Refunds'!$A$6:$A$11=C188)*('Returns &amp; Refunds'!$H$6:$H$11="Confirmed Good — Remove Charge"))&gt;0,0,Q188))</f>
        <v>39.5</v>
      </c>
      <c r="L188" s="16">
        <v>59.9</v>
      </c>
      <c r="M188" s="28">
        <v>59.9</v>
      </c>
      <c r="N188" s="29">
        <v>0</v>
      </c>
      <c r="O188" s="45" t="s">
        <v>68</v>
      </c>
      <c r="P188" s="15"/>
      <c r="Q188" s="16">
        <f t="shared" si="5"/>
        <v>39.5</v>
      </c>
    </row>
    <row r="189" spans="1:17" ht="15" customHeight="1" x14ac:dyDescent="0.25">
      <c r="A189" s="15">
        <v>188</v>
      </c>
      <c r="B189" s="15" t="s">
        <v>849</v>
      </c>
      <c r="C189" s="15" t="s">
        <v>850</v>
      </c>
      <c r="D189" s="15" t="s">
        <v>851</v>
      </c>
      <c r="E189" s="15" t="s">
        <v>179</v>
      </c>
      <c r="F189" s="41">
        <v>1</v>
      </c>
      <c r="G189" s="42">
        <v>11.3</v>
      </c>
      <c r="H189" s="43">
        <v>0.01</v>
      </c>
      <c r="I189" s="41" t="s">
        <v>63</v>
      </c>
      <c r="J189" s="16">
        <f t="shared" si="4"/>
        <v>11.187000000000001</v>
      </c>
      <c r="K189" s="16">
        <f>IF(Q189="",0,IF(SUMPRODUCT(('Returns &amp; Refunds'!$A$6:$A$11=C189)*('Returns &amp; Refunds'!$H$6:$H$11="Confirmed Good — Remove Charge"))&gt;0,0,Q189))</f>
        <v>11.187000000000001</v>
      </c>
      <c r="L189" s="16">
        <v>15.9</v>
      </c>
      <c r="M189" s="28">
        <v>15.7</v>
      </c>
      <c r="N189" s="29">
        <v>1.26E-2</v>
      </c>
      <c r="O189" s="44" t="s">
        <v>62</v>
      </c>
      <c r="P189" s="15"/>
      <c r="Q189" s="16">
        <f t="shared" si="5"/>
        <v>11.187000000000001</v>
      </c>
    </row>
    <row r="190" spans="1:17" ht="15" customHeight="1" x14ac:dyDescent="0.25">
      <c r="A190" s="15">
        <v>189</v>
      </c>
      <c r="B190" s="15" t="s">
        <v>849</v>
      </c>
      <c r="C190" s="15" t="s">
        <v>850</v>
      </c>
      <c r="D190" s="15" t="s">
        <v>851</v>
      </c>
      <c r="E190" s="15" t="s">
        <v>469</v>
      </c>
      <c r="F190" s="41">
        <v>1</v>
      </c>
      <c r="G190" s="42">
        <v>13.5</v>
      </c>
      <c r="H190" s="43">
        <v>0.01</v>
      </c>
      <c r="I190" s="41" t="s">
        <v>63</v>
      </c>
      <c r="J190" s="16">
        <f t="shared" si="4"/>
        <v>13.365</v>
      </c>
      <c r="K190" s="16">
        <f>IF(Q190="",0,IF(SUMPRODUCT(('Returns &amp; Refunds'!$A$6:$A$11=C190)*('Returns &amp; Refunds'!$H$6:$H$11="Confirmed Good — Remove Charge"))&gt;0,0,Q190))</f>
        <v>13.365</v>
      </c>
      <c r="L190" s="16">
        <v>17.899999999999999</v>
      </c>
      <c r="M190" s="28">
        <v>17.7</v>
      </c>
      <c r="N190" s="29">
        <v>1.12E-2</v>
      </c>
      <c r="O190" s="44" t="s">
        <v>62</v>
      </c>
      <c r="P190" s="15"/>
      <c r="Q190" s="16">
        <f t="shared" si="5"/>
        <v>13.365</v>
      </c>
    </row>
    <row r="191" spans="1:17" ht="15" customHeight="1" x14ac:dyDescent="0.25">
      <c r="A191" s="15">
        <v>190</v>
      </c>
      <c r="B191" s="15" t="s">
        <v>852</v>
      </c>
      <c r="C191" s="15" t="s">
        <v>853</v>
      </c>
      <c r="D191" s="15" t="s">
        <v>854</v>
      </c>
      <c r="E191" s="15" t="s">
        <v>554</v>
      </c>
      <c r="F191" s="41">
        <v>1</v>
      </c>
      <c r="G191" s="42">
        <v>13.1</v>
      </c>
      <c r="H191" s="43">
        <v>0.01</v>
      </c>
      <c r="I191" s="41" t="s">
        <v>63</v>
      </c>
      <c r="J191" s="16">
        <f t="shared" si="4"/>
        <v>12.968999999999999</v>
      </c>
      <c r="K191" s="16">
        <f>IF(Q191="",0,IF(SUMPRODUCT(('Returns &amp; Refunds'!$A$6:$A$11=C191)*('Returns &amp; Refunds'!$H$6:$H$11="Confirmed Good — Remove Charge"))&gt;0,0,Q191))</f>
        <v>12.968999999999999</v>
      </c>
      <c r="L191" s="16">
        <v>17.899999999999999</v>
      </c>
      <c r="M191" s="28">
        <v>17.7</v>
      </c>
      <c r="N191" s="29">
        <v>1.12E-2</v>
      </c>
      <c r="O191" s="44" t="s">
        <v>62</v>
      </c>
      <c r="P191" s="15"/>
      <c r="Q191" s="16">
        <f t="shared" si="5"/>
        <v>12.968999999999999</v>
      </c>
    </row>
    <row r="192" spans="1:17" ht="15" customHeight="1" x14ac:dyDescent="0.25">
      <c r="A192" s="15">
        <v>191</v>
      </c>
      <c r="B192" s="15" t="s">
        <v>855</v>
      </c>
      <c r="C192" s="15" t="s">
        <v>856</v>
      </c>
      <c r="D192" s="15" t="s">
        <v>857</v>
      </c>
      <c r="E192" s="15" t="s">
        <v>858</v>
      </c>
      <c r="F192" s="41">
        <v>1</v>
      </c>
      <c r="G192" s="42">
        <v>14.9</v>
      </c>
      <c r="H192" s="43">
        <v>0.01</v>
      </c>
      <c r="I192" s="41" t="s">
        <v>63</v>
      </c>
      <c r="J192" s="16">
        <f t="shared" si="4"/>
        <v>14.750999999999999</v>
      </c>
      <c r="K192" s="16">
        <f>IF(Q192="",0,IF(SUMPRODUCT(('Returns &amp; Refunds'!$A$6:$A$11=C192)*('Returns &amp; Refunds'!$H$6:$H$11="Confirmed Good — Remove Charge"))&gt;0,0,Q192))</f>
        <v>14.750999999999999</v>
      </c>
      <c r="L192" s="16">
        <v>20.9</v>
      </c>
      <c r="M192" s="28">
        <v>20.7</v>
      </c>
      <c r="N192" s="29">
        <v>9.5999999999999992E-3</v>
      </c>
      <c r="O192" s="44" t="s">
        <v>62</v>
      </c>
      <c r="P192" s="15"/>
      <c r="Q192" s="16">
        <f t="shared" si="5"/>
        <v>14.750999999999999</v>
      </c>
    </row>
    <row r="193" spans="1:17" ht="15" customHeight="1" x14ac:dyDescent="0.25">
      <c r="A193" s="15">
        <v>192</v>
      </c>
      <c r="B193" s="15" t="s">
        <v>855</v>
      </c>
      <c r="C193" s="15" t="s">
        <v>856</v>
      </c>
      <c r="D193" s="15" t="s">
        <v>857</v>
      </c>
      <c r="E193" s="15" t="s">
        <v>547</v>
      </c>
      <c r="F193" s="41">
        <v>1</v>
      </c>
      <c r="G193" s="42">
        <v>13.2</v>
      </c>
      <c r="H193" s="43">
        <v>0.01</v>
      </c>
      <c r="I193" s="41" t="s">
        <v>63</v>
      </c>
      <c r="J193" s="16">
        <f t="shared" si="4"/>
        <v>13.068</v>
      </c>
      <c r="K193" s="16">
        <f>IF(Q193="",0,IF(SUMPRODUCT(('Returns &amp; Refunds'!$A$6:$A$11=C193)*('Returns &amp; Refunds'!$H$6:$H$11="Confirmed Good — Remove Charge"))&gt;0,0,Q193))</f>
        <v>13.068</v>
      </c>
      <c r="L193" s="16">
        <v>17.899999999999999</v>
      </c>
      <c r="M193" s="28">
        <v>17.7</v>
      </c>
      <c r="N193" s="29">
        <v>1.12E-2</v>
      </c>
      <c r="O193" s="44" t="s">
        <v>62</v>
      </c>
      <c r="P193" s="15"/>
      <c r="Q193" s="16">
        <f t="shared" si="5"/>
        <v>13.068</v>
      </c>
    </row>
    <row r="194" spans="1:17" ht="15" customHeight="1" x14ac:dyDescent="0.25">
      <c r="A194" s="15">
        <v>193</v>
      </c>
      <c r="B194" s="15" t="s">
        <v>859</v>
      </c>
      <c r="C194" s="15" t="s">
        <v>860</v>
      </c>
      <c r="D194" s="15" t="s">
        <v>861</v>
      </c>
      <c r="E194" s="15" t="s">
        <v>862</v>
      </c>
      <c r="F194" s="41">
        <v>1</v>
      </c>
      <c r="G194" s="42">
        <v>27.1</v>
      </c>
      <c r="H194" s="43">
        <v>0.05</v>
      </c>
      <c r="I194" s="41" t="s">
        <v>63</v>
      </c>
      <c r="J194" s="16">
        <f t="shared" ref="J194:J257" si="6">IF(G194="","",IF(I194="Yes",G194*(1-H194),G194))</f>
        <v>25.745000000000001</v>
      </c>
      <c r="K194" s="16">
        <f>IF(Q194="",0,IF(SUMPRODUCT(('Returns &amp; Refunds'!$A$6:$A$11=C194)*('Returns &amp; Refunds'!$H$6:$H$11="Confirmed Good — Remove Charge"))&gt;0,0,Q194))</f>
        <v>25.745000000000001</v>
      </c>
      <c r="L194" s="16">
        <v>37.9</v>
      </c>
      <c r="M194" s="28">
        <v>36</v>
      </c>
      <c r="N194" s="29">
        <v>5.0099999999999999E-2</v>
      </c>
      <c r="O194" s="44" t="s">
        <v>62</v>
      </c>
      <c r="P194" s="15"/>
      <c r="Q194" s="16">
        <f t="shared" ref="Q194:Q257" si="7">IF(J194="",0,F194*J194)</f>
        <v>25.745000000000001</v>
      </c>
    </row>
    <row r="195" spans="1:17" ht="15" customHeight="1" x14ac:dyDescent="0.25">
      <c r="A195" s="15">
        <v>194</v>
      </c>
      <c r="B195" s="15" t="s">
        <v>863</v>
      </c>
      <c r="C195" s="15" t="s">
        <v>864</v>
      </c>
      <c r="D195" s="15" t="s">
        <v>865</v>
      </c>
      <c r="E195" s="15" t="s">
        <v>866</v>
      </c>
      <c r="F195" s="41">
        <v>1</v>
      </c>
      <c r="G195" s="42">
        <v>10.8</v>
      </c>
      <c r="H195" s="43">
        <v>0.35</v>
      </c>
      <c r="I195" s="41" t="s">
        <v>63</v>
      </c>
      <c r="J195" s="16">
        <f t="shared" si="6"/>
        <v>7.0200000000000005</v>
      </c>
      <c r="K195" s="16">
        <f>IF(Q195="",0,IF(SUMPRODUCT(('Returns &amp; Refunds'!$A$6:$A$11=C195)*('Returns &amp; Refunds'!$H$6:$H$11="Confirmed Good — Remove Charge"))&gt;0,0,Q195))</f>
        <v>7.0200000000000005</v>
      </c>
      <c r="L195" s="16">
        <v>15.9</v>
      </c>
      <c r="M195" s="28">
        <v>10.3</v>
      </c>
      <c r="N195" s="29">
        <v>0.35220000000000001</v>
      </c>
      <c r="O195" s="44" t="s">
        <v>62</v>
      </c>
      <c r="P195" s="15"/>
      <c r="Q195" s="16">
        <f t="shared" si="7"/>
        <v>7.0200000000000005</v>
      </c>
    </row>
    <row r="196" spans="1:17" ht="15" customHeight="1" x14ac:dyDescent="0.25">
      <c r="A196" s="15">
        <v>195</v>
      </c>
      <c r="B196" s="15" t="s">
        <v>867</v>
      </c>
      <c r="C196" s="15" t="s">
        <v>868</v>
      </c>
      <c r="D196" s="15" t="s">
        <v>869</v>
      </c>
      <c r="E196" s="15" t="s">
        <v>870</v>
      </c>
      <c r="F196" s="41">
        <v>1</v>
      </c>
      <c r="G196" s="42">
        <v>18.3</v>
      </c>
      <c r="H196" s="43">
        <v>0.2</v>
      </c>
      <c r="I196" s="41" t="s">
        <v>63</v>
      </c>
      <c r="J196" s="16">
        <f t="shared" si="6"/>
        <v>14.64</v>
      </c>
      <c r="K196" s="16">
        <f>IF(Q196="",0,IF(SUMPRODUCT(('Returns &amp; Refunds'!$A$6:$A$11=C196)*('Returns &amp; Refunds'!$H$6:$H$11="Confirmed Good — Remove Charge"))&gt;0,0,Q196))</f>
        <v>14.64</v>
      </c>
      <c r="L196" s="16">
        <v>24.9</v>
      </c>
      <c r="M196" s="28">
        <v>19.899999999999999</v>
      </c>
      <c r="N196" s="29">
        <v>0.20080000000000001</v>
      </c>
      <c r="O196" s="44" t="s">
        <v>62</v>
      </c>
      <c r="P196" s="15"/>
      <c r="Q196" s="16">
        <f t="shared" si="7"/>
        <v>14.64</v>
      </c>
    </row>
    <row r="197" spans="1:17" ht="15" customHeight="1" x14ac:dyDescent="0.25">
      <c r="A197" s="15">
        <v>196</v>
      </c>
      <c r="B197" s="15" t="s">
        <v>871</v>
      </c>
      <c r="C197" s="15" t="s">
        <v>872</v>
      </c>
      <c r="D197" s="15" t="s">
        <v>873</v>
      </c>
      <c r="E197" s="15" t="s">
        <v>874</v>
      </c>
      <c r="F197" s="41">
        <v>1</v>
      </c>
      <c r="G197" s="42">
        <v>20.3</v>
      </c>
      <c r="H197" s="43">
        <v>0.02</v>
      </c>
      <c r="I197" s="41" t="s">
        <v>63</v>
      </c>
      <c r="J197" s="16">
        <f t="shared" si="6"/>
        <v>19.894000000000002</v>
      </c>
      <c r="K197" s="16">
        <f>IF(Q197="",0,IF(SUMPRODUCT(('Returns &amp; Refunds'!$A$6:$A$11=C197)*('Returns &amp; Refunds'!$H$6:$H$11="Confirmed Good — Remove Charge"))&gt;0,0,Q197))</f>
        <v>19.894000000000002</v>
      </c>
      <c r="L197" s="16">
        <v>27.9</v>
      </c>
      <c r="M197" s="28">
        <v>27.3</v>
      </c>
      <c r="N197" s="29">
        <v>2.1499999999999998E-2</v>
      </c>
      <c r="O197" s="44" t="s">
        <v>62</v>
      </c>
      <c r="P197" s="15"/>
      <c r="Q197" s="16">
        <f t="shared" si="7"/>
        <v>19.894000000000002</v>
      </c>
    </row>
    <row r="198" spans="1:17" ht="15" customHeight="1" x14ac:dyDescent="0.25">
      <c r="A198" s="15">
        <v>197</v>
      </c>
      <c r="B198" s="15" t="s">
        <v>222</v>
      </c>
      <c r="C198" s="15" t="s">
        <v>223</v>
      </c>
      <c r="D198" s="15" t="s">
        <v>875</v>
      </c>
      <c r="E198" s="15" t="s">
        <v>228</v>
      </c>
      <c r="F198" s="41">
        <v>2</v>
      </c>
      <c r="G198" s="42">
        <v>18.8</v>
      </c>
      <c r="H198" s="43">
        <v>0.01</v>
      </c>
      <c r="I198" s="46" t="str">
        <f>IF('Pending DSP Entry'!L88="Charge Full DSP Instead","No","Yes")</f>
        <v>Yes</v>
      </c>
      <c r="J198" s="16">
        <f t="shared" si="6"/>
        <v>18.612000000000002</v>
      </c>
      <c r="K198" s="16">
        <f>IF(Q198="",0,IF(SUMPRODUCT(('Returns &amp; Refunds'!$A$6:$A$11=C198)*('Returns &amp; Refunds'!$H$6:$H$11="Confirmed Good — Remove Charge"))&gt;0,0,Q198))</f>
        <v>37.224000000000004</v>
      </c>
      <c r="L198" s="16">
        <v>24.9</v>
      </c>
      <c r="M198" s="28">
        <v>24.46</v>
      </c>
      <c r="N198" s="29">
        <v>1.77E-2</v>
      </c>
      <c r="O198" s="38" t="s">
        <v>129</v>
      </c>
      <c r="P198" s="47" t="str">
        <f>"Wrong rate set by reseller — decision at Pending DSP Entry section D, row 88"</f>
        <v>Wrong rate set by reseller — decision at Pending DSP Entry section D, row 88</v>
      </c>
      <c r="Q198" s="16">
        <f t="shared" si="7"/>
        <v>37.224000000000004</v>
      </c>
    </row>
    <row r="199" spans="1:17" ht="15" customHeight="1" x14ac:dyDescent="0.25">
      <c r="A199" s="15">
        <v>198</v>
      </c>
      <c r="B199" s="15" t="s">
        <v>222</v>
      </c>
      <c r="C199" s="15" t="s">
        <v>223</v>
      </c>
      <c r="D199" s="15" t="s">
        <v>875</v>
      </c>
      <c r="E199" s="15" t="s">
        <v>224</v>
      </c>
      <c r="F199" s="41">
        <v>1</v>
      </c>
      <c r="G199" s="42">
        <v>18.8</v>
      </c>
      <c r="H199" s="43">
        <v>0.01</v>
      </c>
      <c r="I199" s="46" t="str">
        <f>IF('Pending DSP Entry'!L81="Charge Full DSP Instead","No","Yes")</f>
        <v>Yes</v>
      </c>
      <c r="J199" s="16">
        <f t="shared" si="6"/>
        <v>18.612000000000002</v>
      </c>
      <c r="K199" s="16">
        <f>IF(Q199="",0,IF(SUMPRODUCT(('Returns &amp; Refunds'!$A$6:$A$11=C199)*('Returns &amp; Refunds'!$H$6:$H$11="Confirmed Good — Remove Charge"))&gt;0,0,Q199))</f>
        <v>18.612000000000002</v>
      </c>
      <c r="L199" s="16">
        <v>24.9</v>
      </c>
      <c r="M199" s="28">
        <v>24.45</v>
      </c>
      <c r="N199" s="29">
        <v>1.8100000000000002E-2</v>
      </c>
      <c r="O199" s="38" t="s">
        <v>129</v>
      </c>
      <c r="P199" s="47" t="str">
        <f>"Wrong rate set by reseller — decision at Pending DSP Entry section D, row 81"</f>
        <v>Wrong rate set by reseller — decision at Pending DSP Entry section D, row 81</v>
      </c>
      <c r="Q199" s="16">
        <f t="shared" si="7"/>
        <v>18.612000000000002</v>
      </c>
    </row>
    <row r="200" spans="1:17" ht="15" customHeight="1" x14ac:dyDescent="0.25">
      <c r="A200" s="15">
        <v>199</v>
      </c>
      <c r="B200" s="15" t="s">
        <v>876</v>
      </c>
      <c r="C200" s="15" t="s">
        <v>877</v>
      </c>
      <c r="D200" s="15" t="s">
        <v>878</v>
      </c>
      <c r="E200" s="15" t="s">
        <v>879</v>
      </c>
      <c r="F200" s="41">
        <v>1</v>
      </c>
      <c r="G200" s="42">
        <v>8.8000000000000007</v>
      </c>
      <c r="H200" s="43">
        <v>0.2</v>
      </c>
      <c r="I200" s="41" t="s">
        <v>63</v>
      </c>
      <c r="J200" s="16">
        <f t="shared" si="6"/>
        <v>7.0400000000000009</v>
      </c>
      <c r="K200" s="16">
        <f>IF(Q200="",0,IF(SUMPRODUCT(('Returns &amp; Refunds'!$A$6:$A$11=C200)*('Returns &amp; Refunds'!$H$6:$H$11="Confirmed Good — Remove Charge"))&gt;0,0,Q200))</f>
        <v>7.0400000000000009</v>
      </c>
      <c r="L200" s="16">
        <v>12.9</v>
      </c>
      <c r="M200" s="28">
        <v>10.3</v>
      </c>
      <c r="N200" s="29">
        <v>0.2016</v>
      </c>
      <c r="O200" s="44" t="s">
        <v>62</v>
      </c>
      <c r="P200" s="15"/>
      <c r="Q200" s="16">
        <f t="shared" si="7"/>
        <v>7.0400000000000009</v>
      </c>
    </row>
    <row r="201" spans="1:17" ht="15" customHeight="1" x14ac:dyDescent="0.25">
      <c r="A201" s="15">
        <v>200</v>
      </c>
      <c r="B201" s="15" t="s">
        <v>880</v>
      </c>
      <c r="C201" s="15" t="s">
        <v>881</v>
      </c>
      <c r="D201" s="15" t="s">
        <v>882</v>
      </c>
      <c r="E201" s="15" t="s">
        <v>883</v>
      </c>
      <c r="F201" s="41">
        <v>1</v>
      </c>
      <c r="G201" s="42">
        <v>16.3</v>
      </c>
      <c r="H201" s="43">
        <v>0.05</v>
      </c>
      <c r="I201" s="41" t="s">
        <v>63</v>
      </c>
      <c r="J201" s="16">
        <f t="shared" si="6"/>
        <v>15.484999999999999</v>
      </c>
      <c r="K201" s="16">
        <f>IF(Q201="",0,IF(SUMPRODUCT(('Returns &amp; Refunds'!$A$6:$A$11=C201)*('Returns &amp; Refunds'!$H$6:$H$11="Confirmed Good — Remove Charge"))&gt;0,0,Q201))</f>
        <v>15.484999999999999</v>
      </c>
      <c r="L201" s="16">
        <v>21.9</v>
      </c>
      <c r="M201" s="28">
        <v>20.8</v>
      </c>
      <c r="N201" s="29">
        <v>5.0200000000000002E-2</v>
      </c>
      <c r="O201" s="44" t="s">
        <v>62</v>
      </c>
      <c r="P201" s="15"/>
      <c r="Q201" s="16">
        <f t="shared" si="7"/>
        <v>15.484999999999999</v>
      </c>
    </row>
    <row r="202" spans="1:17" ht="15" customHeight="1" x14ac:dyDescent="0.25">
      <c r="A202" s="15">
        <v>201</v>
      </c>
      <c r="B202" s="15" t="s">
        <v>245</v>
      </c>
      <c r="C202" s="15" t="s">
        <v>246</v>
      </c>
      <c r="D202" s="15" t="s">
        <v>884</v>
      </c>
      <c r="E202" s="15" t="s">
        <v>208</v>
      </c>
      <c r="F202" s="41">
        <v>3</v>
      </c>
      <c r="G202" s="42">
        <v>6.5</v>
      </c>
      <c r="H202" s="43">
        <v>0.05</v>
      </c>
      <c r="I202" s="46" t="str">
        <f>IF('Pending DSP Entry'!L99="Charge Full DSP Instead","No","Yes")</f>
        <v>Yes</v>
      </c>
      <c r="J202" s="16">
        <f t="shared" si="6"/>
        <v>6.1749999999999998</v>
      </c>
      <c r="K202" s="16">
        <f>IF(Q202="",0,IF(SUMPRODUCT(('Returns &amp; Refunds'!$A$6:$A$11=C202)*('Returns &amp; Refunds'!$H$6:$H$11="Confirmed Good — Remove Charge"))&gt;0,0,Q202))</f>
        <v>18.524999999999999</v>
      </c>
      <c r="L202" s="16">
        <v>9.9</v>
      </c>
      <c r="M202" s="28">
        <v>9.35</v>
      </c>
      <c r="N202" s="29">
        <v>5.6000000000000001E-2</v>
      </c>
      <c r="O202" s="38" t="s">
        <v>129</v>
      </c>
      <c r="P202" s="47" t="str">
        <f>"Wrong rate set by reseller — decision at Pending DSP Entry section D, row 99"</f>
        <v>Wrong rate set by reseller — decision at Pending DSP Entry section D, row 99</v>
      </c>
      <c r="Q202" s="16">
        <f t="shared" si="7"/>
        <v>18.524999999999999</v>
      </c>
    </row>
    <row r="203" spans="1:17" ht="15" customHeight="1" x14ac:dyDescent="0.25">
      <c r="A203" s="15">
        <v>202</v>
      </c>
      <c r="B203" s="15" t="s">
        <v>245</v>
      </c>
      <c r="C203" s="15" t="s">
        <v>246</v>
      </c>
      <c r="D203" s="15" t="s">
        <v>884</v>
      </c>
      <c r="E203" s="15" t="s">
        <v>208</v>
      </c>
      <c r="F203" s="41">
        <v>2</v>
      </c>
      <c r="G203" s="42">
        <v>6.5</v>
      </c>
      <c r="H203" s="43">
        <v>0.05</v>
      </c>
      <c r="I203" s="46" t="str">
        <f>IF('Pending DSP Entry'!L100="Charge Full DSP Instead","No","Yes")</f>
        <v>Yes</v>
      </c>
      <c r="J203" s="16">
        <f t="shared" si="6"/>
        <v>6.1749999999999998</v>
      </c>
      <c r="K203" s="16">
        <f>IF(Q203="",0,IF(SUMPRODUCT(('Returns &amp; Refunds'!$A$6:$A$11=C203)*('Returns &amp; Refunds'!$H$6:$H$11="Confirmed Good — Remove Charge"))&gt;0,0,Q203))</f>
        <v>12.35</v>
      </c>
      <c r="L203" s="16">
        <v>9.9</v>
      </c>
      <c r="M203" s="28">
        <v>9.35</v>
      </c>
      <c r="N203" s="29">
        <v>5.6000000000000001E-2</v>
      </c>
      <c r="O203" s="38" t="s">
        <v>129</v>
      </c>
      <c r="P203" s="47" t="str">
        <f>"Wrong rate set by reseller — decision at Pending DSP Entry section D, row 100"</f>
        <v>Wrong rate set by reseller — decision at Pending DSP Entry section D, row 100</v>
      </c>
      <c r="Q203" s="16">
        <f t="shared" si="7"/>
        <v>12.35</v>
      </c>
    </row>
    <row r="204" spans="1:17" ht="15" customHeight="1" x14ac:dyDescent="0.25">
      <c r="A204" s="15">
        <v>203</v>
      </c>
      <c r="B204" s="15" t="s">
        <v>885</v>
      </c>
      <c r="C204" s="15" t="s">
        <v>886</v>
      </c>
      <c r="D204" s="15" t="s">
        <v>887</v>
      </c>
      <c r="E204" s="15" t="s">
        <v>888</v>
      </c>
      <c r="F204" s="41">
        <v>1</v>
      </c>
      <c r="G204" s="42">
        <v>19.3</v>
      </c>
      <c r="H204" s="43">
        <v>0.12</v>
      </c>
      <c r="I204" s="41" t="s">
        <v>63</v>
      </c>
      <c r="J204" s="16">
        <f t="shared" si="6"/>
        <v>16.984000000000002</v>
      </c>
      <c r="K204" s="16">
        <f>IF(Q204="",0,IF(SUMPRODUCT(('Returns &amp; Refunds'!$A$6:$A$11=C204)*('Returns &amp; Refunds'!$H$6:$H$11="Confirmed Good — Remove Charge"))&gt;0,0,Q204))</f>
        <v>16.984000000000002</v>
      </c>
      <c r="L204" s="16">
        <v>27.9</v>
      </c>
      <c r="M204" s="28">
        <v>24.6</v>
      </c>
      <c r="N204" s="29">
        <v>0.1183</v>
      </c>
      <c r="O204" s="44" t="s">
        <v>62</v>
      </c>
      <c r="P204" s="15"/>
      <c r="Q204" s="16">
        <f t="shared" si="7"/>
        <v>16.984000000000002</v>
      </c>
    </row>
    <row r="205" spans="1:17" ht="15" customHeight="1" x14ac:dyDescent="0.25">
      <c r="A205" s="15">
        <v>204</v>
      </c>
      <c r="B205" s="15" t="s">
        <v>889</v>
      </c>
      <c r="C205" s="15" t="s">
        <v>890</v>
      </c>
      <c r="D205" s="15" t="s">
        <v>891</v>
      </c>
      <c r="E205" s="15" t="s">
        <v>892</v>
      </c>
      <c r="F205" s="41">
        <v>1</v>
      </c>
      <c r="G205" s="42">
        <v>187.9</v>
      </c>
      <c r="H205" s="43">
        <v>0.02</v>
      </c>
      <c r="I205" s="41" t="s">
        <v>63</v>
      </c>
      <c r="J205" s="16">
        <f t="shared" si="6"/>
        <v>184.142</v>
      </c>
      <c r="K205" s="16">
        <f>IF(Q205="",0,IF(SUMPRODUCT(('Returns &amp; Refunds'!$A$6:$A$11=C205)*('Returns &amp; Refunds'!$H$6:$H$11="Confirmed Good — Remove Charge"))&gt;0,0,Q205))</f>
        <v>184.142</v>
      </c>
      <c r="L205" s="16">
        <v>239.9</v>
      </c>
      <c r="M205" s="28">
        <v>235.1</v>
      </c>
      <c r="N205" s="29">
        <v>0.02</v>
      </c>
      <c r="O205" s="44" t="s">
        <v>62</v>
      </c>
      <c r="P205" s="15"/>
      <c r="Q205" s="16">
        <f t="shared" si="7"/>
        <v>184.142</v>
      </c>
    </row>
    <row r="206" spans="1:17" ht="15" customHeight="1" x14ac:dyDescent="0.25">
      <c r="A206" s="15">
        <v>205</v>
      </c>
      <c r="B206" s="15" t="s">
        <v>893</v>
      </c>
      <c r="C206" s="15" t="s">
        <v>894</v>
      </c>
      <c r="D206" s="15" t="s">
        <v>895</v>
      </c>
      <c r="E206" s="15" t="s">
        <v>896</v>
      </c>
      <c r="F206" s="41">
        <v>1</v>
      </c>
      <c r="G206" s="42">
        <v>12.4</v>
      </c>
      <c r="H206" s="43">
        <v>0.08</v>
      </c>
      <c r="I206" s="41" t="s">
        <v>63</v>
      </c>
      <c r="J206" s="16">
        <f t="shared" si="6"/>
        <v>11.408000000000001</v>
      </c>
      <c r="K206" s="16">
        <f>IF(Q206="",0,IF(SUMPRODUCT(('Returns &amp; Refunds'!$A$6:$A$11=C206)*('Returns &amp; Refunds'!$H$6:$H$11="Confirmed Good — Remove Charge"))&gt;0,0,Q206))</f>
        <v>11.408000000000001</v>
      </c>
      <c r="L206" s="16">
        <v>19.899999999999999</v>
      </c>
      <c r="M206" s="28">
        <v>18.3</v>
      </c>
      <c r="N206" s="29">
        <v>8.0399999999999999E-2</v>
      </c>
      <c r="O206" s="44" t="s">
        <v>62</v>
      </c>
      <c r="P206" s="15"/>
      <c r="Q206" s="16">
        <f t="shared" si="7"/>
        <v>11.408000000000001</v>
      </c>
    </row>
    <row r="207" spans="1:17" ht="15" customHeight="1" x14ac:dyDescent="0.25">
      <c r="A207" s="15">
        <v>206</v>
      </c>
      <c r="B207" s="15" t="s">
        <v>897</v>
      </c>
      <c r="C207" s="15" t="s">
        <v>898</v>
      </c>
      <c r="D207" s="15" t="s">
        <v>899</v>
      </c>
      <c r="E207" s="15" t="s">
        <v>357</v>
      </c>
      <c r="F207" s="41">
        <v>1</v>
      </c>
      <c r="G207" s="42">
        <v>15.8</v>
      </c>
      <c r="H207" s="43">
        <v>0.01</v>
      </c>
      <c r="I207" s="41" t="s">
        <v>63</v>
      </c>
      <c r="J207" s="16">
        <f t="shared" si="6"/>
        <v>15.642000000000001</v>
      </c>
      <c r="K207" s="16">
        <f>IF(Q207="",0,IF(SUMPRODUCT(('Returns &amp; Refunds'!$A$6:$A$11=C207)*('Returns &amp; Refunds'!$H$6:$H$11="Confirmed Good — Remove Charge"))&gt;0,0,Q207))</f>
        <v>15.642000000000001</v>
      </c>
      <c r="L207" s="16">
        <v>21.9</v>
      </c>
      <c r="M207" s="28">
        <v>21.7</v>
      </c>
      <c r="N207" s="29">
        <v>9.1000000000000004E-3</v>
      </c>
      <c r="O207" s="44" t="s">
        <v>62</v>
      </c>
      <c r="P207" s="15"/>
      <c r="Q207" s="16">
        <f t="shared" si="7"/>
        <v>15.642000000000001</v>
      </c>
    </row>
    <row r="208" spans="1:17" ht="15" customHeight="1" x14ac:dyDescent="0.25">
      <c r="A208" s="15">
        <v>207</v>
      </c>
      <c r="B208" s="15" t="s">
        <v>900</v>
      </c>
      <c r="C208" s="15" t="s">
        <v>901</v>
      </c>
      <c r="D208" s="15" t="s">
        <v>902</v>
      </c>
      <c r="E208" s="15" t="s">
        <v>903</v>
      </c>
      <c r="F208" s="41">
        <v>1</v>
      </c>
      <c r="G208" s="42">
        <v>13.1</v>
      </c>
      <c r="H208" s="43">
        <v>0.01</v>
      </c>
      <c r="I208" s="41" t="s">
        <v>69</v>
      </c>
      <c r="J208" s="16">
        <f t="shared" si="6"/>
        <v>13.1</v>
      </c>
      <c r="K208" s="16">
        <f>IF(Q208="",0,IF(SUMPRODUCT(('Returns &amp; Refunds'!$A$6:$A$11=C208)*('Returns &amp; Refunds'!$H$6:$H$11="Confirmed Good — Remove Charge"))&gt;0,0,Q208))</f>
        <v>13.1</v>
      </c>
      <c r="L208" s="16">
        <v>17.899999999999999</v>
      </c>
      <c r="M208" s="28">
        <v>17.899999999999999</v>
      </c>
      <c r="N208" s="29">
        <v>0</v>
      </c>
      <c r="O208" s="45" t="s">
        <v>68</v>
      </c>
      <c r="P208" s="15"/>
      <c r="Q208" s="16">
        <f t="shared" si="7"/>
        <v>13.1</v>
      </c>
    </row>
    <row r="209" spans="1:17" ht="15" customHeight="1" x14ac:dyDescent="0.25">
      <c r="A209" s="15">
        <v>208</v>
      </c>
      <c r="B209" s="15" t="s">
        <v>904</v>
      </c>
      <c r="C209" s="15" t="s">
        <v>905</v>
      </c>
      <c r="D209" s="15" t="s">
        <v>906</v>
      </c>
      <c r="E209" s="15" t="s">
        <v>907</v>
      </c>
      <c r="F209" s="41">
        <v>1</v>
      </c>
      <c r="G209" s="42">
        <v>18.600000000000001</v>
      </c>
      <c r="H209" s="43">
        <v>0.25</v>
      </c>
      <c r="I209" s="41" t="s">
        <v>63</v>
      </c>
      <c r="J209" s="16">
        <f t="shared" si="6"/>
        <v>13.950000000000001</v>
      </c>
      <c r="K209" s="16">
        <f>IF(Q209="",0,IF(SUMPRODUCT(('Returns &amp; Refunds'!$A$6:$A$11=C209)*('Returns &amp; Refunds'!$H$6:$H$11="Confirmed Good — Remove Charge"))&gt;0,0,Q209))</f>
        <v>13.950000000000001</v>
      </c>
      <c r="L209" s="16">
        <v>27.9</v>
      </c>
      <c r="M209" s="28">
        <v>20.9</v>
      </c>
      <c r="N209" s="29">
        <v>0.25090000000000001</v>
      </c>
      <c r="O209" s="44" t="s">
        <v>62</v>
      </c>
      <c r="P209" s="15"/>
      <c r="Q209" s="16">
        <f t="shared" si="7"/>
        <v>13.950000000000001</v>
      </c>
    </row>
    <row r="210" spans="1:17" ht="15" customHeight="1" x14ac:dyDescent="0.25">
      <c r="A210" s="15">
        <v>209</v>
      </c>
      <c r="B210" s="15" t="s">
        <v>908</v>
      </c>
      <c r="C210" s="15" t="s">
        <v>909</v>
      </c>
      <c r="D210" s="15" t="s">
        <v>910</v>
      </c>
      <c r="E210" s="15" t="s">
        <v>911</v>
      </c>
      <c r="F210" s="41">
        <v>1</v>
      </c>
      <c r="G210" s="42">
        <v>8.6999999999999993</v>
      </c>
      <c r="H210" s="43">
        <v>0.05</v>
      </c>
      <c r="I210" s="41" t="s">
        <v>63</v>
      </c>
      <c r="J210" s="16">
        <f t="shared" si="6"/>
        <v>8.2649999999999988</v>
      </c>
      <c r="K210" s="16">
        <f>IF(Q210="",0,IF(SUMPRODUCT(('Returns &amp; Refunds'!$A$6:$A$11=C210)*('Returns &amp; Refunds'!$H$6:$H$11="Confirmed Good — Remove Charge"))&gt;0,0,Q210))</f>
        <v>8.2649999999999988</v>
      </c>
      <c r="L210" s="16">
        <v>12.9</v>
      </c>
      <c r="M210" s="28">
        <v>12.3</v>
      </c>
      <c r="N210" s="29">
        <v>4.65E-2</v>
      </c>
      <c r="O210" s="44" t="s">
        <v>62</v>
      </c>
      <c r="P210" s="15"/>
      <c r="Q210" s="16">
        <f t="shared" si="7"/>
        <v>8.2649999999999988</v>
      </c>
    </row>
    <row r="211" spans="1:17" ht="15" customHeight="1" x14ac:dyDescent="0.25">
      <c r="A211" s="15">
        <v>210</v>
      </c>
      <c r="B211" s="15" t="s">
        <v>912</v>
      </c>
      <c r="C211" s="15" t="s">
        <v>913</v>
      </c>
      <c r="D211" s="15" t="s">
        <v>914</v>
      </c>
      <c r="E211" s="15" t="s">
        <v>469</v>
      </c>
      <c r="F211" s="41">
        <v>1</v>
      </c>
      <c r="G211" s="42">
        <v>13.5</v>
      </c>
      <c r="H211" s="43">
        <v>0.01</v>
      </c>
      <c r="I211" s="41" t="s">
        <v>63</v>
      </c>
      <c r="J211" s="16">
        <f t="shared" si="6"/>
        <v>13.365</v>
      </c>
      <c r="K211" s="16">
        <f>IF(Q211="",0,IF(SUMPRODUCT(('Returns &amp; Refunds'!$A$6:$A$11=C211)*('Returns &amp; Refunds'!$H$6:$H$11="Confirmed Good — Remove Charge"))&gt;0,0,Q211))</f>
        <v>13.365</v>
      </c>
      <c r="L211" s="16">
        <v>17.899999999999999</v>
      </c>
      <c r="M211" s="28">
        <v>17.7</v>
      </c>
      <c r="N211" s="29">
        <v>1.12E-2</v>
      </c>
      <c r="O211" s="44" t="s">
        <v>62</v>
      </c>
      <c r="P211" s="15"/>
      <c r="Q211" s="16">
        <f t="shared" si="7"/>
        <v>13.365</v>
      </c>
    </row>
    <row r="212" spans="1:17" ht="15" customHeight="1" x14ac:dyDescent="0.25">
      <c r="A212" s="15">
        <v>211</v>
      </c>
      <c r="B212" s="15" t="s">
        <v>912</v>
      </c>
      <c r="C212" s="15" t="s">
        <v>913</v>
      </c>
      <c r="D212" s="15" t="s">
        <v>914</v>
      </c>
      <c r="E212" s="15" t="s">
        <v>505</v>
      </c>
      <c r="F212" s="41">
        <v>1</v>
      </c>
      <c r="G212" s="42">
        <v>13.1</v>
      </c>
      <c r="H212" s="43">
        <v>0.01</v>
      </c>
      <c r="I212" s="41" t="s">
        <v>63</v>
      </c>
      <c r="J212" s="16">
        <f t="shared" si="6"/>
        <v>12.968999999999999</v>
      </c>
      <c r="K212" s="16">
        <f>IF(Q212="",0,IF(SUMPRODUCT(('Returns &amp; Refunds'!$A$6:$A$11=C212)*('Returns &amp; Refunds'!$H$6:$H$11="Confirmed Good — Remove Charge"))&gt;0,0,Q212))</f>
        <v>12.968999999999999</v>
      </c>
      <c r="L212" s="16">
        <v>17.899999999999999</v>
      </c>
      <c r="M212" s="28">
        <v>17.7</v>
      </c>
      <c r="N212" s="29">
        <v>1.12E-2</v>
      </c>
      <c r="O212" s="44" t="s">
        <v>62</v>
      </c>
      <c r="P212" s="15"/>
      <c r="Q212" s="16">
        <f t="shared" si="7"/>
        <v>12.968999999999999</v>
      </c>
    </row>
    <row r="213" spans="1:17" ht="15" customHeight="1" x14ac:dyDescent="0.25">
      <c r="A213" s="15">
        <v>212</v>
      </c>
      <c r="B213" s="15" t="s">
        <v>915</v>
      </c>
      <c r="C213" s="15" t="s">
        <v>916</v>
      </c>
      <c r="D213" s="15" t="s">
        <v>917</v>
      </c>
      <c r="E213" s="15" t="s">
        <v>505</v>
      </c>
      <c r="F213" s="41">
        <v>1</v>
      </c>
      <c r="G213" s="42">
        <v>13.1</v>
      </c>
      <c r="H213" s="43">
        <v>0.01</v>
      </c>
      <c r="I213" s="41" t="s">
        <v>63</v>
      </c>
      <c r="J213" s="16">
        <f t="shared" si="6"/>
        <v>12.968999999999999</v>
      </c>
      <c r="K213" s="16">
        <f>IF(Q213="",0,IF(SUMPRODUCT(('Returns &amp; Refunds'!$A$6:$A$11=C213)*('Returns &amp; Refunds'!$H$6:$H$11="Confirmed Good — Remove Charge"))&gt;0,0,Q213))</f>
        <v>12.968999999999999</v>
      </c>
      <c r="L213" s="16">
        <v>17.899999999999999</v>
      </c>
      <c r="M213" s="28">
        <v>17.7</v>
      </c>
      <c r="N213" s="29">
        <v>1.12E-2</v>
      </c>
      <c r="O213" s="44" t="s">
        <v>62</v>
      </c>
      <c r="P213" s="15"/>
      <c r="Q213" s="16">
        <f t="shared" si="7"/>
        <v>12.968999999999999</v>
      </c>
    </row>
    <row r="214" spans="1:17" ht="15" customHeight="1" x14ac:dyDescent="0.25">
      <c r="A214" s="15">
        <v>213</v>
      </c>
      <c r="B214" s="15" t="s">
        <v>918</v>
      </c>
      <c r="C214" s="15" t="s">
        <v>919</v>
      </c>
      <c r="D214" s="15" t="s">
        <v>920</v>
      </c>
      <c r="E214" s="15" t="s">
        <v>236</v>
      </c>
      <c r="F214" s="41">
        <v>2</v>
      </c>
      <c r="G214" s="42">
        <v>10.7</v>
      </c>
      <c r="H214" s="43">
        <v>0.01</v>
      </c>
      <c r="I214" s="41" t="s">
        <v>63</v>
      </c>
      <c r="J214" s="16">
        <f t="shared" si="6"/>
        <v>10.593</v>
      </c>
      <c r="K214" s="16">
        <f>IF(Q214="",0,IF(SUMPRODUCT(('Returns &amp; Refunds'!$A$6:$A$11=C214)*('Returns &amp; Refunds'!$H$6:$H$11="Confirmed Good — Remove Charge"))&gt;0,0,Q214))</f>
        <v>21.186</v>
      </c>
      <c r="L214" s="16">
        <v>15</v>
      </c>
      <c r="M214" s="28">
        <v>14.9</v>
      </c>
      <c r="N214" s="29">
        <v>6.7000000000000002E-3</v>
      </c>
      <c r="O214" s="44" t="s">
        <v>62</v>
      </c>
      <c r="P214" s="15"/>
      <c r="Q214" s="16">
        <f t="shared" si="7"/>
        <v>21.186</v>
      </c>
    </row>
    <row r="215" spans="1:17" ht="15" customHeight="1" x14ac:dyDescent="0.25">
      <c r="A215" s="15">
        <v>214</v>
      </c>
      <c r="B215" s="15" t="s">
        <v>921</v>
      </c>
      <c r="C215" s="15" t="s">
        <v>922</v>
      </c>
      <c r="D215" s="15" t="s">
        <v>923</v>
      </c>
      <c r="E215" s="15" t="s">
        <v>429</v>
      </c>
      <c r="F215" s="41">
        <v>1</v>
      </c>
      <c r="G215" s="42">
        <v>13.5</v>
      </c>
      <c r="H215" s="43">
        <v>0.01</v>
      </c>
      <c r="I215" s="41" t="s">
        <v>63</v>
      </c>
      <c r="J215" s="16">
        <f t="shared" si="6"/>
        <v>13.365</v>
      </c>
      <c r="K215" s="16">
        <f>IF(Q215="",0,IF(SUMPRODUCT(('Returns &amp; Refunds'!$A$6:$A$11=C215)*('Returns &amp; Refunds'!$H$6:$H$11="Confirmed Good — Remove Charge"))&gt;0,0,Q215))</f>
        <v>13.365</v>
      </c>
      <c r="L215" s="16">
        <v>17.899999999999999</v>
      </c>
      <c r="M215" s="28">
        <v>17.7</v>
      </c>
      <c r="N215" s="29">
        <v>1.12E-2</v>
      </c>
      <c r="O215" s="44" t="s">
        <v>62</v>
      </c>
      <c r="P215" s="15"/>
      <c r="Q215" s="16">
        <f t="shared" si="7"/>
        <v>13.365</v>
      </c>
    </row>
    <row r="216" spans="1:17" ht="15" customHeight="1" x14ac:dyDescent="0.25">
      <c r="A216" s="15">
        <v>215</v>
      </c>
      <c r="B216" s="15" t="s">
        <v>924</v>
      </c>
      <c r="C216" s="15" t="s">
        <v>925</v>
      </c>
      <c r="D216" s="15" t="s">
        <v>926</v>
      </c>
      <c r="E216" s="15" t="s">
        <v>186</v>
      </c>
      <c r="F216" s="41">
        <v>1</v>
      </c>
      <c r="G216" s="42">
        <v>12.4</v>
      </c>
      <c r="H216" s="43">
        <v>0.01</v>
      </c>
      <c r="I216" s="41" t="s">
        <v>63</v>
      </c>
      <c r="J216" s="16">
        <f t="shared" si="6"/>
        <v>12.276</v>
      </c>
      <c r="K216" s="16">
        <f>IF(Q216="",0,IF(SUMPRODUCT(('Returns &amp; Refunds'!$A$6:$A$11=C216)*('Returns &amp; Refunds'!$H$6:$H$11="Confirmed Good — Remove Charge"))&gt;0,0,Q216))</f>
        <v>12.276</v>
      </c>
      <c r="L216" s="16">
        <v>17.899999999999999</v>
      </c>
      <c r="M216" s="28">
        <v>17.7</v>
      </c>
      <c r="N216" s="29">
        <v>1.12E-2</v>
      </c>
      <c r="O216" s="44" t="s">
        <v>62</v>
      </c>
      <c r="P216" s="15"/>
      <c r="Q216" s="16">
        <f t="shared" si="7"/>
        <v>12.276</v>
      </c>
    </row>
    <row r="217" spans="1:17" ht="15" customHeight="1" x14ac:dyDescent="0.25">
      <c r="A217" s="15">
        <v>216</v>
      </c>
      <c r="B217" s="15" t="s">
        <v>927</v>
      </c>
      <c r="C217" s="15" t="s">
        <v>928</v>
      </c>
      <c r="D217" s="15" t="s">
        <v>929</v>
      </c>
      <c r="E217" s="15" t="s">
        <v>930</v>
      </c>
      <c r="F217" s="41">
        <v>1</v>
      </c>
      <c r="G217" s="42">
        <v>50.3</v>
      </c>
      <c r="H217" s="43">
        <v>0.02</v>
      </c>
      <c r="I217" s="41" t="s">
        <v>69</v>
      </c>
      <c r="J217" s="16">
        <f t="shared" si="6"/>
        <v>50.3</v>
      </c>
      <c r="K217" s="16">
        <f>IF(Q217="",0,IF(SUMPRODUCT(('Returns &amp; Refunds'!$A$6:$A$11=C217)*('Returns &amp; Refunds'!$H$6:$H$11="Confirmed Good — Remove Charge"))&gt;0,0,Q217))</f>
        <v>50.3</v>
      </c>
      <c r="L217" s="16">
        <v>69.900000000000006</v>
      </c>
      <c r="M217" s="28">
        <v>69.900000000000006</v>
      </c>
      <c r="N217" s="29">
        <v>0</v>
      </c>
      <c r="O217" s="45" t="s">
        <v>68</v>
      </c>
      <c r="P217" s="15"/>
      <c r="Q217" s="16">
        <f t="shared" si="7"/>
        <v>50.3</v>
      </c>
    </row>
    <row r="218" spans="1:17" ht="15" customHeight="1" x14ac:dyDescent="0.25">
      <c r="A218" s="15">
        <v>217</v>
      </c>
      <c r="B218" s="15" t="s">
        <v>931</v>
      </c>
      <c r="C218" s="15" t="s">
        <v>932</v>
      </c>
      <c r="D218" s="15" t="s">
        <v>933</v>
      </c>
      <c r="E218" s="15" t="s">
        <v>934</v>
      </c>
      <c r="F218" s="41">
        <v>1</v>
      </c>
      <c r="G218" s="42">
        <v>24.1</v>
      </c>
      <c r="H218" s="43">
        <v>0.02</v>
      </c>
      <c r="I218" s="41" t="s">
        <v>63</v>
      </c>
      <c r="J218" s="16">
        <f t="shared" si="6"/>
        <v>23.618000000000002</v>
      </c>
      <c r="K218" s="16">
        <f>IF(Q218="",0,IF(SUMPRODUCT(('Returns &amp; Refunds'!$A$6:$A$11=C218)*('Returns &amp; Refunds'!$H$6:$H$11="Confirmed Good — Remove Charge"))&gt;0,0,Q218))</f>
        <v>23.618000000000002</v>
      </c>
      <c r="L218" s="16">
        <v>34.9</v>
      </c>
      <c r="M218" s="28">
        <v>34.200000000000003</v>
      </c>
      <c r="N218" s="29">
        <v>2.01E-2</v>
      </c>
      <c r="O218" s="44" t="s">
        <v>62</v>
      </c>
      <c r="P218" s="15"/>
      <c r="Q218" s="16">
        <f t="shared" si="7"/>
        <v>23.618000000000002</v>
      </c>
    </row>
    <row r="219" spans="1:17" ht="15" customHeight="1" x14ac:dyDescent="0.25">
      <c r="A219" s="15">
        <v>218</v>
      </c>
      <c r="B219" s="15" t="s">
        <v>935</v>
      </c>
      <c r="C219" s="15" t="s">
        <v>936</v>
      </c>
      <c r="D219" s="15" t="s">
        <v>937</v>
      </c>
      <c r="E219" s="15" t="s">
        <v>505</v>
      </c>
      <c r="F219" s="41">
        <v>1</v>
      </c>
      <c r="G219" s="42">
        <v>13.1</v>
      </c>
      <c r="H219" s="43">
        <v>0.01</v>
      </c>
      <c r="I219" s="41" t="s">
        <v>63</v>
      </c>
      <c r="J219" s="16">
        <f t="shared" si="6"/>
        <v>12.968999999999999</v>
      </c>
      <c r="K219" s="16">
        <f>IF(Q219="",0,IF(SUMPRODUCT(('Returns &amp; Refunds'!$A$6:$A$11=C219)*('Returns &amp; Refunds'!$H$6:$H$11="Confirmed Good — Remove Charge"))&gt;0,0,Q219))</f>
        <v>12.968999999999999</v>
      </c>
      <c r="L219" s="16">
        <v>17.899999999999999</v>
      </c>
      <c r="M219" s="28">
        <v>17.7</v>
      </c>
      <c r="N219" s="29">
        <v>1.12E-2</v>
      </c>
      <c r="O219" s="44" t="s">
        <v>62</v>
      </c>
      <c r="P219" s="15"/>
      <c r="Q219" s="16">
        <f t="shared" si="7"/>
        <v>12.968999999999999</v>
      </c>
    </row>
    <row r="220" spans="1:17" ht="15" customHeight="1" x14ac:dyDescent="0.25">
      <c r="A220" s="15">
        <v>219</v>
      </c>
      <c r="B220" s="15" t="s">
        <v>938</v>
      </c>
      <c r="C220" s="15" t="s">
        <v>939</v>
      </c>
      <c r="D220" s="15" t="s">
        <v>940</v>
      </c>
      <c r="E220" s="15" t="s">
        <v>309</v>
      </c>
      <c r="F220" s="41">
        <v>1</v>
      </c>
      <c r="G220" s="42">
        <v>13.2</v>
      </c>
      <c r="H220" s="43">
        <v>0.01</v>
      </c>
      <c r="I220" s="41" t="s">
        <v>63</v>
      </c>
      <c r="J220" s="16">
        <f t="shared" si="6"/>
        <v>13.068</v>
      </c>
      <c r="K220" s="16">
        <f>IF(Q220="",0,IF(SUMPRODUCT(('Returns &amp; Refunds'!$A$6:$A$11=C220)*('Returns &amp; Refunds'!$H$6:$H$11="Confirmed Good — Remove Charge"))&gt;0,0,Q220))</f>
        <v>13.068</v>
      </c>
      <c r="L220" s="16">
        <v>17.899999999999999</v>
      </c>
      <c r="M220" s="28">
        <v>17.7</v>
      </c>
      <c r="N220" s="29">
        <v>1.12E-2</v>
      </c>
      <c r="O220" s="44" t="s">
        <v>62</v>
      </c>
      <c r="P220" s="15"/>
      <c r="Q220" s="16">
        <f t="shared" si="7"/>
        <v>13.068</v>
      </c>
    </row>
    <row r="221" spans="1:17" ht="15" customHeight="1" x14ac:dyDescent="0.25">
      <c r="A221" s="15">
        <v>220</v>
      </c>
      <c r="B221" s="15" t="s">
        <v>941</v>
      </c>
      <c r="C221" s="15" t="s">
        <v>942</v>
      </c>
      <c r="D221" s="15" t="s">
        <v>943</v>
      </c>
      <c r="E221" s="15" t="s">
        <v>565</v>
      </c>
      <c r="F221" s="41">
        <v>1</v>
      </c>
      <c r="G221" s="42">
        <v>10.6</v>
      </c>
      <c r="H221" s="43">
        <v>0.01</v>
      </c>
      <c r="I221" s="41" t="s">
        <v>63</v>
      </c>
      <c r="J221" s="16">
        <f t="shared" si="6"/>
        <v>10.494</v>
      </c>
      <c r="K221" s="16">
        <f>IF(Q221="",0,IF(SUMPRODUCT(('Returns &amp; Refunds'!$A$6:$A$11=C221)*('Returns &amp; Refunds'!$H$6:$H$11="Confirmed Good — Remove Charge"))&gt;0,0,Q221))</f>
        <v>10.494</v>
      </c>
      <c r="L221" s="16">
        <v>15</v>
      </c>
      <c r="M221" s="28">
        <v>14.9</v>
      </c>
      <c r="N221" s="29">
        <v>6.7000000000000002E-3</v>
      </c>
      <c r="O221" s="44" t="s">
        <v>62</v>
      </c>
      <c r="P221" s="15"/>
      <c r="Q221" s="16">
        <f t="shared" si="7"/>
        <v>10.494</v>
      </c>
    </row>
    <row r="222" spans="1:17" ht="15" customHeight="1" x14ac:dyDescent="0.25">
      <c r="A222" s="15">
        <v>221</v>
      </c>
      <c r="B222" s="15" t="s">
        <v>944</v>
      </c>
      <c r="C222" s="15" t="s">
        <v>945</v>
      </c>
      <c r="D222" s="15" t="s">
        <v>946</v>
      </c>
      <c r="E222" s="15" t="s">
        <v>229</v>
      </c>
      <c r="F222" s="41">
        <v>1</v>
      </c>
      <c r="G222" s="42">
        <v>18.8</v>
      </c>
      <c r="H222" s="43">
        <v>0.01</v>
      </c>
      <c r="I222" s="41" t="s">
        <v>63</v>
      </c>
      <c r="J222" s="16">
        <f t="shared" si="6"/>
        <v>18.612000000000002</v>
      </c>
      <c r="K222" s="16">
        <f>IF(Q222="",0,IF(SUMPRODUCT(('Returns &amp; Refunds'!$A$6:$A$11=C222)*('Returns &amp; Refunds'!$H$6:$H$11="Confirmed Good — Remove Charge"))&gt;0,0,Q222))</f>
        <v>18.612000000000002</v>
      </c>
      <c r="L222" s="16">
        <v>24.9</v>
      </c>
      <c r="M222" s="28">
        <v>24.7</v>
      </c>
      <c r="N222" s="29">
        <v>8.0000000000000002E-3</v>
      </c>
      <c r="O222" s="44" t="s">
        <v>62</v>
      </c>
      <c r="P222" s="15"/>
      <c r="Q222" s="16">
        <f t="shared" si="7"/>
        <v>18.612000000000002</v>
      </c>
    </row>
    <row r="223" spans="1:17" ht="15" customHeight="1" x14ac:dyDescent="0.25">
      <c r="A223" s="15">
        <v>222</v>
      </c>
      <c r="B223" s="15" t="s">
        <v>947</v>
      </c>
      <c r="C223" s="15" t="s">
        <v>948</v>
      </c>
      <c r="D223" s="15" t="s">
        <v>949</v>
      </c>
      <c r="E223" s="15" t="s">
        <v>209</v>
      </c>
      <c r="F223" s="41">
        <v>1</v>
      </c>
      <c r="G223" s="42">
        <v>6.5</v>
      </c>
      <c r="H223" s="43">
        <v>0.05</v>
      </c>
      <c r="I223" s="41" t="s">
        <v>63</v>
      </c>
      <c r="J223" s="16">
        <f t="shared" si="6"/>
        <v>6.1749999999999998</v>
      </c>
      <c r="K223" s="16">
        <f>IF(Q223="",0,IF(SUMPRODUCT(('Returns &amp; Refunds'!$A$6:$A$11=C223)*('Returns &amp; Refunds'!$H$6:$H$11="Confirmed Good — Remove Charge"))&gt;0,0,Q223))</f>
        <v>6.1749999999999998</v>
      </c>
      <c r="L223" s="16">
        <v>9.9</v>
      </c>
      <c r="M223" s="28">
        <v>9.4</v>
      </c>
      <c r="N223" s="29">
        <v>5.0500000000000003E-2</v>
      </c>
      <c r="O223" s="44" t="s">
        <v>62</v>
      </c>
      <c r="P223" s="15"/>
      <c r="Q223" s="16">
        <f t="shared" si="7"/>
        <v>6.1749999999999998</v>
      </c>
    </row>
    <row r="224" spans="1:17" ht="15" customHeight="1" x14ac:dyDescent="0.25">
      <c r="A224" s="15">
        <v>223</v>
      </c>
      <c r="B224" s="15" t="s">
        <v>947</v>
      </c>
      <c r="C224" s="15" t="s">
        <v>948</v>
      </c>
      <c r="D224" s="15" t="s">
        <v>949</v>
      </c>
      <c r="E224" s="15" t="s">
        <v>950</v>
      </c>
      <c r="F224" s="41">
        <v>1</v>
      </c>
      <c r="G224" s="42">
        <v>43.4</v>
      </c>
      <c r="H224" s="43">
        <v>0.01</v>
      </c>
      <c r="I224" s="41" t="s">
        <v>63</v>
      </c>
      <c r="J224" s="16">
        <f t="shared" si="6"/>
        <v>42.966000000000001</v>
      </c>
      <c r="K224" s="16">
        <f>IF(Q224="",0,IF(SUMPRODUCT(('Returns &amp; Refunds'!$A$6:$A$11=C224)*('Returns &amp; Refunds'!$H$6:$H$11="Confirmed Good — Remove Charge"))&gt;0,0,Q224))</f>
        <v>42.966000000000001</v>
      </c>
      <c r="L224" s="16">
        <v>57.9</v>
      </c>
      <c r="M224" s="28">
        <v>57.3</v>
      </c>
      <c r="N224" s="29">
        <v>1.04E-2</v>
      </c>
      <c r="O224" s="44" t="s">
        <v>62</v>
      </c>
      <c r="P224" s="15"/>
      <c r="Q224" s="16">
        <f t="shared" si="7"/>
        <v>42.966000000000001</v>
      </c>
    </row>
    <row r="225" spans="1:17" ht="15" customHeight="1" x14ac:dyDescent="0.25">
      <c r="A225" s="15">
        <v>224</v>
      </c>
      <c r="B225" s="15" t="s">
        <v>951</v>
      </c>
      <c r="C225" s="15" t="s">
        <v>952</v>
      </c>
      <c r="D225" s="15" t="s">
        <v>953</v>
      </c>
      <c r="E225" s="15" t="s">
        <v>433</v>
      </c>
      <c r="F225" s="41">
        <v>1</v>
      </c>
      <c r="G225" s="42">
        <v>41.5</v>
      </c>
      <c r="H225" s="43">
        <v>0.01</v>
      </c>
      <c r="I225" s="41" t="s">
        <v>63</v>
      </c>
      <c r="J225" s="16">
        <f t="shared" si="6"/>
        <v>41.085000000000001</v>
      </c>
      <c r="K225" s="16">
        <f>IF(Q225="",0,IF(SUMPRODUCT(('Returns &amp; Refunds'!$A$6:$A$11=C225)*('Returns &amp; Refunds'!$H$6:$H$11="Confirmed Good — Remove Charge"))&gt;0,0,Q225))</f>
        <v>41.085000000000001</v>
      </c>
      <c r="L225" s="16">
        <v>54.9</v>
      </c>
      <c r="M225" s="28">
        <v>54.4</v>
      </c>
      <c r="N225" s="29">
        <v>9.1000000000000004E-3</v>
      </c>
      <c r="O225" s="44" t="s">
        <v>62</v>
      </c>
      <c r="P225" s="15"/>
      <c r="Q225" s="16">
        <f t="shared" si="7"/>
        <v>41.085000000000001</v>
      </c>
    </row>
    <row r="226" spans="1:17" ht="15" customHeight="1" x14ac:dyDescent="0.25">
      <c r="A226" s="15">
        <v>225</v>
      </c>
      <c r="B226" s="15" t="s">
        <v>954</v>
      </c>
      <c r="C226" s="15" t="s">
        <v>955</v>
      </c>
      <c r="D226" s="15" t="s">
        <v>956</v>
      </c>
      <c r="E226" s="15" t="s">
        <v>444</v>
      </c>
      <c r="F226" s="41">
        <v>2</v>
      </c>
      <c r="G226" s="42">
        <v>19</v>
      </c>
      <c r="H226" s="43">
        <v>0.05</v>
      </c>
      <c r="I226" s="41" t="s">
        <v>69</v>
      </c>
      <c r="J226" s="16">
        <f t="shared" si="6"/>
        <v>19</v>
      </c>
      <c r="K226" s="16">
        <f>IF(Q226="",0,IF(SUMPRODUCT(('Returns &amp; Refunds'!$A$6:$A$11=C226)*('Returns &amp; Refunds'!$H$6:$H$11="Confirmed Good — Remove Charge"))&gt;0,0,Q226))</f>
        <v>38</v>
      </c>
      <c r="L226" s="16">
        <v>26.9</v>
      </c>
      <c r="M226" s="28">
        <v>26.9</v>
      </c>
      <c r="N226" s="29">
        <v>0</v>
      </c>
      <c r="O226" s="45" t="s">
        <v>68</v>
      </c>
      <c r="P226" s="15"/>
      <c r="Q226" s="16">
        <f t="shared" si="7"/>
        <v>38</v>
      </c>
    </row>
    <row r="227" spans="1:17" ht="15" customHeight="1" x14ac:dyDescent="0.25">
      <c r="A227" s="15">
        <v>226</v>
      </c>
      <c r="B227" s="15" t="s">
        <v>957</v>
      </c>
      <c r="C227" s="15" t="s">
        <v>958</v>
      </c>
      <c r="D227" s="15" t="s">
        <v>959</v>
      </c>
      <c r="E227" s="15" t="s">
        <v>565</v>
      </c>
      <c r="F227" s="41">
        <v>1</v>
      </c>
      <c r="G227" s="42">
        <v>10.6</v>
      </c>
      <c r="H227" s="43">
        <v>0.01</v>
      </c>
      <c r="I227" s="41" t="s">
        <v>63</v>
      </c>
      <c r="J227" s="16">
        <f t="shared" si="6"/>
        <v>10.494</v>
      </c>
      <c r="K227" s="16">
        <f>IF(Q227="",0,IF(SUMPRODUCT(('Returns &amp; Refunds'!$A$6:$A$11=C227)*('Returns &amp; Refunds'!$H$6:$H$11="Confirmed Good — Remove Charge"))&gt;0,0,Q227))</f>
        <v>10.494</v>
      </c>
      <c r="L227" s="16">
        <v>15</v>
      </c>
      <c r="M227" s="28">
        <v>14.9</v>
      </c>
      <c r="N227" s="29">
        <v>6.7000000000000002E-3</v>
      </c>
      <c r="O227" s="44" t="s">
        <v>62</v>
      </c>
      <c r="P227" s="15"/>
      <c r="Q227" s="16">
        <f t="shared" si="7"/>
        <v>10.494</v>
      </c>
    </row>
    <row r="228" spans="1:17" ht="15" customHeight="1" x14ac:dyDescent="0.25">
      <c r="A228" s="15">
        <v>227</v>
      </c>
      <c r="B228" s="15" t="s">
        <v>957</v>
      </c>
      <c r="C228" s="15" t="s">
        <v>958</v>
      </c>
      <c r="D228" s="15" t="s">
        <v>959</v>
      </c>
      <c r="E228" s="15" t="s">
        <v>233</v>
      </c>
      <c r="F228" s="41">
        <v>1</v>
      </c>
      <c r="G228" s="42">
        <v>10.7</v>
      </c>
      <c r="H228" s="43">
        <v>0.01</v>
      </c>
      <c r="I228" s="41" t="s">
        <v>63</v>
      </c>
      <c r="J228" s="16">
        <f t="shared" si="6"/>
        <v>10.593</v>
      </c>
      <c r="K228" s="16">
        <f>IF(Q228="",0,IF(SUMPRODUCT(('Returns &amp; Refunds'!$A$6:$A$11=C228)*('Returns &amp; Refunds'!$H$6:$H$11="Confirmed Good — Remove Charge"))&gt;0,0,Q228))</f>
        <v>10.593</v>
      </c>
      <c r="L228" s="16">
        <v>15</v>
      </c>
      <c r="M228" s="28">
        <v>14.9</v>
      </c>
      <c r="N228" s="29">
        <v>6.7000000000000002E-3</v>
      </c>
      <c r="O228" s="44" t="s">
        <v>62</v>
      </c>
      <c r="P228" s="15"/>
      <c r="Q228" s="16">
        <f t="shared" si="7"/>
        <v>10.593</v>
      </c>
    </row>
    <row r="229" spans="1:17" ht="15" customHeight="1" x14ac:dyDescent="0.25">
      <c r="A229" s="15">
        <v>228</v>
      </c>
      <c r="B229" s="15" t="s">
        <v>960</v>
      </c>
      <c r="C229" s="15" t="s">
        <v>961</v>
      </c>
      <c r="D229" s="15" t="s">
        <v>962</v>
      </c>
      <c r="E229" s="15" t="s">
        <v>963</v>
      </c>
      <c r="F229" s="41">
        <v>1</v>
      </c>
      <c r="G229" s="42">
        <v>12.8</v>
      </c>
      <c r="H229" s="43">
        <v>0.25</v>
      </c>
      <c r="I229" s="41" t="s">
        <v>63</v>
      </c>
      <c r="J229" s="16">
        <f t="shared" si="6"/>
        <v>9.6000000000000014</v>
      </c>
      <c r="K229" s="16">
        <f>IF(Q229="",0,IF(SUMPRODUCT(('Returns &amp; Refunds'!$A$6:$A$11=C229)*('Returns &amp; Refunds'!$H$6:$H$11="Confirmed Good — Remove Charge"))&gt;0,0,Q229))</f>
        <v>9.6000000000000014</v>
      </c>
      <c r="L229" s="16">
        <v>19.899999999999999</v>
      </c>
      <c r="M229" s="28">
        <v>14.9</v>
      </c>
      <c r="N229" s="29">
        <v>0.25130000000000002</v>
      </c>
      <c r="O229" s="44" t="s">
        <v>62</v>
      </c>
      <c r="P229" s="15"/>
      <c r="Q229" s="16">
        <f t="shared" si="7"/>
        <v>9.6000000000000014</v>
      </c>
    </row>
    <row r="230" spans="1:17" ht="15" customHeight="1" x14ac:dyDescent="0.25">
      <c r="A230" s="15">
        <v>229</v>
      </c>
      <c r="B230" s="15" t="s">
        <v>964</v>
      </c>
      <c r="C230" s="15" t="s">
        <v>965</v>
      </c>
      <c r="D230" s="15" t="s">
        <v>966</v>
      </c>
      <c r="E230" s="15" t="s">
        <v>967</v>
      </c>
      <c r="F230" s="41">
        <v>1</v>
      </c>
      <c r="G230" s="42">
        <v>19</v>
      </c>
      <c r="H230" s="43">
        <v>0.05</v>
      </c>
      <c r="I230" s="41" t="s">
        <v>69</v>
      </c>
      <c r="J230" s="16">
        <f t="shared" si="6"/>
        <v>19</v>
      </c>
      <c r="K230" s="16">
        <f>IF(Q230="",0,IF(SUMPRODUCT(('Returns &amp; Refunds'!$A$6:$A$11=C230)*('Returns &amp; Refunds'!$H$6:$H$11="Confirmed Good — Remove Charge"))&gt;0,0,Q230))</f>
        <v>19</v>
      </c>
      <c r="L230" s="16">
        <v>26.9</v>
      </c>
      <c r="M230" s="28">
        <v>26.9</v>
      </c>
      <c r="N230" s="29">
        <v>0</v>
      </c>
      <c r="O230" s="45" t="s">
        <v>68</v>
      </c>
      <c r="P230" s="15"/>
      <c r="Q230" s="16">
        <f t="shared" si="7"/>
        <v>19</v>
      </c>
    </row>
    <row r="231" spans="1:17" ht="15" customHeight="1" x14ac:dyDescent="0.25">
      <c r="A231" s="15">
        <v>230</v>
      </c>
      <c r="B231" s="15" t="s">
        <v>964</v>
      </c>
      <c r="C231" s="15" t="s">
        <v>965</v>
      </c>
      <c r="D231" s="15" t="s">
        <v>966</v>
      </c>
      <c r="E231" s="15" t="s">
        <v>968</v>
      </c>
      <c r="F231" s="41">
        <v>1</v>
      </c>
      <c r="G231" s="42">
        <v>16.600000000000001</v>
      </c>
      <c r="H231" s="43">
        <v>0.03</v>
      </c>
      <c r="I231" s="41" t="s">
        <v>69</v>
      </c>
      <c r="J231" s="16">
        <f t="shared" si="6"/>
        <v>16.600000000000001</v>
      </c>
      <c r="K231" s="16">
        <f>IF(Q231="",0,IF(SUMPRODUCT(('Returns &amp; Refunds'!$A$6:$A$11=C231)*('Returns &amp; Refunds'!$H$6:$H$11="Confirmed Good — Remove Charge"))&gt;0,0,Q231))</f>
        <v>16.600000000000001</v>
      </c>
      <c r="L231" s="16">
        <v>24.9</v>
      </c>
      <c r="M231" s="28">
        <v>24.9</v>
      </c>
      <c r="N231" s="29">
        <v>0</v>
      </c>
      <c r="O231" s="45" t="s">
        <v>68</v>
      </c>
      <c r="P231" s="15"/>
      <c r="Q231" s="16">
        <f t="shared" si="7"/>
        <v>16.600000000000001</v>
      </c>
    </row>
    <row r="232" spans="1:17" ht="15" customHeight="1" x14ac:dyDescent="0.25">
      <c r="A232" s="15">
        <v>231</v>
      </c>
      <c r="B232" s="15" t="s">
        <v>969</v>
      </c>
      <c r="C232" s="15" t="s">
        <v>970</v>
      </c>
      <c r="D232" s="15" t="s">
        <v>971</v>
      </c>
      <c r="E232" s="15" t="s">
        <v>972</v>
      </c>
      <c r="F232" s="41">
        <v>1</v>
      </c>
      <c r="G232" s="42">
        <v>13.1</v>
      </c>
      <c r="H232" s="43">
        <v>0.01</v>
      </c>
      <c r="I232" s="41" t="s">
        <v>63</v>
      </c>
      <c r="J232" s="16">
        <f t="shared" si="6"/>
        <v>12.968999999999999</v>
      </c>
      <c r="K232" s="16">
        <f>IF(Q232="",0,IF(SUMPRODUCT(('Returns &amp; Refunds'!$A$6:$A$11=C232)*('Returns &amp; Refunds'!$H$6:$H$11="Confirmed Good — Remove Charge"))&gt;0,0,Q232))</f>
        <v>12.968999999999999</v>
      </c>
      <c r="L232" s="16">
        <v>17.899999999999999</v>
      </c>
      <c r="M232" s="28">
        <v>17.73</v>
      </c>
      <c r="N232" s="29">
        <v>9.4999999999999998E-3</v>
      </c>
      <c r="O232" s="44" t="s">
        <v>62</v>
      </c>
      <c r="P232" s="15"/>
      <c r="Q232" s="16">
        <f t="shared" si="7"/>
        <v>12.968999999999999</v>
      </c>
    </row>
    <row r="233" spans="1:17" ht="15" customHeight="1" x14ac:dyDescent="0.25">
      <c r="A233" s="15">
        <v>232</v>
      </c>
      <c r="B233" s="15" t="s">
        <v>973</v>
      </c>
      <c r="C233" s="15" t="s">
        <v>974</v>
      </c>
      <c r="D233" s="15" t="s">
        <v>975</v>
      </c>
      <c r="E233" s="15" t="s">
        <v>976</v>
      </c>
      <c r="F233" s="41">
        <v>1</v>
      </c>
      <c r="G233" s="42">
        <v>16.899999999999999</v>
      </c>
      <c r="H233" s="43">
        <v>0.02</v>
      </c>
      <c r="I233" s="41" t="s">
        <v>69</v>
      </c>
      <c r="J233" s="16">
        <f t="shared" si="6"/>
        <v>16.899999999999999</v>
      </c>
      <c r="K233" s="16">
        <f>IF(Q233="",0,IF(SUMPRODUCT(('Returns &amp; Refunds'!$A$6:$A$11=C233)*('Returns &amp; Refunds'!$H$6:$H$11="Confirmed Good — Remove Charge"))&gt;0,0,Q233))</f>
        <v>16.899999999999999</v>
      </c>
      <c r="L233" s="16">
        <v>24.9</v>
      </c>
      <c r="M233" s="28">
        <v>24.9</v>
      </c>
      <c r="N233" s="29">
        <v>0</v>
      </c>
      <c r="O233" s="45" t="s">
        <v>68</v>
      </c>
      <c r="P233" s="15"/>
      <c r="Q233" s="16">
        <f t="shared" si="7"/>
        <v>16.899999999999999</v>
      </c>
    </row>
    <row r="234" spans="1:17" ht="15" customHeight="1" x14ac:dyDescent="0.25">
      <c r="A234" s="15">
        <v>233</v>
      </c>
      <c r="B234" s="15" t="s">
        <v>977</v>
      </c>
      <c r="C234" s="15" t="s">
        <v>978</v>
      </c>
      <c r="D234" s="15" t="s">
        <v>979</v>
      </c>
      <c r="E234" s="15" t="s">
        <v>194</v>
      </c>
      <c r="F234" s="41">
        <v>1</v>
      </c>
      <c r="G234" s="42">
        <v>31.5</v>
      </c>
      <c r="H234" s="43">
        <v>0.01</v>
      </c>
      <c r="I234" s="41" t="s">
        <v>63</v>
      </c>
      <c r="J234" s="16">
        <f t="shared" si="6"/>
        <v>31.184999999999999</v>
      </c>
      <c r="K234" s="16">
        <f>IF(Q234="",0,IF(SUMPRODUCT(('Returns &amp; Refunds'!$A$6:$A$11=C234)*('Returns &amp; Refunds'!$H$6:$H$11="Confirmed Good — Remove Charge"))&gt;0,0,Q234))</f>
        <v>31.184999999999999</v>
      </c>
      <c r="L234" s="16">
        <v>39.9</v>
      </c>
      <c r="M234" s="28">
        <v>39.5</v>
      </c>
      <c r="N234" s="29">
        <v>0.01</v>
      </c>
      <c r="O234" s="44" t="s">
        <v>62</v>
      </c>
      <c r="P234" s="15"/>
      <c r="Q234" s="16">
        <f t="shared" si="7"/>
        <v>31.184999999999999</v>
      </c>
    </row>
    <row r="235" spans="1:17" ht="15" customHeight="1" x14ac:dyDescent="0.25">
      <c r="A235" s="15">
        <v>234</v>
      </c>
      <c r="B235" s="15" t="s">
        <v>980</v>
      </c>
      <c r="C235" s="15" t="s">
        <v>981</v>
      </c>
      <c r="D235" s="15" t="s">
        <v>982</v>
      </c>
      <c r="E235" s="15" t="s">
        <v>983</v>
      </c>
      <c r="F235" s="41">
        <v>1</v>
      </c>
      <c r="G235" s="42">
        <v>23.8</v>
      </c>
      <c r="H235" s="43">
        <v>0.05</v>
      </c>
      <c r="I235" s="41" t="s">
        <v>63</v>
      </c>
      <c r="J235" s="16">
        <f t="shared" si="6"/>
        <v>22.61</v>
      </c>
      <c r="K235" s="16">
        <f>IF(Q235="",0,IF(SUMPRODUCT(('Returns &amp; Refunds'!$A$6:$A$11=C235)*('Returns &amp; Refunds'!$H$6:$H$11="Confirmed Good — Remove Charge"))&gt;0,0,Q235))</f>
        <v>22.61</v>
      </c>
      <c r="L235" s="16">
        <v>34.9</v>
      </c>
      <c r="M235" s="28">
        <v>33.200000000000003</v>
      </c>
      <c r="N235" s="29">
        <v>4.87E-2</v>
      </c>
      <c r="O235" s="44" t="s">
        <v>62</v>
      </c>
      <c r="P235" s="15"/>
      <c r="Q235" s="16">
        <f t="shared" si="7"/>
        <v>22.61</v>
      </c>
    </row>
    <row r="236" spans="1:17" ht="15" customHeight="1" x14ac:dyDescent="0.25">
      <c r="A236" s="15">
        <v>235</v>
      </c>
      <c r="B236" s="15" t="s">
        <v>984</v>
      </c>
      <c r="C236" s="15" t="s">
        <v>985</v>
      </c>
      <c r="D236" s="15" t="s">
        <v>986</v>
      </c>
      <c r="E236" s="15" t="s">
        <v>270</v>
      </c>
      <c r="F236" s="41">
        <v>1</v>
      </c>
      <c r="G236" s="42">
        <v>13.2</v>
      </c>
      <c r="H236" s="43">
        <v>0.01</v>
      </c>
      <c r="I236" s="41" t="s">
        <v>63</v>
      </c>
      <c r="J236" s="16">
        <f t="shared" si="6"/>
        <v>13.068</v>
      </c>
      <c r="K236" s="16">
        <f>IF(Q236="",0,IF(SUMPRODUCT(('Returns &amp; Refunds'!$A$6:$A$11=C236)*('Returns &amp; Refunds'!$H$6:$H$11="Confirmed Good — Remove Charge"))&gt;0,0,Q236))</f>
        <v>13.068</v>
      </c>
      <c r="L236" s="16">
        <v>17.899999999999999</v>
      </c>
      <c r="M236" s="28">
        <v>17.7</v>
      </c>
      <c r="N236" s="29">
        <v>1.12E-2</v>
      </c>
      <c r="O236" s="44" t="s">
        <v>62</v>
      </c>
      <c r="P236" s="15"/>
      <c r="Q236" s="16">
        <f t="shared" si="7"/>
        <v>13.068</v>
      </c>
    </row>
    <row r="237" spans="1:17" ht="15" customHeight="1" x14ac:dyDescent="0.25">
      <c r="A237" s="15">
        <v>236</v>
      </c>
      <c r="B237" s="15" t="s">
        <v>987</v>
      </c>
      <c r="C237" s="15" t="s">
        <v>988</v>
      </c>
      <c r="D237" s="15" t="s">
        <v>989</v>
      </c>
      <c r="E237" s="15" t="s">
        <v>309</v>
      </c>
      <c r="F237" s="41">
        <v>1</v>
      </c>
      <c r="G237" s="42">
        <v>13.2</v>
      </c>
      <c r="H237" s="43">
        <v>0.01</v>
      </c>
      <c r="I237" s="41" t="s">
        <v>63</v>
      </c>
      <c r="J237" s="16">
        <f t="shared" si="6"/>
        <v>13.068</v>
      </c>
      <c r="K237" s="16">
        <f>IF(Q237="",0,IF(SUMPRODUCT(('Returns &amp; Refunds'!$A$6:$A$11=C237)*('Returns &amp; Refunds'!$H$6:$H$11="Confirmed Good — Remove Charge"))&gt;0,0,Q237))</f>
        <v>13.068</v>
      </c>
      <c r="L237" s="16">
        <v>17.899999999999999</v>
      </c>
      <c r="M237" s="28">
        <v>17.7</v>
      </c>
      <c r="N237" s="29">
        <v>1.12E-2</v>
      </c>
      <c r="O237" s="44" t="s">
        <v>62</v>
      </c>
      <c r="P237" s="15"/>
      <c r="Q237" s="16">
        <f t="shared" si="7"/>
        <v>13.068</v>
      </c>
    </row>
    <row r="238" spans="1:17" ht="15" customHeight="1" x14ac:dyDescent="0.25">
      <c r="A238" s="15">
        <v>237</v>
      </c>
      <c r="B238" s="15" t="s">
        <v>990</v>
      </c>
      <c r="C238" s="15" t="s">
        <v>991</v>
      </c>
      <c r="D238" s="15" t="s">
        <v>992</v>
      </c>
      <c r="E238" s="15" t="s">
        <v>993</v>
      </c>
      <c r="F238" s="41">
        <v>1</v>
      </c>
      <c r="G238" s="42">
        <v>10.5</v>
      </c>
      <c r="H238" s="43">
        <v>0.01</v>
      </c>
      <c r="I238" s="41" t="s">
        <v>63</v>
      </c>
      <c r="J238" s="16">
        <f t="shared" si="6"/>
        <v>10.395</v>
      </c>
      <c r="K238" s="16">
        <f>IF(Q238="",0,IF(SUMPRODUCT(('Returns &amp; Refunds'!$A$6:$A$11=C238)*('Returns &amp; Refunds'!$H$6:$H$11="Confirmed Good — Remove Charge"))&gt;0,0,Q238))</f>
        <v>10.395</v>
      </c>
      <c r="L238" s="16">
        <v>15</v>
      </c>
      <c r="M238" s="28">
        <v>14.9</v>
      </c>
      <c r="N238" s="29">
        <v>6.7000000000000002E-3</v>
      </c>
      <c r="O238" s="44" t="s">
        <v>62</v>
      </c>
      <c r="P238" s="15"/>
      <c r="Q238" s="16">
        <f t="shared" si="7"/>
        <v>10.395</v>
      </c>
    </row>
    <row r="239" spans="1:17" ht="15" customHeight="1" x14ac:dyDescent="0.25">
      <c r="A239" s="15">
        <v>238</v>
      </c>
      <c r="B239" s="15" t="s">
        <v>994</v>
      </c>
      <c r="C239" s="15" t="s">
        <v>995</v>
      </c>
      <c r="D239" s="15" t="s">
        <v>996</v>
      </c>
      <c r="E239" s="15" t="s">
        <v>997</v>
      </c>
      <c r="F239" s="41">
        <v>1</v>
      </c>
      <c r="G239" s="42">
        <v>18.3</v>
      </c>
      <c r="H239" s="43">
        <v>0.05</v>
      </c>
      <c r="I239" s="41" t="s">
        <v>63</v>
      </c>
      <c r="J239" s="16">
        <f t="shared" si="6"/>
        <v>17.385000000000002</v>
      </c>
      <c r="K239" s="16">
        <f>IF(Q239="",0,IF(SUMPRODUCT(('Returns &amp; Refunds'!$A$6:$A$11=C239)*('Returns &amp; Refunds'!$H$6:$H$11="Confirmed Good — Remove Charge"))&gt;0,0,Q239))</f>
        <v>17.385000000000002</v>
      </c>
      <c r="L239" s="16">
        <v>24.9</v>
      </c>
      <c r="M239" s="28">
        <v>23.7</v>
      </c>
      <c r="N239" s="29">
        <v>4.82E-2</v>
      </c>
      <c r="O239" s="44" t="s">
        <v>62</v>
      </c>
      <c r="P239" s="15"/>
      <c r="Q239" s="16">
        <f t="shared" si="7"/>
        <v>17.385000000000002</v>
      </c>
    </row>
    <row r="240" spans="1:17" ht="15" customHeight="1" x14ac:dyDescent="0.25">
      <c r="A240" s="15">
        <v>239</v>
      </c>
      <c r="B240" s="15" t="s">
        <v>167</v>
      </c>
      <c r="C240" s="15" t="s">
        <v>168</v>
      </c>
      <c r="D240" s="15" t="s">
        <v>998</v>
      </c>
      <c r="E240" s="15" t="s">
        <v>166</v>
      </c>
      <c r="F240" s="41">
        <v>1</v>
      </c>
      <c r="G240" s="42">
        <v>18.3</v>
      </c>
      <c r="H240" s="43">
        <v>0.05</v>
      </c>
      <c r="I240" s="46" t="str">
        <f>IF('Pending DSP Entry'!L50="Charge Full DSP Instead","No","Yes")</f>
        <v>Yes</v>
      </c>
      <c r="J240" s="16">
        <f t="shared" si="6"/>
        <v>17.385000000000002</v>
      </c>
      <c r="K240" s="16">
        <f>IF(Q240="",0,IF(SUMPRODUCT(('Returns &amp; Refunds'!$A$6:$A$11=C240)*('Returns &amp; Refunds'!$H$6:$H$11="Confirmed Good — Remove Charge"))&gt;0,0,Q240))</f>
        <v>17.385000000000002</v>
      </c>
      <c r="L240" s="16">
        <v>24.9</v>
      </c>
      <c r="M240" s="28">
        <v>22.89</v>
      </c>
      <c r="N240" s="29">
        <v>8.0699999999999994E-2</v>
      </c>
      <c r="O240" s="38" t="s">
        <v>129</v>
      </c>
      <c r="P240" s="47" t="str">
        <f>"Wrong rate set by reseller — decision at Pending DSP Entry section D, row 50"</f>
        <v>Wrong rate set by reseller — decision at Pending DSP Entry section D, row 50</v>
      </c>
      <c r="Q240" s="16">
        <f t="shared" si="7"/>
        <v>17.385000000000002</v>
      </c>
    </row>
    <row r="241" spans="1:17" ht="15" customHeight="1" x14ac:dyDescent="0.25">
      <c r="A241" s="15">
        <v>240</v>
      </c>
      <c r="B241" s="15" t="s">
        <v>999</v>
      </c>
      <c r="C241" s="15" t="s">
        <v>1000</v>
      </c>
      <c r="D241" s="15" t="s">
        <v>1001</v>
      </c>
      <c r="E241" s="15" t="s">
        <v>421</v>
      </c>
      <c r="F241" s="41">
        <v>1</v>
      </c>
      <c r="G241" s="42">
        <v>18.8</v>
      </c>
      <c r="H241" s="43">
        <v>0.01</v>
      </c>
      <c r="I241" s="41" t="s">
        <v>63</v>
      </c>
      <c r="J241" s="16">
        <f t="shared" si="6"/>
        <v>18.612000000000002</v>
      </c>
      <c r="K241" s="16">
        <f>IF(Q241="",0,IF(SUMPRODUCT(('Returns &amp; Refunds'!$A$6:$A$11=C241)*('Returns &amp; Refunds'!$H$6:$H$11="Confirmed Good — Remove Charge"))&gt;0,0,Q241))</f>
        <v>18.612000000000002</v>
      </c>
      <c r="L241" s="16">
        <v>24.9</v>
      </c>
      <c r="M241" s="28">
        <v>24.7</v>
      </c>
      <c r="N241" s="29">
        <v>8.0000000000000002E-3</v>
      </c>
      <c r="O241" s="44" t="s">
        <v>62</v>
      </c>
      <c r="P241" s="15"/>
      <c r="Q241" s="16">
        <f t="shared" si="7"/>
        <v>18.612000000000002</v>
      </c>
    </row>
    <row r="242" spans="1:17" ht="15" customHeight="1" x14ac:dyDescent="0.25">
      <c r="A242" s="15">
        <v>241</v>
      </c>
      <c r="B242" s="15" t="s">
        <v>1002</v>
      </c>
      <c r="C242" s="15" t="s">
        <v>1003</v>
      </c>
      <c r="D242" s="15" t="s">
        <v>1004</v>
      </c>
      <c r="E242" s="15" t="s">
        <v>205</v>
      </c>
      <c r="F242" s="41">
        <v>1</v>
      </c>
      <c r="G242" s="42">
        <v>14.8</v>
      </c>
      <c r="H242" s="43">
        <v>0.01</v>
      </c>
      <c r="I242" s="41" t="s">
        <v>63</v>
      </c>
      <c r="J242" s="16">
        <f t="shared" si="6"/>
        <v>14.652000000000001</v>
      </c>
      <c r="K242" s="16">
        <f>IF(Q242="",0,IF(SUMPRODUCT(('Returns &amp; Refunds'!$A$6:$A$11=C242)*('Returns &amp; Refunds'!$H$6:$H$11="Confirmed Good — Remove Charge"))&gt;0,0,Q242))</f>
        <v>14.652000000000001</v>
      </c>
      <c r="L242" s="16">
        <v>20.9</v>
      </c>
      <c r="M242" s="28">
        <v>20.7</v>
      </c>
      <c r="N242" s="29">
        <v>9.5999999999999992E-3</v>
      </c>
      <c r="O242" s="44" t="s">
        <v>62</v>
      </c>
      <c r="P242" s="15"/>
      <c r="Q242" s="16">
        <f t="shared" si="7"/>
        <v>14.652000000000001</v>
      </c>
    </row>
    <row r="243" spans="1:17" ht="15" customHeight="1" x14ac:dyDescent="0.25">
      <c r="A243" s="15">
        <v>242</v>
      </c>
      <c r="B243" s="15" t="s">
        <v>1005</v>
      </c>
      <c r="C243" s="15" t="s">
        <v>1006</v>
      </c>
      <c r="D243" s="15" t="s">
        <v>1007</v>
      </c>
      <c r="E243" s="15" t="s">
        <v>179</v>
      </c>
      <c r="F243" s="41">
        <v>1</v>
      </c>
      <c r="G243" s="42">
        <v>11.3</v>
      </c>
      <c r="H243" s="43">
        <v>0.01</v>
      </c>
      <c r="I243" s="41" t="s">
        <v>63</v>
      </c>
      <c r="J243" s="16">
        <f t="shared" si="6"/>
        <v>11.187000000000001</v>
      </c>
      <c r="K243" s="16">
        <f>IF(Q243="",0,IF(SUMPRODUCT(('Returns &amp; Refunds'!$A$6:$A$11=C243)*('Returns &amp; Refunds'!$H$6:$H$11="Confirmed Good — Remove Charge"))&gt;0,0,Q243))</f>
        <v>11.187000000000001</v>
      </c>
      <c r="L243" s="16">
        <v>15.9</v>
      </c>
      <c r="M243" s="28">
        <v>15.7</v>
      </c>
      <c r="N243" s="29">
        <v>1.26E-2</v>
      </c>
      <c r="O243" s="44" t="s">
        <v>62</v>
      </c>
      <c r="P243" s="15"/>
      <c r="Q243" s="16">
        <f t="shared" si="7"/>
        <v>11.187000000000001</v>
      </c>
    </row>
    <row r="244" spans="1:17" ht="15" customHeight="1" x14ac:dyDescent="0.25">
      <c r="A244" s="15">
        <v>243</v>
      </c>
      <c r="B244" s="15" t="s">
        <v>1005</v>
      </c>
      <c r="C244" s="15" t="s">
        <v>1006</v>
      </c>
      <c r="D244" s="15" t="s">
        <v>1007</v>
      </c>
      <c r="E244" s="15" t="s">
        <v>239</v>
      </c>
      <c r="F244" s="41">
        <v>1</v>
      </c>
      <c r="G244" s="42">
        <v>10.6</v>
      </c>
      <c r="H244" s="43">
        <v>0.01</v>
      </c>
      <c r="I244" s="41" t="s">
        <v>63</v>
      </c>
      <c r="J244" s="16">
        <f t="shared" si="6"/>
        <v>10.494</v>
      </c>
      <c r="K244" s="16">
        <f>IF(Q244="",0,IF(SUMPRODUCT(('Returns &amp; Refunds'!$A$6:$A$11=C244)*('Returns &amp; Refunds'!$H$6:$H$11="Confirmed Good — Remove Charge"))&gt;0,0,Q244))</f>
        <v>10.494</v>
      </c>
      <c r="L244" s="16">
        <v>15</v>
      </c>
      <c r="M244" s="28">
        <v>14.9</v>
      </c>
      <c r="N244" s="29">
        <v>6.7000000000000002E-3</v>
      </c>
      <c r="O244" s="44" t="s">
        <v>62</v>
      </c>
      <c r="P244" s="15"/>
      <c r="Q244" s="16">
        <f t="shared" si="7"/>
        <v>10.494</v>
      </c>
    </row>
    <row r="245" spans="1:17" ht="15" customHeight="1" x14ac:dyDescent="0.25">
      <c r="A245" s="15">
        <v>244</v>
      </c>
      <c r="B245" s="15" t="s">
        <v>1008</v>
      </c>
      <c r="C245" s="15" t="s">
        <v>1009</v>
      </c>
      <c r="D245" s="15" t="s">
        <v>1010</v>
      </c>
      <c r="E245" s="15" t="s">
        <v>1011</v>
      </c>
      <c r="F245" s="41">
        <v>1</v>
      </c>
      <c r="G245" s="42">
        <v>49.5</v>
      </c>
      <c r="H245" s="43">
        <v>0.02</v>
      </c>
      <c r="I245" s="41" t="s">
        <v>69</v>
      </c>
      <c r="J245" s="16">
        <f t="shared" si="6"/>
        <v>49.5</v>
      </c>
      <c r="K245" s="16">
        <f>IF(Q245="",0,IF(SUMPRODUCT(('Returns &amp; Refunds'!$A$6:$A$11=C245)*('Returns &amp; Refunds'!$H$6:$H$11="Confirmed Good — Remove Charge"))&gt;0,0,Q245))</f>
        <v>49.5</v>
      </c>
      <c r="L245" s="16">
        <v>67.900000000000006</v>
      </c>
      <c r="M245" s="28">
        <v>67.900000000000006</v>
      </c>
      <c r="N245" s="29">
        <v>0</v>
      </c>
      <c r="O245" s="45" t="s">
        <v>68</v>
      </c>
      <c r="P245" s="15"/>
      <c r="Q245" s="16">
        <f t="shared" si="7"/>
        <v>49.5</v>
      </c>
    </row>
    <row r="246" spans="1:17" ht="15" customHeight="1" x14ac:dyDescent="0.25">
      <c r="A246" s="15">
        <v>245</v>
      </c>
      <c r="B246" s="15" t="s">
        <v>1012</v>
      </c>
      <c r="C246" s="15" t="s">
        <v>1013</v>
      </c>
      <c r="D246" s="15" t="s">
        <v>1014</v>
      </c>
      <c r="E246" s="15" t="s">
        <v>1015</v>
      </c>
      <c r="F246" s="41">
        <v>1</v>
      </c>
      <c r="G246" s="42">
        <v>18.3</v>
      </c>
      <c r="H246" s="43">
        <v>0.2</v>
      </c>
      <c r="I246" s="41" t="s">
        <v>63</v>
      </c>
      <c r="J246" s="16">
        <f t="shared" si="6"/>
        <v>14.64</v>
      </c>
      <c r="K246" s="16">
        <f>IF(Q246="",0,IF(SUMPRODUCT(('Returns &amp; Refunds'!$A$6:$A$11=C246)*('Returns &amp; Refunds'!$H$6:$H$11="Confirmed Good — Remove Charge"))&gt;0,0,Q246))</f>
        <v>14.64</v>
      </c>
      <c r="L246" s="16">
        <v>24.9</v>
      </c>
      <c r="M246" s="28">
        <v>19.899999999999999</v>
      </c>
      <c r="N246" s="29">
        <v>0.20080000000000001</v>
      </c>
      <c r="O246" s="44" t="s">
        <v>62</v>
      </c>
      <c r="P246" s="15"/>
      <c r="Q246" s="16">
        <f t="shared" si="7"/>
        <v>14.64</v>
      </c>
    </row>
    <row r="247" spans="1:17" ht="15" customHeight="1" x14ac:dyDescent="0.25">
      <c r="A247" s="15">
        <v>246</v>
      </c>
      <c r="B247" s="15" t="s">
        <v>1016</v>
      </c>
      <c r="C247" s="15" t="s">
        <v>1017</v>
      </c>
      <c r="D247" s="15" t="s">
        <v>1018</v>
      </c>
      <c r="E247" s="15" t="s">
        <v>547</v>
      </c>
      <c r="F247" s="41">
        <v>1</v>
      </c>
      <c r="G247" s="42">
        <v>13.2</v>
      </c>
      <c r="H247" s="43">
        <v>0.01</v>
      </c>
      <c r="I247" s="41" t="s">
        <v>63</v>
      </c>
      <c r="J247" s="16">
        <f t="shared" si="6"/>
        <v>13.068</v>
      </c>
      <c r="K247" s="16">
        <f>IF(Q247="",0,IF(SUMPRODUCT(('Returns &amp; Refunds'!$A$6:$A$11=C247)*('Returns &amp; Refunds'!$H$6:$H$11="Confirmed Good — Remove Charge"))&gt;0,0,Q247))</f>
        <v>13.068</v>
      </c>
      <c r="L247" s="16">
        <v>17.899999999999999</v>
      </c>
      <c r="M247" s="28">
        <v>17.7</v>
      </c>
      <c r="N247" s="29">
        <v>1.12E-2</v>
      </c>
      <c r="O247" s="44" t="s">
        <v>62</v>
      </c>
      <c r="P247" s="15"/>
      <c r="Q247" s="16">
        <f t="shared" si="7"/>
        <v>13.068</v>
      </c>
    </row>
    <row r="248" spans="1:17" ht="15" customHeight="1" x14ac:dyDescent="0.25">
      <c r="A248" s="15">
        <v>247</v>
      </c>
      <c r="B248" s="15" t="s">
        <v>1019</v>
      </c>
      <c r="C248" s="15" t="s">
        <v>1020</v>
      </c>
      <c r="D248" s="15" t="s">
        <v>1021</v>
      </c>
      <c r="E248" s="15" t="s">
        <v>186</v>
      </c>
      <c r="F248" s="41">
        <v>2</v>
      </c>
      <c r="G248" s="42">
        <v>12.4</v>
      </c>
      <c r="H248" s="43">
        <v>0.01</v>
      </c>
      <c r="I248" s="41" t="s">
        <v>63</v>
      </c>
      <c r="J248" s="16">
        <f t="shared" si="6"/>
        <v>12.276</v>
      </c>
      <c r="K248" s="16">
        <f>IF(Q248="",0,IF(SUMPRODUCT(('Returns &amp; Refunds'!$A$6:$A$11=C248)*('Returns &amp; Refunds'!$H$6:$H$11="Confirmed Good — Remove Charge"))&gt;0,0,Q248))</f>
        <v>24.552</v>
      </c>
      <c r="L248" s="16">
        <v>17.899999999999999</v>
      </c>
      <c r="M248" s="28">
        <v>17.7</v>
      </c>
      <c r="N248" s="29">
        <v>1.12E-2</v>
      </c>
      <c r="O248" s="44" t="s">
        <v>62</v>
      </c>
      <c r="P248" s="15"/>
      <c r="Q248" s="16">
        <f t="shared" si="7"/>
        <v>24.552</v>
      </c>
    </row>
    <row r="249" spans="1:17" ht="15" customHeight="1" x14ac:dyDescent="0.25">
      <c r="A249" s="15">
        <v>248</v>
      </c>
      <c r="B249" s="15" t="s">
        <v>1022</v>
      </c>
      <c r="C249" s="15" t="s">
        <v>1023</v>
      </c>
      <c r="D249" s="15" t="s">
        <v>1024</v>
      </c>
      <c r="E249" s="15" t="s">
        <v>518</v>
      </c>
      <c r="F249" s="41">
        <v>1</v>
      </c>
      <c r="G249" s="42">
        <v>10.6</v>
      </c>
      <c r="H249" s="43">
        <v>0.01</v>
      </c>
      <c r="I249" s="41" t="s">
        <v>63</v>
      </c>
      <c r="J249" s="16">
        <f t="shared" si="6"/>
        <v>10.494</v>
      </c>
      <c r="K249" s="16">
        <f>IF(Q249="",0,IF(SUMPRODUCT(('Returns &amp; Refunds'!$A$6:$A$11=C249)*('Returns &amp; Refunds'!$H$6:$H$11="Confirmed Good — Remove Charge"))&gt;0,0,Q249))</f>
        <v>10.494</v>
      </c>
      <c r="L249" s="16">
        <v>15</v>
      </c>
      <c r="M249" s="28">
        <v>14.9</v>
      </c>
      <c r="N249" s="29">
        <v>6.7000000000000002E-3</v>
      </c>
      <c r="O249" s="44" t="s">
        <v>62</v>
      </c>
      <c r="P249" s="15"/>
      <c r="Q249" s="16">
        <f t="shared" si="7"/>
        <v>10.494</v>
      </c>
    </row>
    <row r="250" spans="1:17" ht="15" customHeight="1" x14ac:dyDescent="0.25">
      <c r="A250" s="15">
        <v>249</v>
      </c>
      <c r="B250" s="15" t="s">
        <v>1025</v>
      </c>
      <c r="C250" s="15" t="s">
        <v>1026</v>
      </c>
      <c r="D250" s="15" t="s">
        <v>1027</v>
      </c>
      <c r="E250" s="15" t="s">
        <v>505</v>
      </c>
      <c r="F250" s="41">
        <v>2</v>
      </c>
      <c r="G250" s="42">
        <v>13.1</v>
      </c>
      <c r="H250" s="43">
        <v>0.01</v>
      </c>
      <c r="I250" s="41" t="s">
        <v>63</v>
      </c>
      <c r="J250" s="16">
        <f t="shared" si="6"/>
        <v>12.968999999999999</v>
      </c>
      <c r="K250" s="16">
        <f>IF(Q250="",0,IF(SUMPRODUCT(('Returns &amp; Refunds'!$A$6:$A$11=C250)*('Returns &amp; Refunds'!$H$6:$H$11="Confirmed Good — Remove Charge"))&gt;0,0,Q250))</f>
        <v>25.937999999999999</v>
      </c>
      <c r="L250" s="16">
        <v>17.899999999999999</v>
      </c>
      <c r="M250" s="28">
        <v>17.7</v>
      </c>
      <c r="N250" s="29">
        <v>1.12E-2</v>
      </c>
      <c r="O250" s="44" t="s">
        <v>62</v>
      </c>
      <c r="P250" s="15"/>
      <c r="Q250" s="16">
        <f t="shared" si="7"/>
        <v>25.937999999999999</v>
      </c>
    </row>
    <row r="251" spans="1:17" ht="15" customHeight="1" x14ac:dyDescent="0.25">
      <c r="A251" s="15">
        <v>250</v>
      </c>
      <c r="B251" s="15" t="s">
        <v>1028</v>
      </c>
      <c r="C251" s="15" t="s">
        <v>1029</v>
      </c>
      <c r="D251" s="15" t="s">
        <v>1030</v>
      </c>
      <c r="E251" s="15" t="s">
        <v>1031</v>
      </c>
      <c r="F251" s="41">
        <v>1</v>
      </c>
      <c r="G251" s="42">
        <v>10.8</v>
      </c>
      <c r="H251" s="43">
        <v>0.35</v>
      </c>
      <c r="I251" s="41" t="s">
        <v>63</v>
      </c>
      <c r="J251" s="16">
        <f t="shared" si="6"/>
        <v>7.0200000000000005</v>
      </c>
      <c r="K251" s="16">
        <f>IF(Q251="",0,IF(SUMPRODUCT(('Returns &amp; Refunds'!$A$6:$A$11=C251)*('Returns &amp; Refunds'!$H$6:$H$11="Confirmed Good — Remove Charge"))&gt;0,0,Q251))</f>
        <v>7.0200000000000005</v>
      </c>
      <c r="L251" s="16">
        <v>15.9</v>
      </c>
      <c r="M251" s="28">
        <v>10.3</v>
      </c>
      <c r="N251" s="29">
        <v>0.35220000000000001</v>
      </c>
      <c r="O251" s="44" t="s">
        <v>62</v>
      </c>
      <c r="P251" s="15"/>
      <c r="Q251" s="16">
        <f t="shared" si="7"/>
        <v>7.0200000000000005</v>
      </c>
    </row>
    <row r="252" spans="1:17" ht="15" customHeight="1" x14ac:dyDescent="0.25">
      <c r="A252" s="15">
        <v>251</v>
      </c>
      <c r="B252" s="15" t="s">
        <v>1032</v>
      </c>
      <c r="C252" s="15" t="s">
        <v>1033</v>
      </c>
      <c r="D252" s="15" t="s">
        <v>1034</v>
      </c>
      <c r="E252" s="15" t="s">
        <v>179</v>
      </c>
      <c r="F252" s="41">
        <v>2</v>
      </c>
      <c r="G252" s="42">
        <v>11.3</v>
      </c>
      <c r="H252" s="43">
        <v>0.01</v>
      </c>
      <c r="I252" s="41" t="s">
        <v>63</v>
      </c>
      <c r="J252" s="16">
        <f t="shared" si="6"/>
        <v>11.187000000000001</v>
      </c>
      <c r="K252" s="16">
        <f>IF(Q252="",0,IF(SUMPRODUCT(('Returns &amp; Refunds'!$A$6:$A$11=C252)*('Returns &amp; Refunds'!$H$6:$H$11="Confirmed Good — Remove Charge"))&gt;0,0,Q252))</f>
        <v>22.374000000000002</v>
      </c>
      <c r="L252" s="16">
        <v>15.9</v>
      </c>
      <c r="M252" s="28">
        <v>15.7</v>
      </c>
      <c r="N252" s="29">
        <v>1.26E-2</v>
      </c>
      <c r="O252" s="44" t="s">
        <v>62</v>
      </c>
      <c r="P252" s="15"/>
      <c r="Q252" s="16">
        <f t="shared" si="7"/>
        <v>22.374000000000002</v>
      </c>
    </row>
    <row r="253" spans="1:17" ht="15" customHeight="1" x14ac:dyDescent="0.25">
      <c r="A253" s="15">
        <v>252</v>
      </c>
      <c r="B253" s="15" t="s">
        <v>1035</v>
      </c>
      <c r="C253" s="15" t="s">
        <v>1036</v>
      </c>
      <c r="D253" s="15" t="s">
        <v>1037</v>
      </c>
      <c r="E253" s="15" t="s">
        <v>243</v>
      </c>
      <c r="F253" s="41">
        <v>1</v>
      </c>
      <c r="G253" s="42">
        <v>10.5</v>
      </c>
      <c r="H253" s="43">
        <v>0.01</v>
      </c>
      <c r="I253" s="41" t="s">
        <v>63</v>
      </c>
      <c r="J253" s="16">
        <f t="shared" si="6"/>
        <v>10.395</v>
      </c>
      <c r="K253" s="16">
        <f>IF(Q253="",0,IF(SUMPRODUCT(('Returns &amp; Refunds'!$A$6:$A$11=C253)*('Returns &amp; Refunds'!$H$6:$H$11="Confirmed Good — Remove Charge"))&gt;0,0,Q253))</f>
        <v>10.395</v>
      </c>
      <c r="L253" s="16">
        <v>15</v>
      </c>
      <c r="M253" s="28">
        <v>14.9</v>
      </c>
      <c r="N253" s="29">
        <v>6.7000000000000002E-3</v>
      </c>
      <c r="O253" s="44" t="s">
        <v>62</v>
      </c>
      <c r="P253" s="15"/>
      <c r="Q253" s="16">
        <f t="shared" si="7"/>
        <v>10.395</v>
      </c>
    </row>
    <row r="254" spans="1:17" ht="15" customHeight="1" x14ac:dyDescent="0.25">
      <c r="A254" s="15">
        <v>253</v>
      </c>
      <c r="B254" s="15" t="s">
        <v>177</v>
      </c>
      <c r="C254" s="15" t="s">
        <v>178</v>
      </c>
      <c r="D254" s="15" t="s">
        <v>1038</v>
      </c>
      <c r="E254" s="15" t="s">
        <v>179</v>
      </c>
      <c r="F254" s="41">
        <v>3</v>
      </c>
      <c r="G254" s="42">
        <v>11.3</v>
      </c>
      <c r="H254" s="43">
        <v>0.01</v>
      </c>
      <c r="I254" s="46" t="str">
        <f>IF('Pending DSP Entry'!L54="Charge Full DSP Instead","No","Yes")</f>
        <v>Yes</v>
      </c>
      <c r="J254" s="16">
        <f t="shared" si="6"/>
        <v>11.187000000000001</v>
      </c>
      <c r="K254" s="16">
        <f>IF(Q254="",0,IF(SUMPRODUCT(('Returns &amp; Refunds'!$A$6:$A$11=C254)*('Returns &amp; Refunds'!$H$6:$H$11="Confirmed Good — Remove Charge"))&gt;0,0,Q254))</f>
        <v>33.561000000000007</v>
      </c>
      <c r="L254" s="16">
        <v>15.9</v>
      </c>
      <c r="M254" s="28">
        <v>15.54</v>
      </c>
      <c r="N254" s="29">
        <v>2.2599999999999999E-2</v>
      </c>
      <c r="O254" s="38" t="s">
        <v>129</v>
      </c>
      <c r="P254" s="47" t="str">
        <f>"Wrong rate set by reseller — decision at Pending DSP Entry section D, row 54"</f>
        <v>Wrong rate set by reseller — decision at Pending DSP Entry section D, row 54</v>
      </c>
      <c r="Q254" s="16">
        <f t="shared" si="7"/>
        <v>33.561000000000007</v>
      </c>
    </row>
    <row r="255" spans="1:17" ht="15" customHeight="1" x14ac:dyDescent="0.25">
      <c r="A255" s="15">
        <v>254</v>
      </c>
      <c r="B255" s="15" t="s">
        <v>1039</v>
      </c>
      <c r="C255" s="15" t="s">
        <v>1040</v>
      </c>
      <c r="D255" s="15" t="s">
        <v>1041</v>
      </c>
      <c r="E255" s="15" t="s">
        <v>394</v>
      </c>
      <c r="F255" s="41">
        <v>1</v>
      </c>
      <c r="G255" s="42">
        <v>13.1</v>
      </c>
      <c r="H255" s="43">
        <v>0.01</v>
      </c>
      <c r="I255" s="41" t="s">
        <v>63</v>
      </c>
      <c r="J255" s="16">
        <f t="shared" si="6"/>
        <v>12.968999999999999</v>
      </c>
      <c r="K255" s="16">
        <f>IF(Q255="",0,IF(SUMPRODUCT(('Returns &amp; Refunds'!$A$6:$A$11=C255)*('Returns &amp; Refunds'!$H$6:$H$11="Confirmed Good — Remove Charge"))&gt;0,0,Q255))</f>
        <v>12.968999999999999</v>
      </c>
      <c r="L255" s="16">
        <v>17.899999999999999</v>
      </c>
      <c r="M255" s="28">
        <v>17.7</v>
      </c>
      <c r="N255" s="29">
        <v>1.12E-2</v>
      </c>
      <c r="O255" s="44" t="s">
        <v>62</v>
      </c>
      <c r="P255" s="15"/>
      <c r="Q255" s="16">
        <f t="shared" si="7"/>
        <v>12.968999999999999</v>
      </c>
    </row>
    <row r="256" spans="1:17" ht="15" customHeight="1" x14ac:dyDescent="0.25">
      <c r="A256" s="15">
        <v>255</v>
      </c>
      <c r="B256" s="15" t="s">
        <v>1042</v>
      </c>
      <c r="C256" s="15" t="s">
        <v>1043</v>
      </c>
      <c r="D256" s="15" t="s">
        <v>1044</v>
      </c>
      <c r="E256" s="15" t="s">
        <v>1045</v>
      </c>
      <c r="F256" s="41">
        <v>1</v>
      </c>
      <c r="G256" s="42">
        <v>14.9</v>
      </c>
      <c r="H256" s="43">
        <v>0.05</v>
      </c>
      <c r="I256" s="41" t="s">
        <v>63</v>
      </c>
      <c r="J256" s="16">
        <f t="shared" si="6"/>
        <v>14.154999999999999</v>
      </c>
      <c r="K256" s="16">
        <f>IF(Q256="",0,IF(SUMPRODUCT(('Returns &amp; Refunds'!$A$6:$A$11=C256)*('Returns &amp; Refunds'!$H$6:$H$11="Confirmed Good — Remove Charge"))&gt;0,0,Q256))</f>
        <v>14.154999999999999</v>
      </c>
      <c r="L256" s="16">
        <v>19.899999999999999</v>
      </c>
      <c r="M256" s="28">
        <v>18.899999999999999</v>
      </c>
      <c r="N256" s="29">
        <v>5.0299999999999997E-2</v>
      </c>
      <c r="O256" s="44" t="s">
        <v>62</v>
      </c>
      <c r="P256" s="15"/>
      <c r="Q256" s="16">
        <f t="shared" si="7"/>
        <v>14.154999999999999</v>
      </c>
    </row>
    <row r="257" spans="1:17" ht="15" customHeight="1" x14ac:dyDescent="0.25">
      <c r="A257" s="15">
        <v>256</v>
      </c>
      <c r="B257" s="15" t="s">
        <v>1046</v>
      </c>
      <c r="C257" s="15" t="s">
        <v>1047</v>
      </c>
      <c r="D257" s="15" t="s">
        <v>1048</v>
      </c>
      <c r="E257" s="15" t="s">
        <v>972</v>
      </c>
      <c r="F257" s="41">
        <v>1</v>
      </c>
      <c r="G257" s="42">
        <v>13.1</v>
      </c>
      <c r="H257" s="43">
        <v>0.01</v>
      </c>
      <c r="I257" s="41" t="s">
        <v>63</v>
      </c>
      <c r="J257" s="16">
        <f t="shared" si="6"/>
        <v>12.968999999999999</v>
      </c>
      <c r="K257" s="16">
        <f>IF(Q257="",0,IF(SUMPRODUCT(('Returns &amp; Refunds'!$A$6:$A$11=C257)*('Returns &amp; Refunds'!$H$6:$H$11="Confirmed Good — Remove Charge"))&gt;0,0,Q257))</f>
        <v>12.968999999999999</v>
      </c>
      <c r="L257" s="16">
        <v>17.899999999999999</v>
      </c>
      <c r="M257" s="28">
        <v>17.73</v>
      </c>
      <c r="N257" s="29">
        <v>9.4999999999999998E-3</v>
      </c>
      <c r="O257" s="44" t="s">
        <v>62</v>
      </c>
      <c r="P257" s="15"/>
      <c r="Q257" s="16">
        <f t="shared" si="7"/>
        <v>12.968999999999999</v>
      </c>
    </row>
    <row r="258" spans="1:17" ht="15" customHeight="1" x14ac:dyDescent="0.25">
      <c r="A258" s="15">
        <v>257</v>
      </c>
      <c r="B258" s="15" t="s">
        <v>1049</v>
      </c>
      <c r="C258" s="15" t="s">
        <v>1050</v>
      </c>
      <c r="D258" s="15" t="s">
        <v>1051</v>
      </c>
      <c r="E258" s="15" t="s">
        <v>1052</v>
      </c>
      <c r="F258" s="41">
        <v>1</v>
      </c>
      <c r="G258" s="42">
        <v>18.3</v>
      </c>
      <c r="H258" s="43">
        <v>0.05</v>
      </c>
      <c r="I258" s="41" t="s">
        <v>63</v>
      </c>
      <c r="J258" s="16">
        <f t="shared" ref="J258:J321" si="8">IF(G258="","",IF(I258="Yes",G258*(1-H258),G258))</f>
        <v>17.385000000000002</v>
      </c>
      <c r="K258" s="16">
        <f>IF(Q258="",0,IF(SUMPRODUCT(('Returns &amp; Refunds'!$A$6:$A$11=C258)*('Returns &amp; Refunds'!$H$6:$H$11="Confirmed Good — Remove Charge"))&gt;0,0,Q258))</f>
        <v>17.385000000000002</v>
      </c>
      <c r="L258" s="16">
        <v>24.9</v>
      </c>
      <c r="M258" s="28">
        <v>23.7</v>
      </c>
      <c r="N258" s="29">
        <v>4.82E-2</v>
      </c>
      <c r="O258" s="44" t="s">
        <v>62</v>
      </c>
      <c r="P258" s="15"/>
      <c r="Q258" s="16">
        <f t="shared" ref="Q258:Q321" si="9">IF(J258="",0,F258*J258)</f>
        <v>17.385000000000002</v>
      </c>
    </row>
    <row r="259" spans="1:17" ht="15" customHeight="1" x14ac:dyDescent="0.25">
      <c r="A259" s="15">
        <v>258</v>
      </c>
      <c r="B259" s="15" t="s">
        <v>1053</v>
      </c>
      <c r="C259" s="15" t="s">
        <v>1054</v>
      </c>
      <c r="D259" s="15" t="s">
        <v>1055</v>
      </c>
      <c r="E259" s="15" t="s">
        <v>1056</v>
      </c>
      <c r="F259" s="41">
        <v>1</v>
      </c>
      <c r="G259" s="42">
        <v>20.3</v>
      </c>
      <c r="H259" s="43">
        <v>0.02</v>
      </c>
      <c r="I259" s="41" t="s">
        <v>69</v>
      </c>
      <c r="J259" s="16">
        <f t="shared" si="8"/>
        <v>20.3</v>
      </c>
      <c r="K259" s="16">
        <f>IF(Q259="",0,IF(SUMPRODUCT(('Returns &amp; Refunds'!$A$6:$A$11=C259)*('Returns &amp; Refunds'!$H$6:$H$11="Confirmed Good — Remove Charge"))&gt;0,0,Q259))</f>
        <v>20.3</v>
      </c>
      <c r="L259" s="16">
        <v>27.9</v>
      </c>
      <c r="M259" s="28">
        <v>27.9</v>
      </c>
      <c r="N259" s="29">
        <v>0</v>
      </c>
      <c r="O259" s="45" t="s">
        <v>68</v>
      </c>
      <c r="P259" s="15"/>
      <c r="Q259" s="16">
        <f t="shared" si="9"/>
        <v>20.3</v>
      </c>
    </row>
    <row r="260" spans="1:17" ht="15" customHeight="1" x14ac:dyDescent="0.25">
      <c r="A260" s="15">
        <v>259</v>
      </c>
      <c r="B260" s="15" t="s">
        <v>1057</v>
      </c>
      <c r="C260" s="15" t="s">
        <v>1058</v>
      </c>
      <c r="D260" s="15" t="s">
        <v>1059</v>
      </c>
      <c r="E260" s="15" t="s">
        <v>1060</v>
      </c>
      <c r="F260" s="41">
        <v>1</v>
      </c>
      <c r="G260" s="42">
        <v>32.4</v>
      </c>
      <c r="H260" s="43">
        <v>0.2</v>
      </c>
      <c r="I260" s="41" t="s">
        <v>63</v>
      </c>
      <c r="J260" s="16">
        <f t="shared" si="8"/>
        <v>25.92</v>
      </c>
      <c r="K260" s="16">
        <f>IF(Q260="",0,IF(SUMPRODUCT(('Returns &amp; Refunds'!$A$6:$A$11=C260)*('Returns &amp; Refunds'!$H$6:$H$11="Confirmed Good — Remove Charge"))&gt;0,0,Q260))</f>
        <v>25.92</v>
      </c>
      <c r="L260" s="16">
        <v>44.9</v>
      </c>
      <c r="M260" s="28">
        <v>35.9</v>
      </c>
      <c r="N260" s="29">
        <v>0.20039999999999999</v>
      </c>
      <c r="O260" s="44" t="s">
        <v>62</v>
      </c>
      <c r="P260" s="15"/>
      <c r="Q260" s="16">
        <f t="shared" si="9"/>
        <v>25.92</v>
      </c>
    </row>
    <row r="261" spans="1:17" ht="15" customHeight="1" x14ac:dyDescent="0.25">
      <c r="A261" s="15">
        <v>260</v>
      </c>
      <c r="B261" s="15" t="s">
        <v>1061</v>
      </c>
      <c r="C261" s="15" t="s">
        <v>1062</v>
      </c>
      <c r="D261" s="15" t="s">
        <v>1063</v>
      </c>
      <c r="E261" s="15" t="s">
        <v>1064</v>
      </c>
      <c r="F261" s="41">
        <v>1</v>
      </c>
      <c r="G261" s="42">
        <v>52.2</v>
      </c>
      <c r="H261" s="43">
        <v>0.05</v>
      </c>
      <c r="I261" s="41" t="s">
        <v>69</v>
      </c>
      <c r="J261" s="16">
        <f t="shared" si="8"/>
        <v>52.2</v>
      </c>
      <c r="K261" s="16">
        <f>IF(Q261="",0,IF(SUMPRODUCT(('Returns &amp; Refunds'!$A$6:$A$11=C261)*('Returns &amp; Refunds'!$H$6:$H$11="Confirmed Good — Remove Charge"))&gt;0,0,Q261))</f>
        <v>52.2</v>
      </c>
      <c r="L261" s="16">
        <v>65.900000000000006</v>
      </c>
      <c r="M261" s="28">
        <v>65.900000000000006</v>
      </c>
      <c r="N261" s="29">
        <v>0</v>
      </c>
      <c r="O261" s="45" t="s">
        <v>68</v>
      </c>
      <c r="P261" s="15"/>
      <c r="Q261" s="16">
        <f t="shared" si="9"/>
        <v>52.2</v>
      </c>
    </row>
    <row r="262" spans="1:17" ht="15" customHeight="1" x14ac:dyDescent="0.25">
      <c r="A262" s="15">
        <v>261</v>
      </c>
      <c r="B262" s="15" t="s">
        <v>1065</v>
      </c>
      <c r="C262" s="15" t="s">
        <v>1066</v>
      </c>
      <c r="D262" s="15" t="s">
        <v>1067</v>
      </c>
      <c r="E262" s="15" t="s">
        <v>229</v>
      </c>
      <c r="F262" s="41">
        <v>1</v>
      </c>
      <c r="G262" s="42">
        <v>18.8</v>
      </c>
      <c r="H262" s="43">
        <v>0.01</v>
      </c>
      <c r="I262" s="41" t="s">
        <v>63</v>
      </c>
      <c r="J262" s="16">
        <f t="shared" si="8"/>
        <v>18.612000000000002</v>
      </c>
      <c r="K262" s="16">
        <f>IF(Q262="",0,IF(SUMPRODUCT(('Returns &amp; Refunds'!$A$6:$A$11=C262)*('Returns &amp; Refunds'!$H$6:$H$11="Confirmed Good — Remove Charge"))&gt;0,0,Q262))</f>
        <v>18.612000000000002</v>
      </c>
      <c r="L262" s="16">
        <v>24.9</v>
      </c>
      <c r="M262" s="28">
        <v>24.7</v>
      </c>
      <c r="N262" s="29">
        <v>8.0000000000000002E-3</v>
      </c>
      <c r="O262" s="44" t="s">
        <v>62</v>
      </c>
      <c r="P262" s="15"/>
      <c r="Q262" s="16">
        <f t="shared" si="9"/>
        <v>18.612000000000002</v>
      </c>
    </row>
    <row r="263" spans="1:17" ht="15" customHeight="1" x14ac:dyDescent="0.25">
      <c r="A263" s="15">
        <v>262</v>
      </c>
      <c r="B263" s="15" t="s">
        <v>1068</v>
      </c>
      <c r="C263" s="15" t="s">
        <v>1069</v>
      </c>
      <c r="D263" s="15" t="s">
        <v>1070</v>
      </c>
      <c r="E263" s="15" t="s">
        <v>592</v>
      </c>
      <c r="F263" s="41">
        <v>1</v>
      </c>
      <c r="G263" s="42">
        <v>20.6</v>
      </c>
      <c r="H263" s="43">
        <v>0.06</v>
      </c>
      <c r="I263" s="41" t="s">
        <v>69</v>
      </c>
      <c r="J263" s="16">
        <f t="shared" si="8"/>
        <v>20.6</v>
      </c>
      <c r="K263" s="16">
        <f>IF(Q263="",0,IF(SUMPRODUCT(('Returns &amp; Refunds'!$A$6:$A$11=C263)*('Returns &amp; Refunds'!$H$6:$H$11="Confirmed Good — Remove Charge"))&gt;0,0,Q263))</f>
        <v>20.6</v>
      </c>
      <c r="L263" s="16">
        <v>29.9</v>
      </c>
      <c r="M263" s="28">
        <v>29.9</v>
      </c>
      <c r="N263" s="29">
        <v>0</v>
      </c>
      <c r="O263" s="45" t="s">
        <v>68</v>
      </c>
      <c r="P263" s="15"/>
      <c r="Q263" s="16">
        <f t="shared" si="9"/>
        <v>20.6</v>
      </c>
    </row>
    <row r="264" spans="1:17" ht="15" customHeight="1" x14ac:dyDescent="0.25">
      <c r="A264" s="15">
        <v>263</v>
      </c>
      <c r="B264" s="15" t="s">
        <v>1071</v>
      </c>
      <c r="C264" s="15" t="s">
        <v>1072</v>
      </c>
      <c r="D264" s="15" t="s">
        <v>1073</v>
      </c>
      <c r="E264" s="15" t="s">
        <v>179</v>
      </c>
      <c r="F264" s="41">
        <v>1</v>
      </c>
      <c r="G264" s="42">
        <v>11.3</v>
      </c>
      <c r="H264" s="43">
        <v>0.01</v>
      </c>
      <c r="I264" s="41" t="s">
        <v>63</v>
      </c>
      <c r="J264" s="16">
        <f t="shared" si="8"/>
        <v>11.187000000000001</v>
      </c>
      <c r="K264" s="16">
        <f>IF(Q264="",0,IF(SUMPRODUCT(('Returns &amp; Refunds'!$A$6:$A$11=C264)*('Returns &amp; Refunds'!$H$6:$H$11="Confirmed Good — Remove Charge"))&gt;0,0,Q264))</f>
        <v>11.187000000000001</v>
      </c>
      <c r="L264" s="16">
        <v>15.9</v>
      </c>
      <c r="M264" s="28">
        <v>15.7</v>
      </c>
      <c r="N264" s="29">
        <v>1.26E-2</v>
      </c>
      <c r="O264" s="44" t="s">
        <v>62</v>
      </c>
      <c r="P264" s="15"/>
      <c r="Q264" s="16">
        <f t="shared" si="9"/>
        <v>11.187000000000001</v>
      </c>
    </row>
    <row r="265" spans="1:17" ht="15" customHeight="1" x14ac:dyDescent="0.25">
      <c r="A265" s="15">
        <v>264</v>
      </c>
      <c r="B265" s="15" t="s">
        <v>1074</v>
      </c>
      <c r="C265" s="15" t="s">
        <v>1075</v>
      </c>
      <c r="D265" s="15" t="s">
        <v>1076</v>
      </c>
      <c r="E265" s="15" t="s">
        <v>480</v>
      </c>
      <c r="F265" s="41">
        <v>1</v>
      </c>
      <c r="G265" s="42">
        <v>18.8</v>
      </c>
      <c r="H265" s="43">
        <v>0.01</v>
      </c>
      <c r="I265" s="41" t="s">
        <v>63</v>
      </c>
      <c r="J265" s="16">
        <f t="shared" si="8"/>
        <v>18.612000000000002</v>
      </c>
      <c r="K265" s="16">
        <f>IF(Q265="",0,IF(SUMPRODUCT(('Returns &amp; Refunds'!$A$6:$A$11=C265)*('Returns &amp; Refunds'!$H$6:$H$11="Confirmed Good — Remove Charge"))&gt;0,0,Q265))</f>
        <v>18.612000000000002</v>
      </c>
      <c r="L265" s="16">
        <v>24.9</v>
      </c>
      <c r="M265" s="28">
        <v>24.7</v>
      </c>
      <c r="N265" s="29">
        <v>8.0000000000000002E-3</v>
      </c>
      <c r="O265" s="44" t="s">
        <v>62</v>
      </c>
      <c r="P265" s="15"/>
      <c r="Q265" s="16">
        <f t="shared" si="9"/>
        <v>18.612000000000002</v>
      </c>
    </row>
    <row r="266" spans="1:17" ht="15" customHeight="1" x14ac:dyDescent="0.25">
      <c r="A266" s="15">
        <v>265</v>
      </c>
      <c r="B266" s="15" t="s">
        <v>1077</v>
      </c>
      <c r="C266" s="15" t="s">
        <v>1078</v>
      </c>
      <c r="D266" s="15" t="s">
        <v>1079</v>
      </c>
      <c r="E266" s="15" t="s">
        <v>204</v>
      </c>
      <c r="F266" s="41">
        <v>1</v>
      </c>
      <c r="G266" s="42">
        <v>14.8</v>
      </c>
      <c r="H266" s="43">
        <v>0.01</v>
      </c>
      <c r="I266" s="41" t="s">
        <v>63</v>
      </c>
      <c r="J266" s="16">
        <f t="shared" si="8"/>
        <v>14.652000000000001</v>
      </c>
      <c r="K266" s="16">
        <f>IF(Q266="",0,IF(SUMPRODUCT(('Returns &amp; Refunds'!$A$6:$A$11=C266)*('Returns &amp; Refunds'!$H$6:$H$11="Confirmed Good — Remove Charge"))&gt;0,0,Q266))</f>
        <v>14.652000000000001</v>
      </c>
      <c r="L266" s="16">
        <v>20.9</v>
      </c>
      <c r="M266" s="28">
        <v>20.7</v>
      </c>
      <c r="N266" s="29">
        <v>9.5999999999999992E-3</v>
      </c>
      <c r="O266" s="44" t="s">
        <v>62</v>
      </c>
      <c r="P266" s="15"/>
      <c r="Q266" s="16">
        <f t="shared" si="9"/>
        <v>14.652000000000001</v>
      </c>
    </row>
    <row r="267" spans="1:17" ht="15" customHeight="1" x14ac:dyDescent="0.25">
      <c r="A267" s="15">
        <v>266</v>
      </c>
      <c r="B267" s="15" t="s">
        <v>1077</v>
      </c>
      <c r="C267" s="15" t="s">
        <v>1078</v>
      </c>
      <c r="D267" s="15" t="s">
        <v>1079</v>
      </c>
      <c r="E267" s="15" t="s">
        <v>505</v>
      </c>
      <c r="F267" s="41">
        <v>1</v>
      </c>
      <c r="G267" s="42">
        <v>13.1</v>
      </c>
      <c r="H267" s="43">
        <v>0.01</v>
      </c>
      <c r="I267" s="41" t="s">
        <v>63</v>
      </c>
      <c r="J267" s="16">
        <f t="shared" si="8"/>
        <v>12.968999999999999</v>
      </c>
      <c r="K267" s="16">
        <f>IF(Q267="",0,IF(SUMPRODUCT(('Returns &amp; Refunds'!$A$6:$A$11=C267)*('Returns &amp; Refunds'!$H$6:$H$11="Confirmed Good — Remove Charge"))&gt;0,0,Q267))</f>
        <v>12.968999999999999</v>
      </c>
      <c r="L267" s="16">
        <v>17.899999999999999</v>
      </c>
      <c r="M267" s="28">
        <v>17.7</v>
      </c>
      <c r="N267" s="29">
        <v>1.12E-2</v>
      </c>
      <c r="O267" s="44" t="s">
        <v>62</v>
      </c>
      <c r="P267" s="15"/>
      <c r="Q267" s="16">
        <f t="shared" si="9"/>
        <v>12.968999999999999</v>
      </c>
    </row>
    <row r="268" spans="1:17" ht="15" customHeight="1" x14ac:dyDescent="0.25">
      <c r="A268" s="15">
        <v>267</v>
      </c>
      <c r="B268" s="15" t="s">
        <v>1080</v>
      </c>
      <c r="C268" s="15" t="s">
        <v>1081</v>
      </c>
      <c r="D268" s="15" t="s">
        <v>1082</v>
      </c>
      <c r="E268" s="15" t="s">
        <v>1083</v>
      </c>
      <c r="F268" s="41">
        <v>1</v>
      </c>
      <c r="G268" s="42">
        <v>20.8</v>
      </c>
      <c r="H268" s="43">
        <v>0.3</v>
      </c>
      <c r="I268" s="41" t="s">
        <v>63</v>
      </c>
      <c r="J268" s="16">
        <f t="shared" si="8"/>
        <v>14.559999999999999</v>
      </c>
      <c r="K268" s="16">
        <f>IF(Q268="",0,IF(SUMPRODUCT(('Returns &amp; Refunds'!$A$6:$A$11=C268)*('Returns &amp; Refunds'!$H$6:$H$11="Confirmed Good — Remove Charge"))&gt;0,0,Q268))</f>
        <v>14.559999999999999</v>
      </c>
      <c r="L268" s="16">
        <v>29.9</v>
      </c>
      <c r="M268" s="28">
        <v>20.9</v>
      </c>
      <c r="N268" s="29">
        <v>0.30099999999999999</v>
      </c>
      <c r="O268" s="44" t="s">
        <v>62</v>
      </c>
      <c r="P268" s="15"/>
      <c r="Q268" s="16">
        <f t="shared" si="9"/>
        <v>14.559999999999999</v>
      </c>
    </row>
    <row r="269" spans="1:17" ht="15" customHeight="1" x14ac:dyDescent="0.25">
      <c r="A269" s="15">
        <v>268</v>
      </c>
      <c r="B269" s="15" t="s">
        <v>1084</v>
      </c>
      <c r="C269" s="15" t="s">
        <v>1085</v>
      </c>
      <c r="D269" s="15" t="s">
        <v>1086</v>
      </c>
      <c r="E269" s="15" t="s">
        <v>1087</v>
      </c>
      <c r="F269" s="41">
        <v>1</v>
      </c>
      <c r="G269" s="42">
        <v>13.9</v>
      </c>
      <c r="H269" s="43">
        <v>0.02</v>
      </c>
      <c r="I269" s="41" t="s">
        <v>63</v>
      </c>
      <c r="J269" s="16">
        <f t="shared" si="8"/>
        <v>13.622</v>
      </c>
      <c r="K269" s="16">
        <f>IF(Q269="",0,IF(SUMPRODUCT(('Returns &amp; Refunds'!$A$6:$A$11=C269)*('Returns &amp; Refunds'!$H$6:$H$11="Confirmed Good — Remove Charge"))&gt;0,0,Q269))</f>
        <v>13.622</v>
      </c>
      <c r="L269" s="16">
        <v>19.899999999999999</v>
      </c>
      <c r="M269" s="28">
        <v>19.5</v>
      </c>
      <c r="N269" s="29">
        <v>2.01E-2</v>
      </c>
      <c r="O269" s="44" t="s">
        <v>62</v>
      </c>
      <c r="P269" s="15"/>
      <c r="Q269" s="16">
        <f t="shared" si="9"/>
        <v>13.622</v>
      </c>
    </row>
    <row r="270" spans="1:17" ht="15" customHeight="1" x14ac:dyDescent="0.25">
      <c r="A270" s="15">
        <v>269</v>
      </c>
      <c r="B270" s="15" t="s">
        <v>1088</v>
      </c>
      <c r="C270" s="15" t="s">
        <v>1089</v>
      </c>
      <c r="D270" s="15" t="s">
        <v>1090</v>
      </c>
      <c r="E270" s="15" t="s">
        <v>242</v>
      </c>
      <c r="F270" s="41">
        <v>1</v>
      </c>
      <c r="G270" s="42">
        <v>10.5</v>
      </c>
      <c r="H270" s="43">
        <v>0.01</v>
      </c>
      <c r="I270" s="41" t="s">
        <v>63</v>
      </c>
      <c r="J270" s="16">
        <f t="shared" si="8"/>
        <v>10.395</v>
      </c>
      <c r="K270" s="16">
        <f>IF(Q270="",0,IF(SUMPRODUCT(('Returns &amp; Refunds'!$A$6:$A$11=C270)*('Returns &amp; Refunds'!$H$6:$H$11="Confirmed Good — Remove Charge"))&gt;0,0,Q270))</f>
        <v>10.395</v>
      </c>
      <c r="L270" s="16">
        <v>15</v>
      </c>
      <c r="M270" s="28">
        <v>14.9</v>
      </c>
      <c r="N270" s="29">
        <v>6.7000000000000002E-3</v>
      </c>
      <c r="O270" s="44" t="s">
        <v>62</v>
      </c>
      <c r="P270" s="15"/>
      <c r="Q270" s="16">
        <f t="shared" si="9"/>
        <v>10.395</v>
      </c>
    </row>
    <row r="271" spans="1:17" ht="15" customHeight="1" x14ac:dyDescent="0.25">
      <c r="A271" s="15">
        <v>270</v>
      </c>
      <c r="B271" s="15" t="s">
        <v>1088</v>
      </c>
      <c r="C271" s="15" t="s">
        <v>1089</v>
      </c>
      <c r="D271" s="15" t="s">
        <v>1090</v>
      </c>
      <c r="E271" s="15" t="s">
        <v>653</v>
      </c>
      <c r="F271" s="41">
        <v>1</v>
      </c>
      <c r="G271" s="42">
        <v>10.5</v>
      </c>
      <c r="H271" s="43">
        <v>0.01</v>
      </c>
      <c r="I271" s="41" t="s">
        <v>63</v>
      </c>
      <c r="J271" s="16">
        <f t="shared" si="8"/>
        <v>10.395</v>
      </c>
      <c r="K271" s="16">
        <f>IF(Q271="",0,IF(SUMPRODUCT(('Returns &amp; Refunds'!$A$6:$A$11=C271)*('Returns &amp; Refunds'!$H$6:$H$11="Confirmed Good — Remove Charge"))&gt;0,0,Q271))</f>
        <v>10.395</v>
      </c>
      <c r="L271" s="16">
        <v>15</v>
      </c>
      <c r="M271" s="28">
        <v>14.9</v>
      </c>
      <c r="N271" s="29">
        <v>6.7000000000000002E-3</v>
      </c>
      <c r="O271" s="44" t="s">
        <v>62</v>
      </c>
      <c r="P271" s="15"/>
      <c r="Q271" s="16">
        <f t="shared" si="9"/>
        <v>10.395</v>
      </c>
    </row>
    <row r="272" spans="1:17" ht="15" customHeight="1" x14ac:dyDescent="0.25">
      <c r="A272" s="15">
        <v>271</v>
      </c>
      <c r="B272" s="15" t="s">
        <v>196</v>
      </c>
      <c r="C272" s="15" t="s">
        <v>197</v>
      </c>
      <c r="D272" s="15" t="s">
        <v>1091</v>
      </c>
      <c r="E272" s="15" t="s">
        <v>198</v>
      </c>
      <c r="F272" s="41">
        <v>2</v>
      </c>
      <c r="G272" s="42">
        <v>10</v>
      </c>
      <c r="H272" s="43">
        <v>0.05</v>
      </c>
      <c r="I272" s="46" t="str">
        <f>IF('Pending DSP Entry'!L62="Charge Full DSP Instead","No","Yes")</f>
        <v>Yes</v>
      </c>
      <c r="J272" s="16">
        <f t="shared" si="8"/>
        <v>9.5</v>
      </c>
      <c r="K272" s="16">
        <f>IF(Q272="",0,IF(SUMPRODUCT(('Returns &amp; Refunds'!$A$6:$A$11=C272)*('Returns &amp; Refunds'!$H$6:$H$11="Confirmed Good — Remove Charge"))&gt;0,0,Q272))</f>
        <v>19</v>
      </c>
      <c r="L272" s="16">
        <v>15.9</v>
      </c>
      <c r="M272" s="28">
        <v>14.95</v>
      </c>
      <c r="N272" s="29">
        <v>5.9700000000000003E-2</v>
      </c>
      <c r="O272" s="38" t="s">
        <v>129</v>
      </c>
      <c r="P272" s="47" t="str">
        <f>"Wrong rate set by reseller — decision at Pending DSP Entry section D, row 62"</f>
        <v>Wrong rate set by reseller — decision at Pending DSP Entry section D, row 62</v>
      </c>
      <c r="Q272" s="16">
        <f t="shared" si="9"/>
        <v>19</v>
      </c>
    </row>
    <row r="273" spans="1:17" ht="15" customHeight="1" x14ac:dyDescent="0.25">
      <c r="A273" s="15">
        <v>272</v>
      </c>
      <c r="B273" s="15" t="s">
        <v>196</v>
      </c>
      <c r="C273" s="15" t="s">
        <v>197</v>
      </c>
      <c r="D273" s="15" t="s">
        <v>1091</v>
      </c>
      <c r="E273" s="15" t="s">
        <v>213</v>
      </c>
      <c r="F273" s="41">
        <v>1</v>
      </c>
      <c r="G273" s="42">
        <v>35.4</v>
      </c>
      <c r="H273" s="43">
        <v>0.01</v>
      </c>
      <c r="I273" s="46" t="str">
        <f>IF('Pending DSP Entry'!L75="Charge Full DSP Instead","No","Yes")</f>
        <v>Yes</v>
      </c>
      <c r="J273" s="16">
        <f t="shared" si="8"/>
        <v>35.045999999999999</v>
      </c>
      <c r="K273" s="16">
        <f>IF(Q273="",0,IF(SUMPRODUCT(('Returns &amp; Refunds'!$A$6:$A$11=C273)*('Returns &amp; Refunds'!$H$6:$H$11="Confirmed Good — Remove Charge"))&gt;0,0,Q273))</f>
        <v>35.045999999999999</v>
      </c>
      <c r="L273" s="16">
        <v>44.9</v>
      </c>
      <c r="M273" s="28">
        <v>44.06</v>
      </c>
      <c r="N273" s="29">
        <v>1.8700000000000001E-2</v>
      </c>
      <c r="O273" s="38" t="s">
        <v>129</v>
      </c>
      <c r="P273" s="47" t="str">
        <f>"Wrong rate set by reseller — decision at Pending DSP Entry section D, row 75"</f>
        <v>Wrong rate set by reseller — decision at Pending DSP Entry section D, row 75</v>
      </c>
      <c r="Q273" s="16">
        <f t="shared" si="9"/>
        <v>35.045999999999999</v>
      </c>
    </row>
    <row r="274" spans="1:17" ht="15" customHeight="1" x14ac:dyDescent="0.25">
      <c r="A274" s="15">
        <v>273</v>
      </c>
      <c r="B274" s="15" t="s">
        <v>196</v>
      </c>
      <c r="C274" s="15" t="s">
        <v>197</v>
      </c>
      <c r="D274" s="15" t="s">
        <v>1091</v>
      </c>
      <c r="E274" s="15" t="s">
        <v>208</v>
      </c>
      <c r="F274" s="41">
        <v>1</v>
      </c>
      <c r="G274" s="42">
        <v>6.5</v>
      </c>
      <c r="H274" s="43">
        <v>0.05</v>
      </c>
      <c r="I274" s="46" t="str">
        <f>IF('Pending DSP Entry'!L69="Charge Full DSP Instead","No","Yes")</f>
        <v>Yes</v>
      </c>
      <c r="J274" s="16">
        <f t="shared" si="8"/>
        <v>6.1749999999999998</v>
      </c>
      <c r="K274" s="16">
        <f>IF(Q274="",0,IF(SUMPRODUCT(('Returns &amp; Refunds'!$A$6:$A$11=C274)*('Returns &amp; Refunds'!$H$6:$H$11="Confirmed Good — Remove Charge"))&gt;0,0,Q274))</f>
        <v>6.1749999999999998</v>
      </c>
      <c r="L274" s="16">
        <v>9.9</v>
      </c>
      <c r="M274" s="28">
        <v>9.31</v>
      </c>
      <c r="N274" s="29">
        <v>5.96E-2</v>
      </c>
      <c r="O274" s="38" t="s">
        <v>129</v>
      </c>
      <c r="P274" s="47" t="str">
        <f>"Wrong rate set by reseller — decision at Pending DSP Entry section D, row 69"</f>
        <v>Wrong rate set by reseller — decision at Pending DSP Entry section D, row 69</v>
      </c>
      <c r="Q274" s="16">
        <f t="shared" si="9"/>
        <v>6.1749999999999998</v>
      </c>
    </row>
    <row r="275" spans="1:17" ht="15" customHeight="1" x14ac:dyDescent="0.25">
      <c r="A275" s="15">
        <v>274</v>
      </c>
      <c r="B275" s="15" t="s">
        <v>196</v>
      </c>
      <c r="C275" s="15" t="s">
        <v>197</v>
      </c>
      <c r="D275" s="15" t="s">
        <v>1091</v>
      </c>
      <c r="E275" s="15" t="s">
        <v>209</v>
      </c>
      <c r="F275" s="41">
        <v>1</v>
      </c>
      <c r="G275" s="42">
        <v>6.5</v>
      </c>
      <c r="H275" s="43">
        <v>0.05</v>
      </c>
      <c r="I275" s="46" t="str">
        <f>IF('Pending DSP Entry'!L70="Charge Full DSP Instead","No","Yes")</f>
        <v>Yes</v>
      </c>
      <c r="J275" s="16">
        <f t="shared" si="8"/>
        <v>6.1749999999999998</v>
      </c>
      <c r="K275" s="16">
        <f>IF(Q275="",0,IF(SUMPRODUCT(('Returns &amp; Refunds'!$A$6:$A$11=C275)*('Returns &amp; Refunds'!$H$6:$H$11="Confirmed Good — Remove Charge"))&gt;0,0,Q275))</f>
        <v>6.1749999999999998</v>
      </c>
      <c r="L275" s="16">
        <v>9.9</v>
      </c>
      <c r="M275" s="28">
        <v>9.31</v>
      </c>
      <c r="N275" s="29">
        <v>5.96E-2</v>
      </c>
      <c r="O275" s="38" t="s">
        <v>129</v>
      </c>
      <c r="P275" s="47" t="str">
        <f>"Wrong rate set by reseller — decision at Pending DSP Entry section D, row 70"</f>
        <v>Wrong rate set by reseller — decision at Pending DSP Entry section D, row 70</v>
      </c>
      <c r="Q275" s="16">
        <f t="shared" si="9"/>
        <v>6.1749999999999998</v>
      </c>
    </row>
    <row r="276" spans="1:17" ht="15" customHeight="1" x14ac:dyDescent="0.25">
      <c r="A276" s="15">
        <v>275</v>
      </c>
      <c r="B276" s="15" t="s">
        <v>196</v>
      </c>
      <c r="C276" s="15" t="s">
        <v>197</v>
      </c>
      <c r="D276" s="15" t="s">
        <v>1091</v>
      </c>
      <c r="E276" s="15" t="s">
        <v>250</v>
      </c>
      <c r="F276" s="41">
        <v>1</v>
      </c>
      <c r="G276" s="42">
        <v>6.1</v>
      </c>
      <c r="H276" s="43">
        <v>0.05</v>
      </c>
      <c r="I276" s="41" t="s">
        <v>63</v>
      </c>
      <c r="J276" s="16">
        <f t="shared" si="8"/>
        <v>5.794999999999999</v>
      </c>
      <c r="K276" s="16">
        <f>IF(Q276="",0,IF(SUMPRODUCT(('Returns &amp; Refunds'!$A$6:$A$11=C276)*('Returns &amp; Refunds'!$H$6:$H$11="Confirmed Good — Remove Charge"))&gt;0,0,Q276))</f>
        <v>5.794999999999999</v>
      </c>
      <c r="L276" s="16">
        <v>8.9</v>
      </c>
      <c r="M276" s="28">
        <v>8.42</v>
      </c>
      <c r="N276" s="29">
        <v>5.3900000000000003E-2</v>
      </c>
      <c r="O276" s="44" t="s">
        <v>62</v>
      </c>
      <c r="P276" s="15"/>
      <c r="Q276" s="16">
        <f t="shared" si="9"/>
        <v>5.794999999999999</v>
      </c>
    </row>
    <row r="277" spans="1:17" ht="15" customHeight="1" x14ac:dyDescent="0.25">
      <c r="A277" s="15">
        <v>276</v>
      </c>
      <c r="B277" s="15" t="s">
        <v>1092</v>
      </c>
      <c r="C277" s="15" t="s">
        <v>1093</v>
      </c>
      <c r="D277" s="15" t="s">
        <v>1094</v>
      </c>
      <c r="E277" s="15" t="s">
        <v>1095</v>
      </c>
      <c r="F277" s="41">
        <v>1</v>
      </c>
      <c r="G277" s="42">
        <v>17.3</v>
      </c>
      <c r="H277" s="43">
        <v>0.25</v>
      </c>
      <c r="I277" s="41" t="s">
        <v>63</v>
      </c>
      <c r="J277" s="16">
        <f t="shared" si="8"/>
        <v>12.975000000000001</v>
      </c>
      <c r="K277" s="16">
        <f>IF(Q277="",0,IF(SUMPRODUCT(('Returns &amp; Refunds'!$A$6:$A$11=C277)*('Returns &amp; Refunds'!$H$6:$H$11="Confirmed Good — Remove Charge"))&gt;0,0,Q277))</f>
        <v>12.975000000000001</v>
      </c>
      <c r="L277" s="16">
        <v>24.9</v>
      </c>
      <c r="M277" s="28">
        <v>18.7</v>
      </c>
      <c r="N277" s="29">
        <v>0.249</v>
      </c>
      <c r="O277" s="44" t="s">
        <v>62</v>
      </c>
      <c r="P277" s="15"/>
      <c r="Q277" s="16">
        <f t="shared" si="9"/>
        <v>12.975000000000001</v>
      </c>
    </row>
    <row r="278" spans="1:17" ht="15" customHeight="1" x14ac:dyDescent="0.25">
      <c r="A278" s="15">
        <v>277</v>
      </c>
      <c r="B278" s="15" t="s">
        <v>1096</v>
      </c>
      <c r="C278" s="15" t="s">
        <v>1097</v>
      </c>
      <c r="D278" s="15" t="s">
        <v>1098</v>
      </c>
      <c r="E278" s="15" t="s">
        <v>1064</v>
      </c>
      <c r="F278" s="41">
        <v>1</v>
      </c>
      <c r="G278" s="42">
        <v>52.2</v>
      </c>
      <c r="H278" s="43">
        <v>0.05</v>
      </c>
      <c r="I278" s="41" t="s">
        <v>69</v>
      </c>
      <c r="J278" s="16">
        <f t="shared" si="8"/>
        <v>52.2</v>
      </c>
      <c r="K278" s="16">
        <f>IF(Q278="",0,IF(SUMPRODUCT(('Returns &amp; Refunds'!$A$6:$A$11=C278)*('Returns &amp; Refunds'!$H$6:$H$11="Confirmed Good — Remove Charge"))&gt;0,0,Q278))</f>
        <v>52.2</v>
      </c>
      <c r="L278" s="16">
        <v>67.900000000000006</v>
      </c>
      <c r="M278" s="28">
        <v>67.900000000000006</v>
      </c>
      <c r="N278" s="29">
        <v>0</v>
      </c>
      <c r="O278" s="45" t="s">
        <v>68</v>
      </c>
      <c r="P278" s="15"/>
      <c r="Q278" s="16">
        <f t="shared" si="9"/>
        <v>52.2</v>
      </c>
    </row>
    <row r="279" spans="1:17" ht="15" customHeight="1" x14ac:dyDescent="0.25">
      <c r="A279" s="15">
        <v>278</v>
      </c>
      <c r="B279" s="15" t="s">
        <v>1099</v>
      </c>
      <c r="C279" s="15" t="s">
        <v>1100</v>
      </c>
      <c r="D279" s="15" t="s">
        <v>1101</v>
      </c>
      <c r="E279" s="15" t="s">
        <v>1102</v>
      </c>
      <c r="F279" s="41">
        <v>1</v>
      </c>
      <c r="G279" s="42">
        <v>29.2</v>
      </c>
      <c r="H279" s="43">
        <v>0.08</v>
      </c>
      <c r="I279" s="41" t="s">
        <v>63</v>
      </c>
      <c r="J279" s="16">
        <f t="shared" si="8"/>
        <v>26.864000000000001</v>
      </c>
      <c r="K279" s="16">
        <f>IF(Q279="",0,IF(SUMPRODUCT(('Returns &amp; Refunds'!$A$6:$A$11=C279)*('Returns &amp; Refunds'!$H$6:$H$11="Confirmed Good — Remove Charge"))&gt;0,0,Q279))</f>
        <v>26.864000000000001</v>
      </c>
      <c r="L279" s="16">
        <v>41.9</v>
      </c>
      <c r="M279" s="28">
        <v>38.5</v>
      </c>
      <c r="N279" s="29">
        <v>8.1100000000000005E-2</v>
      </c>
      <c r="O279" s="44" t="s">
        <v>62</v>
      </c>
      <c r="P279" s="15"/>
      <c r="Q279" s="16">
        <f t="shared" si="9"/>
        <v>26.864000000000001</v>
      </c>
    </row>
    <row r="280" spans="1:17" ht="15" customHeight="1" x14ac:dyDescent="0.25">
      <c r="A280" s="15">
        <v>279</v>
      </c>
      <c r="B280" s="15" t="s">
        <v>1103</v>
      </c>
      <c r="C280" s="15" t="s">
        <v>1104</v>
      </c>
      <c r="D280" s="15" t="s">
        <v>1105</v>
      </c>
      <c r="E280" s="15" t="s">
        <v>361</v>
      </c>
      <c r="F280" s="41">
        <v>1</v>
      </c>
      <c r="G280" s="42">
        <v>13.1</v>
      </c>
      <c r="H280" s="43">
        <v>0.01</v>
      </c>
      <c r="I280" s="41" t="s">
        <v>63</v>
      </c>
      <c r="J280" s="16">
        <f t="shared" si="8"/>
        <v>12.968999999999999</v>
      </c>
      <c r="K280" s="16">
        <f>IF(Q280="",0,IF(SUMPRODUCT(('Returns &amp; Refunds'!$A$6:$A$11=C280)*('Returns &amp; Refunds'!$H$6:$H$11="Confirmed Good — Remove Charge"))&gt;0,0,Q280))</f>
        <v>12.968999999999999</v>
      </c>
      <c r="L280" s="16">
        <v>17.899999999999999</v>
      </c>
      <c r="M280" s="28">
        <v>17.7</v>
      </c>
      <c r="N280" s="29">
        <v>1.12E-2</v>
      </c>
      <c r="O280" s="44" t="s">
        <v>62</v>
      </c>
      <c r="P280" s="15"/>
      <c r="Q280" s="16">
        <f t="shared" si="9"/>
        <v>12.968999999999999</v>
      </c>
    </row>
    <row r="281" spans="1:17" ht="15" customHeight="1" x14ac:dyDescent="0.25">
      <c r="A281" s="15">
        <v>280</v>
      </c>
      <c r="B281" s="15" t="s">
        <v>1106</v>
      </c>
      <c r="C281" s="15" t="s">
        <v>1107</v>
      </c>
      <c r="D281" s="15" t="s">
        <v>1108</v>
      </c>
      <c r="E281" s="15" t="s">
        <v>1109</v>
      </c>
      <c r="F281" s="41">
        <v>1</v>
      </c>
      <c r="G281" s="42">
        <v>17.3</v>
      </c>
      <c r="H281" s="43">
        <v>0.25</v>
      </c>
      <c r="I281" s="41" t="s">
        <v>63</v>
      </c>
      <c r="J281" s="16">
        <f t="shared" si="8"/>
        <v>12.975000000000001</v>
      </c>
      <c r="K281" s="16">
        <f>IF(Q281="",0,IF(SUMPRODUCT(('Returns &amp; Refunds'!$A$6:$A$11=C281)*('Returns &amp; Refunds'!$H$6:$H$11="Confirmed Good — Remove Charge"))&gt;0,0,Q281))</f>
        <v>12.975000000000001</v>
      </c>
      <c r="L281" s="16">
        <v>24.9</v>
      </c>
      <c r="M281" s="28">
        <v>18.7</v>
      </c>
      <c r="N281" s="29">
        <v>0.249</v>
      </c>
      <c r="O281" s="44" t="s">
        <v>62</v>
      </c>
      <c r="P281" s="15"/>
      <c r="Q281" s="16">
        <f t="shared" si="9"/>
        <v>12.975000000000001</v>
      </c>
    </row>
    <row r="282" spans="1:17" ht="15" customHeight="1" x14ac:dyDescent="0.25">
      <c r="A282" s="15">
        <v>281</v>
      </c>
      <c r="B282" s="15" t="s">
        <v>1106</v>
      </c>
      <c r="C282" s="15" t="s">
        <v>1107</v>
      </c>
      <c r="D282" s="15" t="s">
        <v>1108</v>
      </c>
      <c r="E282" s="15" t="s">
        <v>727</v>
      </c>
      <c r="F282" s="41">
        <v>1</v>
      </c>
      <c r="G282" s="42">
        <v>18.8</v>
      </c>
      <c r="H282" s="43">
        <v>0.01</v>
      </c>
      <c r="I282" s="41" t="s">
        <v>63</v>
      </c>
      <c r="J282" s="16">
        <f t="shared" si="8"/>
        <v>18.612000000000002</v>
      </c>
      <c r="K282" s="16">
        <f>IF(Q282="",0,IF(SUMPRODUCT(('Returns &amp; Refunds'!$A$6:$A$11=C282)*('Returns &amp; Refunds'!$H$6:$H$11="Confirmed Good — Remove Charge"))&gt;0,0,Q282))</f>
        <v>18.612000000000002</v>
      </c>
      <c r="L282" s="16">
        <v>24.9</v>
      </c>
      <c r="M282" s="28">
        <v>24.7</v>
      </c>
      <c r="N282" s="29">
        <v>8.0000000000000002E-3</v>
      </c>
      <c r="O282" s="44" t="s">
        <v>62</v>
      </c>
      <c r="P282" s="15"/>
      <c r="Q282" s="16">
        <f t="shared" si="9"/>
        <v>18.612000000000002</v>
      </c>
    </row>
    <row r="283" spans="1:17" ht="15" customHeight="1" x14ac:dyDescent="0.25">
      <c r="A283" s="15">
        <v>282</v>
      </c>
      <c r="B283" s="15" t="s">
        <v>160</v>
      </c>
      <c r="C283" s="15" t="s">
        <v>161</v>
      </c>
      <c r="D283" s="15" t="s">
        <v>1110</v>
      </c>
      <c r="E283" s="15" t="s">
        <v>159</v>
      </c>
      <c r="F283" s="41">
        <v>1</v>
      </c>
      <c r="G283" s="42">
        <v>15</v>
      </c>
      <c r="H283" s="43">
        <v>0.01</v>
      </c>
      <c r="I283" s="46" t="str">
        <f>IF('Pending DSP Entry'!L47="Charge Full DSP Instead","No","Yes")</f>
        <v>Yes</v>
      </c>
      <c r="J283" s="16">
        <f t="shared" si="8"/>
        <v>14.85</v>
      </c>
      <c r="K283" s="16">
        <f>IF(Q283="",0,IF(SUMPRODUCT(('Returns &amp; Refunds'!$A$6:$A$11=C283)*('Returns &amp; Refunds'!$H$6:$H$11="Confirmed Good — Remove Charge"))&gt;0,0,Q283))</f>
        <v>14.85</v>
      </c>
      <c r="L283" s="16">
        <v>20.9</v>
      </c>
      <c r="M283" s="28">
        <v>19.89</v>
      </c>
      <c r="N283" s="29">
        <v>4.8300000000000003E-2</v>
      </c>
      <c r="O283" s="38" t="s">
        <v>129</v>
      </c>
      <c r="P283" s="47" t="str">
        <f>"Wrong rate set by reseller — decision at Pending DSP Entry section D, row 47"</f>
        <v>Wrong rate set by reseller — decision at Pending DSP Entry section D, row 47</v>
      </c>
      <c r="Q283" s="16">
        <f t="shared" si="9"/>
        <v>14.85</v>
      </c>
    </row>
    <row r="284" spans="1:17" ht="15" customHeight="1" x14ac:dyDescent="0.25">
      <c r="A284" s="15">
        <v>283</v>
      </c>
      <c r="B284" s="15" t="s">
        <v>1111</v>
      </c>
      <c r="C284" s="15" t="s">
        <v>1112</v>
      </c>
      <c r="D284" s="15" t="s">
        <v>1113</v>
      </c>
      <c r="E284" s="15" t="s">
        <v>1114</v>
      </c>
      <c r="F284" s="41">
        <v>1</v>
      </c>
      <c r="G284" s="42">
        <v>20.3</v>
      </c>
      <c r="H284" s="43">
        <v>0.02</v>
      </c>
      <c r="I284" s="41" t="s">
        <v>63</v>
      </c>
      <c r="J284" s="16">
        <f t="shared" si="8"/>
        <v>19.894000000000002</v>
      </c>
      <c r="K284" s="16">
        <f>IF(Q284="",0,IF(SUMPRODUCT(('Returns &amp; Refunds'!$A$6:$A$11=C284)*('Returns &amp; Refunds'!$H$6:$H$11="Confirmed Good — Remove Charge"))&gt;0,0,Q284))</f>
        <v>19.894000000000002</v>
      </c>
      <c r="L284" s="16">
        <v>27.9</v>
      </c>
      <c r="M284" s="28">
        <v>27.3</v>
      </c>
      <c r="N284" s="29">
        <v>2.1499999999999998E-2</v>
      </c>
      <c r="O284" s="44" t="s">
        <v>62</v>
      </c>
      <c r="P284" s="15"/>
      <c r="Q284" s="16">
        <f t="shared" si="9"/>
        <v>19.894000000000002</v>
      </c>
    </row>
    <row r="285" spans="1:17" ht="15" customHeight="1" x14ac:dyDescent="0.25">
      <c r="A285" s="15">
        <v>284</v>
      </c>
      <c r="B285" s="15" t="s">
        <v>1115</v>
      </c>
      <c r="C285" s="15" t="s">
        <v>1116</v>
      </c>
      <c r="D285" s="15" t="s">
        <v>1117</v>
      </c>
      <c r="E285" s="15" t="s">
        <v>361</v>
      </c>
      <c r="F285" s="41">
        <v>1</v>
      </c>
      <c r="G285" s="42">
        <v>13.1</v>
      </c>
      <c r="H285" s="43">
        <v>0.01</v>
      </c>
      <c r="I285" s="41" t="s">
        <v>63</v>
      </c>
      <c r="J285" s="16">
        <f t="shared" si="8"/>
        <v>12.968999999999999</v>
      </c>
      <c r="K285" s="16">
        <f>IF(Q285="",0,IF(SUMPRODUCT(('Returns &amp; Refunds'!$A$6:$A$11=C285)*('Returns &amp; Refunds'!$H$6:$H$11="Confirmed Good — Remove Charge"))&gt;0,0,Q285))</f>
        <v>12.968999999999999</v>
      </c>
      <c r="L285" s="16">
        <v>17.899999999999999</v>
      </c>
      <c r="M285" s="28">
        <v>17.7</v>
      </c>
      <c r="N285" s="29">
        <v>1.12E-2</v>
      </c>
      <c r="O285" s="44" t="s">
        <v>62</v>
      </c>
      <c r="P285" s="15"/>
      <c r="Q285" s="16">
        <f t="shared" si="9"/>
        <v>12.968999999999999</v>
      </c>
    </row>
    <row r="286" spans="1:17" ht="15" customHeight="1" x14ac:dyDescent="0.25">
      <c r="A286" s="15">
        <v>285</v>
      </c>
      <c r="B286" s="15" t="s">
        <v>1118</v>
      </c>
      <c r="C286" s="15" t="s">
        <v>1119</v>
      </c>
      <c r="D286" s="15" t="s">
        <v>1120</v>
      </c>
      <c r="E286" s="15" t="s">
        <v>1121</v>
      </c>
      <c r="F286" s="41">
        <v>1</v>
      </c>
      <c r="G286" s="42">
        <v>40.1</v>
      </c>
      <c r="H286" s="43">
        <v>0.02</v>
      </c>
      <c r="I286" s="41" t="s">
        <v>63</v>
      </c>
      <c r="J286" s="16">
        <f t="shared" si="8"/>
        <v>39.298000000000002</v>
      </c>
      <c r="K286" s="16">
        <f>IF(Q286="",0,IF(SUMPRODUCT(('Returns &amp; Refunds'!$A$6:$A$11=C286)*('Returns &amp; Refunds'!$H$6:$H$11="Confirmed Good — Remove Charge"))&gt;0,0,Q286))</f>
        <v>39.298000000000002</v>
      </c>
      <c r="L286" s="16">
        <v>54.9</v>
      </c>
      <c r="M286" s="28">
        <v>53.8</v>
      </c>
      <c r="N286" s="29">
        <v>0.02</v>
      </c>
      <c r="O286" s="44" t="s">
        <v>62</v>
      </c>
      <c r="P286" s="15"/>
      <c r="Q286" s="16">
        <f t="shared" si="9"/>
        <v>39.298000000000002</v>
      </c>
    </row>
    <row r="287" spans="1:17" ht="15" customHeight="1" x14ac:dyDescent="0.25">
      <c r="A287" s="15">
        <v>286</v>
      </c>
      <c r="B287" s="15" t="s">
        <v>1122</v>
      </c>
      <c r="C287" s="15" t="s">
        <v>1123</v>
      </c>
      <c r="D287" s="15" t="s">
        <v>1124</v>
      </c>
      <c r="E287" s="15" t="s">
        <v>1125</v>
      </c>
      <c r="F287" s="41">
        <v>1</v>
      </c>
      <c r="G287" s="42">
        <v>27.4</v>
      </c>
      <c r="H287" s="43">
        <v>0.4</v>
      </c>
      <c r="I287" s="41" t="s">
        <v>63</v>
      </c>
      <c r="J287" s="16">
        <f t="shared" si="8"/>
        <v>16.439999999999998</v>
      </c>
      <c r="K287" s="16">
        <f>IF(Q287="",0,IF(SUMPRODUCT(('Returns &amp; Refunds'!$A$6:$A$11=C287)*('Returns &amp; Refunds'!$H$6:$H$11="Confirmed Good — Remove Charge"))&gt;0,0,Q287))</f>
        <v>16.439999999999998</v>
      </c>
      <c r="L287" s="16">
        <v>42.9</v>
      </c>
      <c r="M287" s="28">
        <v>25.7</v>
      </c>
      <c r="N287" s="29">
        <v>0.40089999999999998</v>
      </c>
      <c r="O287" s="44" t="s">
        <v>62</v>
      </c>
      <c r="P287" s="15"/>
      <c r="Q287" s="16">
        <f t="shared" si="9"/>
        <v>16.439999999999998</v>
      </c>
    </row>
    <row r="288" spans="1:17" ht="15" customHeight="1" x14ac:dyDescent="0.25">
      <c r="A288" s="15">
        <v>287</v>
      </c>
      <c r="B288" s="15" t="s">
        <v>1126</v>
      </c>
      <c r="C288" s="15" t="s">
        <v>1127</v>
      </c>
      <c r="D288" s="15" t="s">
        <v>1128</v>
      </c>
      <c r="E288" s="15" t="s">
        <v>1129</v>
      </c>
      <c r="F288" s="41">
        <v>1</v>
      </c>
      <c r="G288" s="42">
        <v>8.3000000000000007</v>
      </c>
      <c r="H288" s="43">
        <v>0.03</v>
      </c>
      <c r="I288" s="41" t="s">
        <v>63</v>
      </c>
      <c r="J288" s="16">
        <f t="shared" si="8"/>
        <v>8.0510000000000002</v>
      </c>
      <c r="K288" s="16">
        <f>IF(Q288="",0,IF(SUMPRODUCT(('Returns &amp; Refunds'!$A$6:$A$11=C288)*('Returns &amp; Refunds'!$H$6:$H$11="Confirmed Good — Remove Charge"))&gt;0,0,Q288))</f>
        <v>8.0510000000000002</v>
      </c>
      <c r="L288" s="16">
        <v>11.9</v>
      </c>
      <c r="M288" s="28">
        <v>11.5</v>
      </c>
      <c r="N288" s="29">
        <v>3.3599999999999998E-2</v>
      </c>
      <c r="O288" s="44" t="s">
        <v>62</v>
      </c>
      <c r="P288" s="15"/>
      <c r="Q288" s="16">
        <f t="shared" si="9"/>
        <v>8.0510000000000002</v>
      </c>
    </row>
    <row r="289" spans="1:17" ht="15" customHeight="1" x14ac:dyDescent="0.25">
      <c r="A289" s="15">
        <v>288</v>
      </c>
      <c r="B289" s="15" t="s">
        <v>1130</v>
      </c>
      <c r="C289" s="15" t="s">
        <v>1131</v>
      </c>
      <c r="D289" s="15" t="s">
        <v>1132</v>
      </c>
      <c r="E289" s="15" t="s">
        <v>1133</v>
      </c>
      <c r="F289" s="41">
        <v>1</v>
      </c>
      <c r="G289" s="42">
        <v>11</v>
      </c>
      <c r="H289" s="43">
        <v>0.3</v>
      </c>
      <c r="I289" s="41" t="s">
        <v>63</v>
      </c>
      <c r="J289" s="16">
        <f t="shared" si="8"/>
        <v>7.6999999999999993</v>
      </c>
      <c r="K289" s="16">
        <f>IF(Q289="",0,IF(SUMPRODUCT(('Returns &amp; Refunds'!$A$6:$A$11=C289)*('Returns &amp; Refunds'!$H$6:$H$11="Confirmed Good — Remove Charge"))&gt;0,0,Q289))</f>
        <v>7.6999999999999993</v>
      </c>
      <c r="L289" s="16">
        <v>15.9</v>
      </c>
      <c r="M289" s="28">
        <v>11.1</v>
      </c>
      <c r="N289" s="29">
        <v>0.3019</v>
      </c>
      <c r="O289" s="44" t="s">
        <v>62</v>
      </c>
      <c r="P289" s="15"/>
      <c r="Q289" s="16">
        <f t="shared" si="9"/>
        <v>7.6999999999999993</v>
      </c>
    </row>
    <row r="290" spans="1:17" ht="15" customHeight="1" x14ac:dyDescent="0.25">
      <c r="A290" s="15">
        <v>289</v>
      </c>
      <c r="B290" s="15" t="s">
        <v>1130</v>
      </c>
      <c r="C290" s="15" t="s">
        <v>1131</v>
      </c>
      <c r="D290" s="15" t="s">
        <v>1132</v>
      </c>
      <c r="E290" s="15" t="s">
        <v>1134</v>
      </c>
      <c r="F290" s="41">
        <v>1</v>
      </c>
      <c r="G290" s="42">
        <v>5.2</v>
      </c>
      <c r="H290" s="43">
        <v>0.01</v>
      </c>
      <c r="I290" s="41" t="s">
        <v>63</v>
      </c>
      <c r="J290" s="16">
        <f t="shared" si="8"/>
        <v>5.1479999999999997</v>
      </c>
      <c r="K290" s="16">
        <f>IF(Q290="",0,IF(SUMPRODUCT(('Returns &amp; Refunds'!$A$6:$A$11=C290)*('Returns &amp; Refunds'!$H$6:$H$11="Confirmed Good — Remove Charge"))&gt;0,0,Q290))</f>
        <v>5.1479999999999997</v>
      </c>
      <c r="L290" s="16">
        <v>7.5</v>
      </c>
      <c r="M290" s="28">
        <v>7.4</v>
      </c>
      <c r="N290" s="29">
        <v>1.3299999999999999E-2</v>
      </c>
      <c r="O290" s="44" t="s">
        <v>62</v>
      </c>
      <c r="P290" s="15"/>
      <c r="Q290" s="16">
        <f t="shared" si="9"/>
        <v>5.1479999999999997</v>
      </c>
    </row>
    <row r="291" spans="1:17" ht="15" customHeight="1" x14ac:dyDescent="0.25">
      <c r="A291" s="15">
        <v>290</v>
      </c>
      <c r="B291" s="15" t="s">
        <v>234</v>
      </c>
      <c r="C291" s="15" t="s">
        <v>235</v>
      </c>
      <c r="D291" s="15" t="s">
        <v>1135</v>
      </c>
      <c r="E291" s="15" t="s">
        <v>236</v>
      </c>
      <c r="F291" s="41">
        <v>3</v>
      </c>
      <c r="G291" s="42">
        <v>10.7</v>
      </c>
      <c r="H291" s="43">
        <v>0.01</v>
      </c>
      <c r="I291" s="46" t="str">
        <f>IF('Pending DSP Entry'!L90="Charge Full DSP Instead","No","Yes")</f>
        <v>Yes</v>
      </c>
      <c r="J291" s="16">
        <f t="shared" si="8"/>
        <v>10.593</v>
      </c>
      <c r="K291" s="16">
        <f>IF(Q291="",0,IF(SUMPRODUCT(('Returns &amp; Refunds'!$A$6:$A$11=C291)*('Returns &amp; Refunds'!$H$6:$H$11="Confirmed Good — Remove Charge"))&gt;0,0,Q291))</f>
        <v>31.779</v>
      </c>
      <c r="L291" s="16">
        <v>15</v>
      </c>
      <c r="M291" s="28">
        <v>14.75</v>
      </c>
      <c r="N291" s="29">
        <v>1.67E-2</v>
      </c>
      <c r="O291" s="38" t="s">
        <v>129</v>
      </c>
      <c r="P291" s="47" t="str">
        <f>"Wrong rate set by reseller — decision at Pending DSP Entry section D, row 90"</f>
        <v>Wrong rate set by reseller — decision at Pending DSP Entry section D, row 90</v>
      </c>
      <c r="Q291" s="16">
        <f t="shared" si="9"/>
        <v>31.779</v>
      </c>
    </row>
    <row r="292" spans="1:17" ht="15" customHeight="1" x14ac:dyDescent="0.25">
      <c r="A292" s="15">
        <v>291</v>
      </c>
      <c r="B292" s="15" t="s">
        <v>1136</v>
      </c>
      <c r="C292" s="15" t="s">
        <v>1137</v>
      </c>
      <c r="D292" s="15" t="s">
        <v>1138</v>
      </c>
      <c r="E292" s="15" t="s">
        <v>1139</v>
      </c>
      <c r="F292" s="41">
        <v>1</v>
      </c>
      <c r="G292" s="42">
        <v>23.1</v>
      </c>
      <c r="H292" s="43">
        <v>0.05</v>
      </c>
      <c r="I292" s="41" t="s">
        <v>63</v>
      </c>
      <c r="J292" s="16">
        <f t="shared" si="8"/>
        <v>21.945</v>
      </c>
      <c r="K292" s="16">
        <f>IF(Q292="",0,IF(SUMPRODUCT(('Returns &amp; Refunds'!$A$6:$A$11=C292)*('Returns &amp; Refunds'!$H$6:$H$11="Confirmed Good — Remove Charge"))&gt;0,0,Q292))</f>
        <v>21.945</v>
      </c>
      <c r="L292" s="16">
        <v>32.9</v>
      </c>
      <c r="M292" s="28">
        <v>31.3</v>
      </c>
      <c r="N292" s="29">
        <v>4.8599999999999997E-2</v>
      </c>
      <c r="O292" s="44" t="s">
        <v>62</v>
      </c>
      <c r="P292" s="15"/>
      <c r="Q292" s="16">
        <f t="shared" si="9"/>
        <v>21.945</v>
      </c>
    </row>
    <row r="293" spans="1:17" ht="15" customHeight="1" x14ac:dyDescent="0.25">
      <c r="A293" s="15">
        <v>292</v>
      </c>
      <c r="B293" s="15" t="s">
        <v>1136</v>
      </c>
      <c r="C293" s="15" t="s">
        <v>1137</v>
      </c>
      <c r="D293" s="15" t="s">
        <v>1138</v>
      </c>
      <c r="E293" s="15" t="s">
        <v>1140</v>
      </c>
      <c r="F293" s="41">
        <v>1</v>
      </c>
      <c r="G293" s="42">
        <v>23.1</v>
      </c>
      <c r="H293" s="43">
        <v>0.05</v>
      </c>
      <c r="I293" s="41" t="s">
        <v>63</v>
      </c>
      <c r="J293" s="16">
        <f t="shared" si="8"/>
        <v>21.945</v>
      </c>
      <c r="K293" s="16">
        <f>IF(Q293="",0,IF(SUMPRODUCT(('Returns &amp; Refunds'!$A$6:$A$11=C293)*('Returns &amp; Refunds'!$H$6:$H$11="Confirmed Good — Remove Charge"))&gt;0,0,Q293))</f>
        <v>21.945</v>
      </c>
      <c r="L293" s="16">
        <v>32.9</v>
      </c>
      <c r="M293" s="28">
        <v>31.3</v>
      </c>
      <c r="N293" s="29">
        <v>4.8599999999999997E-2</v>
      </c>
      <c r="O293" s="44" t="s">
        <v>62</v>
      </c>
      <c r="P293" s="15"/>
      <c r="Q293" s="16">
        <f t="shared" si="9"/>
        <v>21.945</v>
      </c>
    </row>
    <row r="294" spans="1:17" ht="15" customHeight="1" x14ac:dyDescent="0.25">
      <c r="A294" s="15">
        <v>293</v>
      </c>
      <c r="B294" s="15" t="s">
        <v>1141</v>
      </c>
      <c r="C294" s="15" t="s">
        <v>1142</v>
      </c>
      <c r="D294" s="15" t="s">
        <v>1143</v>
      </c>
      <c r="E294" s="15" t="s">
        <v>1144</v>
      </c>
      <c r="F294" s="41">
        <v>1</v>
      </c>
      <c r="G294" s="42">
        <v>13.1</v>
      </c>
      <c r="H294" s="43">
        <v>0.01</v>
      </c>
      <c r="I294" s="41" t="s">
        <v>63</v>
      </c>
      <c r="J294" s="16">
        <f t="shared" si="8"/>
        <v>12.968999999999999</v>
      </c>
      <c r="K294" s="16">
        <f>IF(Q294="",0,IF(SUMPRODUCT(('Returns &amp; Refunds'!$A$6:$A$11=C294)*('Returns &amp; Refunds'!$H$6:$H$11="Confirmed Good — Remove Charge"))&gt;0,0,Q294))</f>
        <v>12.968999999999999</v>
      </c>
      <c r="L294" s="16">
        <v>17.899999999999999</v>
      </c>
      <c r="M294" s="28">
        <v>17.7</v>
      </c>
      <c r="N294" s="29">
        <v>1.12E-2</v>
      </c>
      <c r="O294" s="44" t="s">
        <v>62</v>
      </c>
      <c r="P294" s="15"/>
      <c r="Q294" s="16">
        <f t="shared" si="9"/>
        <v>12.968999999999999</v>
      </c>
    </row>
    <row r="295" spans="1:17" ht="15" customHeight="1" x14ac:dyDescent="0.25">
      <c r="A295" s="15">
        <v>294</v>
      </c>
      <c r="B295" s="15" t="s">
        <v>1145</v>
      </c>
      <c r="C295" s="15" t="s">
        <v>1146</v>
      </c>
      <c r="D295" s="15" t="s">
        <v>1147</v>
      </c>
      <c r="E295" s="15" t="s">
        <v>727</v>
      </c>
      <c r="F295" s="41">
        <v>1</v>
      </c>
      <c r="G295" s="42">
        <v>18.8</v>
      </c>
      <c r="H295" s="43">
        <v>0.01</v>
      </c>
      <c r="I295" s="41" t="s">
        <v>63</v>
      </c>
      <c r="J295" s="16">
        <f t="shared" si="8"/>
        <v>18.612000000000002</v>
      </c>
      <c r="K295" s="16">
        <f>IF(Q295="",0,IF(SUMPRODUCT(('Returns &amp; Refunds'!$A$6:$A$11=C295)*('Returns &amp; Refunds'!$H$6:$H$11="Confirmed Good — Remove Charge"))&gt;0,0,Q295))</f>
        <v>18.612000000000002</v>
      </c>
      <c r="L295" s="16">
        <v>24.9</v>
      </c>
      <c r="M295" s="28">
        <v>24.7</v>
      </c>
      <c r="N295" s="29">
        <v>8.0000000000000002E-3</v>
      </c>
      <c r="O295" s="44" t="s">
        <v>62</v>
      </c>
      <c r="P295" s="15"/>
      <c r="Q295" s="16">
        <f t="shared" si="9"/>
        <v>18.612000000000002</v>
      </c>
    </row>
    <row r="296" spans="1:17" ht="15" customHeight="1" x14ac:dyDescent="0.25">
      <c r="A296" s="15">
        <v>295</v>
      </c>
      <c r="B296" s="15" t="s">
        <v>1148</v>
      </c>
      <c r="C296" s="15" t="s">
        <v>1149</v>
      </c>
      <c r="D296" s="15" t="s">
        <v>1150</v>
      </c>
      <c r="E296" s="15" t="s">
        <v>1151</v>
      </c>
      <c r="F296" s="41">
        <v>1</v>
      </c>
      <c r="G296" s="42">
        <v>27.9</v>
      </c>
      <c r="H296" s="43">
        <v>0.08</v>
      </c>
      <c r="I296" s="41" t="s">
        <v>63</v>
      </c>
      <c r="J296" s="16">
        <f t="shared" si="8"/>
        <v>25.667999999999999</v>
      </c>
      <c r="K296" s="16">
        <f>IF(Q296="",0,IF(SUMPRODUCT(('Returns &amp; Refunds'!$A$6:$A$11=C296)*('Returns &amp; Refunds'!$H$6:$H$11="Confirmed Good — Remove Charge"))&gt;0,0,Q296))</f>
        <v>25.667999999999999</v>
      </c>
      <c r="L296" s="16">
        <v>39.9</v>
      </c>
      <c r="M296" s="28">
        <v>36.700000000000003</v>
      </c>
      <c r="N296" s="29">
        <v>8.0199999999999994E-2</v>
      </c>
      <c r="O296" s="44" t="s">
        <v>62</v>
      </c>
      <c r="P296" s="15"/>
      <c r="Q296" s="16">
        <f t="shared" si="9"/>
        <v>25.667999999999999</v>
      </c>
    </row>
    <row r="297" spans="1:17" ht="15" customHeight="1" x14ac:dyDescent="0.25">
      <c r="A297" s="15">
        <v>296</v>
      </c>
      <c r="B297" s="15" t="s">
        <v>1152</v>
      </c>
      <c r="C297" s="15" t="s">
        <v>1153</v>
      </c>
      <c r="D297" s="15" t="s">
        <v>1154</v>
      </c>
      <c r="E297" s="15" t="s">
        <v>638</v>
      </c>
      <c r="F297" s="41">
        <v>1</v>
      </c>
      <c r="G297" s="42">
        <v>46.7</v>
      </c>
      <c r="H297" s="43">
        <v>0.03</v>
      </c>
      <c r="I297" s="41" t="s">
        <v>63</v>
      </c>
      <c r="J297" s="16">
        <f t="shared" si="8"/>
        <v>45.298999999999999</v>
      </c>
      <c r="K297" s="16">
        <f>IF(Q297="",0,IF(SUMPRODUCT(('Returns &amp; Refunds'!$A$6:$A$11=C297)*('Returns &amp; Refunds'!$H$6:$H$11="Confirmed Good — Remove Charge"))&gt;0,0,Q297))</f>
        <v>45.298999999999999</v>
      </c>
      <c r="L297" s="16">
        <v>64.900000000000006</v>
      </c>
      <c r="M297" s="28">
        <v>63</v>
      </c>
      <c r="N297" s="29">
        <v>2.93E-2</v>
      </c>
      <c r="O297" s="44" t="s">
        <v>62</v>
      </c>
      <c r="P297" s="15"/>
      <c r="Q297" s="16">
        <f t="shared" si="9"/>
        <v>45.298999999999999</v>
      </c>
    </row>
    <row r="298" spans="1:17" ht="15" customHeight="1" x14ac:dyDescent="0.25">
      <c r="A298" s="15">
        <v>297</v>
      </c>
      <c r="B298" s="15" t="s">
        <v>1155</v>
      </c>
      <c r="C298" s="15" t="s">
        <v>1156</v>
      </c>
      <c r="D298" s="15" t="s">
        <v>1157</v>
      </c>
      <c r="E298" s="15" t="s">
        <v>1158</v>
      </c>
      <c r="F298" s="41">
        <v>1</v>
      </c>
      <c r="G298" s="42">
        <v>35.4</v>
      </c>
      <c r="H298" s="43">
        <v>0.01</v>
      </c>
      <c r="I298" s="41" t="s">
        <v>63</v>
      </c>
      <c r="J298" s="16">
        <f t="shared" si="8"/>
        <v>35.045999999999999</v>
      </c>
      <c r="K298" s="16">
        <f>IF(Q298="",0,IF(SUMPRODUCT(('Returns &amp; Refunds'!$A$6:$A$11=C298)*('Returns &amp; Refunds'!$H$6:$H$11="Confirmed Good — Remove Charge"))&gt;0,0,Q298))</f>
        <v>35.045999999999999</v>
      </c>
      <c r="L298" s="16">
        <v>44.9</v>
      </c>
      <c r="M298" s="28">
        <v>44.5</v>
      </c>
      <c r="N298" s="29">
        <v>8.8999999999999999E-3</v>
      </c>
      <c r="O298" s="44" t="s">
        <v>62</v>
      </c>
      <c r="P298" s="15"/>
      <c r="Q298" s="16">
        <f t="shared" si="9"/>
        <v>35.045999999999999</v>
      </c>
    </row>
    <row r="299" spans="1:17" ht="15" customHeight="1" x14ac:dyDescent="0.25">
      <c r="A299" s="15">
        <v>298</v>
      </c>
      <c r="B299" s="15" t="s">
        <v>1159</v>
      </c>
      <c r="C299" s="15" t="s">
        <v>1160</v>
      </c>
      <c r="D299" s="15" t="s">
        <v>1161</v>
      </c>
      <c r="E299" s="15" t="s">
        <v>762</v>
      </c>
      <c r="F299" s="41">
        <v>1</v>
      </c>
      <c r="G299" s="42">
        <v>11.3</v>
      </c>
      <c r="H299" s="43">
        <v>0.01</v>
      </c>
      <c r="I299" s="41" t="s">
        <v>63</v>
      </c>
      <c r="J299" s="16">
        <f t="shared" si="8"/>
        <v>11.187000000000001</v>
      </c>
      <c r="K299" s="16">
        <f>IF(Q299="",0,IF(SUMPRODUCT(('Returns &amp; Refunds'!$A$6:$A$11=C299)*('Returns &amp; Refunds'!$H$6:$H$11="Confirmed Good — Remove Charge"))&gt;0,0,Q299))</f>
        <v>11.187000000000001</v>
      </c>
      <c r="L299" s="16">
        <v>15.9</v>
      </c>
      <c r="M299" s="28">
        <v>15.7</v>
      </c>
      <c r="N299" s="29">
        <v>1.26E-2</v>
      </c>
      <c r="O299" s="44" t="s">
        <v>62</v>
      </c>
      <c r="P299" s="15"/>
      <c r="Q299" s="16">
        <f t="shared" si="9"/>
        <v>11.187000000000001</v>
      </c>
    </row>
    <row r="300" spans="1:17" ht="15" customHeight="1" x14ac:dyDescent="0.25">
      <c r="A300" s="15">
        <v>299</v>
      </c>
      <c r="B300" s="15" t="s">
        <v>1162</v>
      </c>
      <c r="C300" s="15" t="s">
        <v>1163</v>
      </c>
      <c r="D300" s="15" t="s">
        <v>1164</v>
      </c>
      <c r="E300" s="15" t="s">
        <v>1165</v>
      </c>
      <c r="F300" s="41">
        <v>1</v>
      </c>
      <c r="G300" s="42">
        <v>10.5</v>
      </c>
      <c r="H300" s="43">
        <v>0.01</v>
      </c>
      <c r="I300" s="41" t="s">
        <v>63</v>
      </c>
      <c r="J300" s="16">
        <f t="shared" si="8"/>
        <v>10.395</v>
      </c>
      <c r="K300" s="16">
        <f>IF(Q300="",0,IF(SUMPRODUCT(('Returns &amp; Refunds'!$A$6:$A$11=C300)*('Returns &amp; Refunds'!$H$6:$H$11="Confirmed Good — Remove Charge"))&gt;0,0,Q300))</f>
        <v>10.395</v>
      </c>
      <c r="L300" s="16">
        <v>15</v>
      </c>
      <c r="M300" s="28">
        <v>14.9</v>
      </c>
      <c r="N300" s="29">
        <v>6.7000000000000002E-3</v>
      </c>
      <c r="O300" s="44" t="s">
        <v>62</v>
      </c>
      <c r="P300" s="15"/>
      <c r="Q300" s="16">
        <f t="shared" si="9"/>
        <v>10.395</v>
      </c>
    </row>
    <row r="301" spans="1:17" ht="15" customHeight="1" x14ac:dyDescent="0.25">
      <c r="A301" s="15">
        <v>300</v>
      </c>
      <c r="B301" s="15" t="s">
        <v>1166</v>
      </c>
      <c r="C301" s="15" t="s">
        <v>1167</v>
      </c>
      <c r="D301" s="15" t="s">
        <v>1168</v>
      </c>
      <c r="E301" s="15" t="s">
        <v>1169</v>
      </c>
      <c r="F301" s="41">
        <v>1</v>
      </c>
      <c r="G301" s="42">
        <v>20.3</v>
      </c>
      <c r="H301" s="43">
        <v>0.02</v>
      </c>
      <c r="I301" s="41" t="s">
        <v>69</v>
      </c>
      <c r="J301" s="16">
        <f t="shared" si="8"/>
        <v>20.3</v>
      </c>
      <c r="K301" s="16">
        <f>IF(Q301="",0,IF(SUMPRODUCT(('Returns &amp; Refunds'!$A$6:$A$11=C301)*('Returns &amp; Refunds'!$H$6:$H$11="Confirmed Good — Remove Charge"))&gt;0,0,Q301))</f>
        <v>20.3</v>
      </c>
      <c r="L301" s="16">
        <v>27.9</v>
      </c>
      <c r="M301" s="28">
        <v>27.9</v>
      </c>
      <c r="N301" s="29">
        <v>0</v>
      </c>
      <c r="O301" s="45" t="s">
        <v>68</v>
      </c>
      <c r="P301" s="15"/>
      <c r="Q301" s="16">
        <f t="shared" si="9"/>
        <v>20.3</v>
      </c>
    </row>
    <row r="302" spans="1:17" ht="15" customHeight="1" x14ac:dyDescent="0.25">
      <c r="A302" s="15">
        <v>301</v>
      </c>
      <c r="B302" s="15" t="s">
        <v>1170</v>
      </c>
      <c r="C302" s="15" t="s">
        <v>1171</v>
      </c>
      <c r="D302" s="15" t="s">
        <v>1172</v>
      </c>
      <c r="E302" s="15" t="s">
        <v>547</v>
      </c>
      <c r="F302" s="41">
        <v>1</v>
      </c>
      <c r="G302" s="42">
        <v>13.2</v>
      </c>
      <c r="H302" s="43">
        <v>0.01</v>
      </c>
      <c r="I302" s="41" t="s">
        <v>63</v>
      </c>
      <c r="J302" s="16">
        <f t="shared" si="8"/>
        <v>13.068</v>
      </c>
      <c r="K302" s="16">
        <f>IF(Q302="",0,IF(SUMPRODUCT(('Returns &amp; Refunds'!$A$6:$A$11=C302)*('Returns &amp; Refunds'!$H$6:$H$11="Confirmed Good — Remove Charge"))&gt;0,0,Q302))</f>
        <v>13.068</v>
      </c>
      <c r="L302" s="16">
        <v>17.899999999999999</v>
      </c>
      <c r="M302" s="28">
        <v>17.7</v>
      </c>
      <c r="N302" s="29">
        <v>1.12E-2</v>
      </c>
      <c r="O302" s="44" t="s">
        <v>62</v>
      </c>
      <c r="P302" s="15"/>
      <c r="Q302" s="16">
        <f t="shared" si="9"/>
        <v>13.068</v>
      </c>
    </row>
    <row r="303" spans="1:17" ht="15" customHeight="1" x14ac:dyDescent="0.25">
      <c r="A303" s="15">
        <v>302</v>
      </c>
      <c r="B303" s="15" t="s">
        <v>1173</v>
      </c>
      <c r="C303" s="15" t="s">
        <v>1174</v>
      </c>
      <c r="D303" s="15" t="s">
        <v>1175</v>
      </c>
      <c r="E303" s="15" t="s">
        <v>372</v>
      </c>
      <c r="F303" s="41">
        <v>2</v>
      </c>
      <c r="G303" s="42">
        <v>34.5</v>
      </c>
      <c r="H303" s="43">
        <v>0.03</v>
      </c>
      <c r="I303" s="41" t="s">
        <v>69</v>
      </c>
      <c r="J303" s="16">
        <f t="shared" si="8"/>
        <v>34.5</v>
      </c>
      <c r="K303" s="16">
        <f>IF(Q303="",0,IF(SUMPRODUCT(('Returns &amp; Refunds'!$A$6:$A$11=C303)*('Returns &amp; Refunds'!$H$6:$H$11="Confirmed Good — Remove Charge"))&gt;0,0,Q303))</f>
        <v>69</v>
      </c>
      <c r="L303" s="16">
        <v>45.9</v>
      </c>
      <c r="M303" s="28">
        <v>45.9</v>
      </c>
      <c r="N303" s="29">
        <v>0</v>
      </c>
      <c r="O303" s="45" t="s">
        <v>68</v>
      </c>
      <c r="P303" s="15"/>
      <c r="Q303" s="16">
        <f t="shared" si="9"/>
        <v>69</v>
      </c>
    </row>
    <row r="304" spans="1:17" ht="15" customHeight="1" x14ac:dyDescent="0.25">
      <c r="A304" s="15">
        <v>303</v>
      </c>
      <c r="B304" s="15" t="s">
        <v>1176</v>
      </c>
      <c r="C304" s="15" t="s">
        <v>1177</v>
      </c>
      <c r="D304" s="15" t="s">
        <v>1178</v>
      </c>
      <c r="E304" s="15" t="s">
        <v>858</v>
      </c>
      <c r="F304" s="41">
        <v>1</v>
      </c>
      <c r="G304" s="42">
        <v>14.9</v>
      </c>
      <c r="H304" s="43">
        <v>0.01</v>
      </c>
      <c r="I304" s="41" t="s">
        <v>63</v>
      </c>
      <c r="J304" s="16">
        <f t="shared" si="8"/>
        <v>14.750999999999999</v>
      </c>
      <c r="K304" s="16">
        <f>IF(Q304="",0,IF(SUMPRODUCT(('Returns &amp; Refunds'!$A$6:$A$11=C304)*('Returns &amp; Refunds'!$H$6:$H$11="Confirmed Good — Remove Charge"))&gt;0,0,Q304))</f>
        <v>14.750999999999999</v>
      </c>
      <c r="L304" s="16">
        <v>20.9</v>
      </c>
      <c r="M304" s="28">
        <v>20.7</v>
      </c>
      <c r="N304" s="29">
        <v>9.5999999999999992E-3</v>
      </c>
      <c r="O304" s="44" t="s">
        <v>62</v>
      </c>
      <c r="P304" s="15"/>
      <c r="Q304" s="16">
        <f t="shared" si="9"/>
        <v>14.750999999999999</v>
      </c>
    </row>
    <row r="305" spans="1:17" ht="15" customHeight="1" x14ac:dyDescent="0.25">
      <c r="A305" s="15">
        <v>304</v>
      </c>
      <c r="B305" s="15" t="s">
        <v>1179</v>
      </c>
      <c r="C305" s="15" t="s">
        <v>1180</v>
      </c>
      <c r="D305" s="15" t="s">
        <v>1181</v>
      </c>
      <c r="E305" s="15" t="s">
        <v>186</v>
      </c>
      <c r="F305" s="41">
        <v>1</v>
      </c>
      <c r="G305" s="42">
        <v>12.4</v>
      </c>
      <c r="H305" s="43">
        <v>0.01</v>
      </c>
      <c r="I305" s="41" t="s">
        <v>63</v>
      </c>
      <c r="J305" s="16">
        <f t="shared" si="8"/>
        <v>12.276</v>
      </c>
      <c r="K305" s="16">
        <f>IF(Q305="",0,IF(SUMPRODUCT(('Returns &amp; Refunds'!$A$6:$A$11=C305)*('Returns &amp; Refunds'!$H$6:$H$11="Confirmed Good — Remove Charge"))&gt;0,0,Q305))</f>
        <v>12.276</v>
      </c>
      <c r="L305" s="16">
        <v>17.899999999999999</v>
      </c>
      <c r="M305" s="28">
        <v>17.7</v>
      </c>
      <c r="N305" s="29">
        <v>1.12E-2</v>
      </c>
      <c r="O305" s="44" t="s">
        <v>62</v>
      </c>
      <c r="P305" s="15"/>
      <c r="Q305" s="16">
        <f t="shared" si="9"/>
        <v>12.276</v>
      </c>
    </row>
    <row r="306" spans="1:17" ht="15" customHeight="1" x14ac:dyDescent="0.25">
      <c r="A306" s="15">
        <v>305</v>
      </c>
      <c r="B306" s="15" t="s">
        <v>141</v>
      </c>
      <c r="C306" s="15" t="s">
        <v>142</v>
      </c>
      <c r="D306" s="15" t="s">
        <v>1181</v>
      </c>
      <c r="E306" s="15" t="s">
        <v>1182</v>
      </c>
      <c r="F306" s="41">
        <v>1</v>
      </c>
      <c r="G306" s="42">
        <v>6.5</v>
      </c>
      <c r="H306" s="43">
        <v>0.08</v>
      </c>
      <c r="I306" s="41" t="s">
        <v>63</v>
      </c>
      <c r="J306" s="16">
        <f t="shared" si="8"/>
        <v>5.98</v>
      </c>
      <c r="K306" s="16">
        <f>IF(Q306="",0,IF(SUMPRODUCT(('Returns &amp; Refunds'!$A$6:$A$11=C306)*('Returns &amp; Refunds'!$H$6:$H$11="Confirmed Good — Remove Charge"))&gt;0,0,Q306))</f>
        <v>5.98</v>
      </c>
      <c r="L306" s="16">
        <v>9.9</v>
      </c>
      <c r="M306" s="28">
        <v>9.1</v>
      </c>
      <c r="N306" s="29">
        <v>8.0799999999999997E-2</v>
      </c>
      <c r="O306" s="44" t="s">
        <v>62</v>
      </c>
      <c r="P306" s="15"/>
      <c r="Q306" s="16">
        <f t="shared" si="9"/>
        <v>5.98</v>
      </c>
    </row>
    <row r="307" spans="1:17" ht="15" customHeight="1" x14ac:dyDescent="0.25">
      <c r="A307" s="15">
        <v>306</v>
      </c>
      <c r="B307" s="15" t="s">
        <v>141</v>
      </c>
      <c r="C307" s="15" t="s">
        <v>142</v>
      </c>
      <c r="D307" s="15" t="s">
        <v>1181</v>
      </c>
      <c r="E307" s="15" t="s">
        <v>195</v>
      </c>
      <c r="F307" s="41">
        <v>1</v>
      </c>
      <c r="G307" s="42">
        <v>10</v>
      </c>
      <c r="H307" s="43">
        <v>0.05</v>
      </c>
      <c r="I307" s="41" t="s">
        <v>63</v>
      </c>
      <c r="J307" s="16">
        <f t="shared" si="8"/>
        <v>9.5</v>
      </c>
      <c r="K307" s="16">
        <f>IF(Q307="",0,IF(SUMPRODUCT(('Returns &amp; Refunds'!$A$6:$A$11=C307)*('Returns &amp; Refunds'!$H$6:$H$11="Confirmed Good — Remove Charge"))&gt;0,0,Q307))</f>
        <v>9.5</v>
      </c>
      <c r="L307" s="16">
        <v>15.9</v>
      </c>
      <c r="M307" s="28">
        <v>15.1</v>
      </c>
      <c r="N307" s="29">
        <v>5.0299999999999997E-2</v>
      </c>
      <c r="O307" s="44" t="s">
        <v>62</v>
      </c>
      <c r="P307" s="15"/>
      <c r="Q307" s="16">
        <f t="shared" si="9"/>
        <v>9.5</v>
      </c>
    </row>
    <row r="308" spans="1:17" ht="15" customHeight="1" x14ac:dyDescent="0.25">
      <c r="A308" s="15">
        <v>307</v>
      </c>
      <c r="B308" s="15" t="s">
        <v>141</v>
      </c>
      <c r="C308" s="15" t="s">
        <v>142</v>
      </c>
      <c r="D308" s="15" t="s">
        <v>1181</v>
      </c>
      <c r="E308" s="15" t="s">
        <v>1183</v>
      </c>
      <c r="F308" s="41">
        <v>1</v>
      </c>
      <c r="G308" s="42">
        <v>5.4</v>
      </c>
      <c r="H308" s="43">
        <v>0.35</v>
      </c>
      <c r="I308" s="41" t="s">
        <v>63</v>
      </c>
      <c r="J308" s="16">
        <f t="shared" si="8"/>
        <v>3.5100000000000002</v>
      </c>
      <c r="K308" s="16">
        <f>IF(Q308="",0,IF(SUMPRODUCT(('Returns &amp; Refunds'!$A$6:$A$11=C308)*('Returns &amp; Refunds'!$H$6:$H$11="Confirmed Good — Remove Charge"))&gt;0,0,Q308))</f>
        <v>3.5100000000000002</v>
      </c>
      <c r="L308" s="16">
        <v>7.9</v>
      </c>
      <c r="M308" s="28">
        <v>5.0999999999999996</v>
      </c>
      <c r="N308" s="29">
        <v>0.35439999999999999</v>
      </c>
      <c r="O308" s="44" t="s">
        <v>62</v>
      </c>
      <c r="P308" s="15"/>
      <c r="Q308" s="16">
        <f t="shared" si="9"/>
        <v>3.5100000000000002</v>
      </c>
    </row>
    <row r="309" spans="1:17" ht="15" customHeight="1" x14ac:dyDescent="0.25">
      <c r="A309" s="15">
        <v>308</v>
      </c>
      <c r="B309" s="15" t="s">
        <v>141</v>
      </c>
      <c r="C309" s="15" t="s">
        <v>142</v>
      </c>
      <c r="D309" s="15" t="s">
        <v>1181</v>
      </c>
      <c r="E309" s="15" t="s">
        <v>179</v>
      </c>
      <c r="F309" s="41">
        <v>1</v>
      </c>
      <c r="G309" s="42">
        <v>11.3</v>
      </c>
      <c r="H309" s="43">
        <v>0.01</v>
      </c>
      <c r="I309" s="41" t="s">
        <v>63</v>
      </c>
      <c r="J309" s="16">
        <f t="shared" si="8"/>
        <v>11.187000000000001</v>
      </c>
      <c r="K309" s="16">
        <f>IF(Q309="",0,IF(SUMPRODUCT(('Returns &amp; Refunds'!$A$6:$A$11=C309)*('Returns &amp; Refunds'!$H$6:$H$11="Confirmed Good — Remove Charge"))&gt;0,0,Q309))</f>
        <v>11.187000000000001</v>
      </c>
      <c r="L309" s="16">
        <v>15.9</v>
      </c>
      <c r="M309" s="28">
        <v>15.7</v>
      </c>
      <c r="N309" s="29">
        <v>1.26E-2</v>
      </c>
      <c r="O309" s="44" t="s">
        <v>62</v>
      </c>
      <c r="P309" s="15"/>
      <c r="Q309" s="16">
        <f t="shared" si="9"/>
        <v>11.187000000000001</v>
      </c>
    </row>
    <row r="310" spans="1:17" ht="15" customHeight="1" x14ac:dyDescent="0.25">
      <c r="A310" s="15">
        <v>309</v>
      </c>
      <c r="B310" s="15" t="s">
        <v>141</v>
      </c>
      <c r="C310" s="15" t="s">
        <v>142</v>
      </c>
      <c r="D310" s="15" t="s">
        <v>1181</v>
      </c>
      <c r="E310" s="15" t="s">
        <v>136</v>
      </c>
      <c r="F310" s="41">
        <v>1</v>
      </c>
      <c r="G310" s="42">
        <v>15</v>
      </c>
      <c r="H310" s="43">
        <v>0.01</v>
      </c>
      <c r="I310" s="46" t="str">
        <f>IF('Pending DSP Entry'!L39="Charge Full DSP Instead","No","Yes")</f>
        <v>Yes</v>
      </c>
      <c r="J310" s="16">
        <f t="shared" si="8"/>
        <v>14.85</v>
      </c>
      <c r="K310" s="16">
        <f>IF(Q310="",0,IF(SUMPRODUCT(('Returns &amp; Refunds'!$A$6:$A$11=C310)*('Returns &amp; Refunds'!$H$6:$H$11="Confirmed Good — Remove Charge"))&gt;0,0,Q310))</f>
        <v>14.85</v>
      </c>
      <c r="L310" s="16">
        <v>20.9</v>
      </c>
      <c r="M310" s="28">
        <v>19.84</v>
      </c>
      <c r="N310" s="29">
        <v>5.0700000000000002E-2</v>
      </c>
      <c r="O310" s="38" t="s">
        <v>129</v>
      </c>
      <c r="P310" s="47" t="str">
        <f>"Wrong rate set by reseller — decision at Pending DSP Entry section D, row 39"</f>
        <v>Wrong rate set by reseller — decision at Pending DSP Entry section D, row 39</v>
      </c>
      <c r="Q310" s="16">
        <f t="shared" si="9"/>
        <v>14.85</v>
      </c>
    </row>
    <row r="311" spans="1:17" ht="15" customHeight="1" x14ac:dyDescent="0.25">
      <c r="A311" s="15">
        <v>310</v>
      </c>
      <c r="B311" s="15" t="s">
        <v>1184</v>
      </c>
      <c r="C311" s="15" t="s">
        <v>1185</v>
      </c>
      <c r="D311" s="15" t="s">
        <v>1186</v>
      </c>
      <c r="E311" s="15" t="s">
        <v>206</v>
      </c>
      <c r="F311" s="41">
        <v>1</v>
      </c>
      <c r="G311" s="42">
        <v>14.9</v>
      </c>
      <c r="H311" s="43">
        <v>0.01</v>
      </c>
      <c r="I311" s="41" t="s">
        <v>63</v>
      </c>
      <c r="J311" s="16">
        <f t="shared" si="8"/>
        <v>14.750999999999999</v>
      </c>
      <c r="K311" s="16">
        <f>IF(Q311="",0,IF(SUMPRODUCT(('Returns &amp; Refunds'!$A$6:$A$11=C311)*('Returns &amp; Refunds'!$H$6:$H$11="Confirmed Good — Remove Charge"))&gt;0,0,Q311))</f>
        <v>14.750999999999999</v>
      </c>
      <c r="L311" s="16">
        <v>20.9</v>
      </c>
      <c r="M311" s="28">
        <v>20.7</v>
      </c>
      <c r="N311" s="29">
        <v>9.5999999999999992E-3</v>
      </c>
      <c r="O311" s="44" t="s">
        <v>62</v>
      </c>
      <c r="P311" s="15"/>
      <c r="Q311" s="16">
        <f t="shared" si="9"/>
        <v>14.750999999999999</v>
      </c>
    </row>
    <row r="312" spans="1:17" ht="15" customHeight="1" x14ac:dyDescent="0.25">
      <c r="A312" s="15">
        <v>311</v>
      </c>
      <c r="B312" s="15" t="s">
        <v>1187</v>
      </c>
      <c r="C312" s="15" t="s">
        <v>1188</v>
      </c>
      <c r="D312" s="15" t="s">
        <v>1189</v>
      </c>
      <c r="E312" s="15" t="s">
        <v>320</v>
      </c>
      <c r="F312" s="41">
        <v>1</v>
      </c>
      <c r="G312" s="42">
        <v>10.5</v>
      </c>
      <c r="H312" s="43">
        <v>0.01</v>
      </c>
      <c r="I312" s="41" t="s">
        <v>63</v>
      </c>
      <c r="J312" s="16">
        <f t="shared" si="8"/>
        <v>10.395</v>
      </c>
      <c r="K312" s="16">
        <f>IF(Q312="",0,IF(SUMPRODUCT(('Returns &amp; Refunds'!$A$6:$A$11=C312)*('Returns &amp; Refunds'!$H$6:$H$11="Confirmed Good — Remove Charge"))&gt;0,0,Q312))</f>
        <v>10.395</v>
      </c>
      <c r="L312" s="16">
        <v>15</v>
      </c>
      <c r="M312" s="28">
        <v>14.9</v>
      </c>
      <c r="N312" s="29">
        <v>6.7000000000000002E-3</v>
      </c>
      <c r="O312" s="44" t="s">
        <v>62</v>
      </c>
      <c r="P312" s="15"/>
      <c r="Q312" s="16">
        <f t="shared" si="9"/>
        <v>10.395</v>
      </c>
    </row>
    <row r="313" spans="1:17" ht="15" customHeight="1" x14ac:dyDescent="0.25">
      <c r="A313" s="15">
        <v>312</v>
      </c>
      <c r="B313" s="15" t="s">
        <v>1190</v>
      </c>
      <c r="C313" s="15" t="s">
        <v>1191</v>
      </c>
      <c r="D313" s="15" t="s">
        <v>1192</v>
      </c>
      <c r="E313" s="15" t="s">
        <v>179</v>
      </c>
      <c r="F313" s="41">
        <v>1</v>
      </c>
      <c r="G313" s="42">
        <v>11.3</v>
      </c>
      <c r="H313" s="43">
        <v>0.01</v>
      </c>
      <c r="I313" s="41" t="s">
        <v>63</v>
      </c>
      <c r="J313" s="16">
        <f t="shared" si="8"/>
        <v>11.187000000000001</v>
      </c>
      <c r="K313" s="16">
        <f>IF(Q313="",0,IF(SUMPRODUCT(('Returns &amp; Refunds'!$A$6:$A$11=C313)*('Returns &amp; Refunds'!$H$6:$H$11="Confirmed Good — Remove Charge"))&gt;0,0,Q313))</f>
        <v>11.187000000000001</v>
      </c>
      <c r="L313" s="16">
        <v>15.9</v>
      </c>
      <c r="M313" s="28">
        <v>15.7</v>
      </c>
      <c r="N313" s="29">
        <v>1.26E-2</v>
      </c>
      <c r="O313" s="44" t="s">
        <v>62</v>
      </c>
      <c r="P313" s="15"/>
      <c r="Q313" s="16">
        <f t="shared" si="9"/>
        <v>11.187000000000001</v>
      </c>
    </row>
    <row r="314" spans="1:17" ht="15" customHeight="1" x14ac:dyDescent="0.25">
      <c r="A314" s="15">
        <v>313</v>
      </c>
      <c r="B314" s="15" t="s">
        <v>1190</v>
      </c>
      <c r="C314" s="15" t="s">
        <v>1191</v>
      </c>
      <c r="D314" s="15" t="s">
        <v>1192</v>
      </c>
      <c r="E314" s="15" t="s">
        <v>186</v>
      </c>
      <c r="F314" s="41">
        <v>1</v>
      </c>
      <c r="G314" s="42">
        <v>12.4</v>
      </c>
      <c r="H314" s="43">
        <v>0.01</v>
      </c>
      <c r="I314" s="41" t="s">
        <v>63</v>
      </c>
      <c r="J314" s="16">
        <f t="shared" si="8"/>
        <v>12.276</v>
      </c>
      <c r="K314" s="16">
        <f>IF(Q314="",0,IF(SUMPRODUCT(('Returns &amp; Refunds'!$A$6:$A$11=C314)*('Returns &amp; Refunds'!$H$6:$H$11="Confirmed Good — Remove Charge"))&gt;0,0,Q314))</f>
        <v>12.276</v>
      </c>
      <c r="L314" s="16">
        <v>17.899999999999999</v>
      </c>
      <c r="M314" s="28">
        <v>17.7</v>
      </c>
      <c r="N314" s="29">
        <v>1.12E-2</v>
      </c>
      <c r="O314" s="44" t="s">
        <v>62</v>
      </c>
      <c r="P314" s="15"/>
      <c r="Q314" s="16">
        <f t="shared" si="9"/>
        <v>12.276</v>
      </c>
    </row>
    <row r="315" spans="1:17" ht="15" customHeight="1" x14ac:dyDescent="0.25">
      <c r="A315" s="15">
        <v>314</v>
      </c>
      <c r="B315" s="15" t="s">
        <v>1193</v>
      </c>
      <c r="C315" s="15" t="s">
        <v>1194</v>
      </c>
      <c r="D315" s="15" t="s">
        <v>1195</v>
      </c>
      <c r="E315" s="15" t="s">
        <v>1196</v>
      </c>
      <c r="F315" s="41">
        <v>1</v>
      </c>
      <c r="G315" s="42">
        <v>27.9</v>
      </c>
      <c r="H315" s="43">
        <v>0.2</v>
      </c>
      <c r="I315" s="41" t="s">
        <v>63</v>
      </c>
      <c r="J315" s="16">
        <f t="shared" si="8"/>
        <v>22.32</v>
      </c>
      <c r="K315" s="16">
        <f>IF(Q315="",0,IF(SUMPRODUCT(('Returns &amp; Refunds'!$A$6:$A$11=C315)*('Returns &amp; Refunds'!$H$6:$H$11="Confirmed Good — Remove Charge"))&gt;0,0,Q315))</f>
        <v>22.32</v>
      </c>
      <c r="L315" s="16">
        <v>39.9</v>
      </c>
      <c r="M315" s="28">
        <v>31.9</v>
      </c>
      <c r="N315" s="29">
        <v>0.20050000000000001</v>
      </c>
      <c r="O315" s="44" t="s">
        <v>62</v>
      </c>
      <c r="P315" s="15"/>
      <c r="Q315" s="16">
        <f t="shared" si="9"/>
        <v>22.32</v>
      </c>
    </row>
    <row r="316" spans="1:17" ht="15" customHeight="1" x14ac:dyDescent="0.25">
      <c r="A316" s="15">
        <v>315</v>
      </c>
      <c r="B316" s="15" t="s">
        <v>1197</v>
      </c>
      <c r="C316" s="15" t="s">
        <v>1198</v>
      </c>
      <c r="D316" s="15" t="s">
        <v>1199</v>
      </c>
      <c r="E316" s="15" t="s">
        <v>565</v>
      </c>
      <c r="F316" s="41">
        <v>1</v>
      </c>
      <c r="G316" s="42">
        <v>10.6</v>
      </c>
      <c r="H316" s="43">
        <v>0.01</v>
      </c>
      <c r="I316" s="41" t="s">
        <v>63</v>
      </c>
      <c r="J316" s="16">
        <f t="shared" si="8"/>
        <v>10.494</v>
      </c>
      <c r="K316" s="16">
        <f>IF(Q316="",0,IF(SUMPRODUCT(('Returns &amp; Refunds'!$A$6:$A$11=C316)*('Returns &amp; Refunds'!$H$6:$H$11="Confirmed Good — Remove Charge"))&gt;0,0,Q316))</f>
        <v>10.494</v>
      </c>
      <c r="L316" s="16">
        <v>15</v>
      </c>
      <c r="M316" s="28">
        <v>14.9</v>
      </c>
      <c r="N316" s="29">
        <v>6.7000000000000002E-3</v>
      </c>
      <c r="O316" s="44" t="s">
        <v>62</v>
      </c>
      <c r="P316" s="15"/>
      <c r="Q316" s="16">
        <f t="shared" si="9"/>
        <v>10.494</v>
      </c>
    </row>
    <row r="317" spans="1:17" ht="15" customHeight="1" x14ac:dyDescent="0.25">
      <c r="A317" s="15">
        <v>316</v>
      </c>
      <c r="B317" s="15" t="s">
        <v>214</v>
      </c>
      <c r="C317" s="15" t="s">
        <v>215</v>
      </c>
      <c r="D317" s="15" t="s">
        <v>1200</v>
      </c>
      <c r="E317" s="15" t="s">
        <v>216</v>
      </c>
      <c r="F317" s="41">
        <v>2</v>
      </c>
      <c r="G317" s="42">
        <v>11.2</v>
      </c>
      <c r="H317" s="43">
        <v>0.25</v>
      </c>
      <c r="I317" s="46" t="str">
        <f>IF('Pending DSP Entry'!L77="Charge Full DSP Instead","No","Yes")</f>
        <v>Yes</v>
      </c>
      <c r="J317" s="16">
        <f t="shared" si="8"/>
        <v>8.3999999999999986</v>
      </c>
      <c r="K317" s="16">
        <f>IF(Q317="",0,IF(SUMPRODUCT(('Returns &amp; Refunds'!$A$6:$A$11=C317)*('Returns &amp; Refunds'!$H$6:$H$11="Confirmed Good — Remove Charge"))&gt;0,0,Q317))</f>
        <v>0</v>
      </c>
      <c r="L317" s="16">
        <v>17.899999999999999</v>
      </c>
      <c r="M317" s="28">
        <v>13.27</v>
      </c>
      <c r="N317" s="29">
        <v>0.25869999999999999</v>
      </c>
      <c r="O317" s="38" t="s">
        <v>129</v>
      </c>
      <c r="P317" s="47" t="str">
        <f>"Wrong rate set by reseller — decision at Pending DSP Entry section D, row 77"</f>
        <v>Wrong rate set by reseller — decision at Pending DSP Entry section D, row 77</v>
      </c>
      <c r="Q317" s="16">
        <f t="shared" si="9"/>
        <v>16.799999999999997</v>
      </c>
    </row>
    <row r="318" spans="1:17" ht="15" customHeight="1" x14ac:dyDescent="0.25">
      <c r="A318" s="15">
        <v>317</v>
      </c>
      <c r="B318" s="15" t="s">
        <v>214</v>
      </c>
      <c r="C318" s="15" t="s">
        <v>215</v>
      </c>
      <c r="D318" s="15" t="s">
        <v>1200</v>
      </c>
      <c r="E318" s="15" t="s">
        <v>220</v>
      </c>
      <c r="F318" s="41">
        <v>1</v>
      </c>
      <c r="G318" s="42">
        <v>34.5</v>
      </c>
      <c r="H318" s="43">
        <v>0.2</v>
      </c>
      <c r="I318" s="46" t="str">
        <f>IF('Pending DSP Entry'!L79="Charge Full DSP Instead","No","Yes")</f>
        <v>Yes</v>
      </c>
      <c r="J318" s="16">
        <f t="shared" si="8"/>
        <v>27.6</v>
      </c>
      <c r="K318" s="16">
        <f>IF(Q318="",0,IF(SUMPRODUCT(('Returns &amp; Refunds'!$A$6:$A$11=C318)*('Returns &amp; Refunds'!$H$6:$H$11="Confirmed Good — Remove Charge"))&gt;0,0,Q318))</f>
        <v>0</v>
      </c>
      <c r="L318" s="16">
        <v>45.9</v>
      </c>
      <c r="M318" s="28">
        <v>36.33</v>
      </c>
      <c r="N318" s="29">
        <v>0.20849999999999999</v>
      </c>
      <c r="O318" s="38" t="s">
        <v>129</v>
      </c>
      <c r="P318" s="47" t="str">
        <f>"Wrong rate set by reseller — decision at Pending DSP Entry section D, row 79"</f>
        <v>Wrong rate set by reseller — decision at Pending DSP Entry section D, row 79</v>
      </c>
      <c r="Q318" s="16">
        <f t="shared" si="9"/>
        <v>27.6</v>
      </c>
    </row>
    <row r="319" spans="1:17" ht="15" customHeight="1" x14ac:dyDescent="0.25">
      <c r="A319" s="15">
        <v>318</v>
      </c>
      <c r="B319" s="15" t="s">
        <v>214</v>
      </c>
      <c r="C319" s="15" t="s">
        <v>215</v>
      </c>
      <c r="D319" s="15" t="s">
        <v>1200</v>
      </c>
      <c r="E319" s="15" t="s">
        <v>1201</v>
      </c>
      <c r="F319" s="41">
        <v>2</v>
      </c>
      <c r="G319" s="42">
        <v>33.200000000000003</v>
      </c>
      <c r="H319" s="43">
        <v>0.3</v>
      </c>
      <c r="I319" s="41" t="s">
        <v>63</v>
      </c>
      <c r="J319" s="16">
        <f t="shared" si="8"/>
        <v>23.240000000000002</v>
      </c>
      <c r="K319" s="16">
        <f>IF(Q319="",0,IF(SUMPRODUCT(('Returns &amp; Refunds'!$A$6:$A$11=C319)*('Returns &amp; Refunds'!$H$6:$H$11="Confirmed Good — Remove Charge"))&gt;0,0,Q319))</f>
        <v>0</v>
      </c>
      <c r="L319" s="16">
        <v>47.9</v>
      </c>
      <c r="M319" s="28">
        <v>33.5</v>
      </c>
      <c r="N319" s="29">
        <v>0.30059999999999998</v>
      </c>
      <c r="O319" s="44" t="s">
        <v>62</v>
      </c>
      <c r="P319" s="15"/>
      <c r="Q319" s="16">
        <f t="shared" si="9"/>
        <v>46.480000000000004</v>
      </c>
    </row>
    <row r="320" spans="1:17" ht="15" customHeight="1" x14ac:dyDescent="0.25">
      <c r="A320" s="15">
        <v>319</v>
      </c>
      <c r="B320" s="15" t="s">
        <v>184</v>
      </c>
      <c r="C320" s="15" t="s">
        <v>185</v>
      </c>
      <c r="D320" s="15" t="s">
        <v>1202</v>
      </c>
      <c r="E320" s="15" t="s">
        <v>230</v>
      </c>
      <c r="F320" s="41">
        <v>1</v>
      </c>
      <c r="G320" s="42">
        <v>17.5</v>
      </c>
      <c r="H320" s="43">
        <v>0.05</v>
      </c>
      <c r="I320" s="46" t="str">
        <f>IF('Pending DSP Entry'!L87="Charge Full DSP Instead","No","Yes")</f>
        <v>Yes</v>
      </c>
      <c r="J320" s="16">
        <f t="shared" si="8"/>
        <v>16.625</v>
      </c>
      <c r="K320" s="16">
        <f>IF(Q320="",0,IF(SUMPRODUCT(('Returns &amp; Refunds'!$A$6:$A$11=C320)*('Returns &amp; Refunds'!$H$6:$H$11="Confirmed Good — Remove Charge"))&gt;0,0,Q320))</f>
        <v>16.625</v>
      </c>
      <c r="L320" s="16">
        <v>24.9</v>
      </c>
      <c r="M320" s="28">
        <v>23.46</v>
      </c>
      <c r="N320" s="29">
        <v>5.7799999999999997E-2</v>
      </c>
      <c r="O320" s="38" t="s">
        <v>129</v>
      </c>
      <c r="P320" s="47" t="str">
        <f>"Wrong rate set by reseller — decision at Pending DSP Entry section D, row 87"</f>
        <v>Wrong rate set by reseller — decision at Pending DSP Entry section D, row 87</v>
      </c>
      <c r="Q320" s="16">
        <f t="shared" si="9"/>
        <v>16.625</v>
      </c>
    </row>
    <row r="321" spans="1:17" ht="15" customHeight="1" x14ac:dyDescent="0.25">
      <c r="A321" s="15">
        <v>320</v>
      </c>
      <c r="B321" s="15" t="s">
        <v>184</v>
      </c>
      <c r="C321" s="15" t="s">
        <v>185</v>
      </c>
      <c r="D321" s="15" t="s">
        <v>1202</v>
      </c>
      <c r="E321" s="15" t="s">
        <v>236</v>
      </c>
      <c r="F321" s="41">
        <v>1</v>
      </c>
      <c r="G321" s="42">
        <v>10.7</v>
      </c>
      <c r="H321" s="43">
        <v>0.01</v>
      </c>
      <c r="I321" s="46" t="str">
        <f>IF('Pending DSP Entry'!L91="Charge Full DSP Instead","No","Yes")</f>
        <v>Yes</v>
      </c>
      <c r="J321" s="16">
        <f t="shared" si="8"/>
        <v>10.593</v>
      </c>
      <c r="K321" s="16">
        <f>IF(Q321="",0,IF(SUMPRODUCT(('Returns &amp; Refunds'!$A$6:$A$11=C321)*('Returns &amp; Refunds'!$H$6:$H$11="Confirmed Good — Remove Charge"))&gt;0,0,Q321))</f>
        <v>10.593</v>
      </c>
      <c r="L321" s="16">
        <v>15</v>
      </c>
      <c r="M321" s="28">
        <v>14.75</v>
      </c>
      <c r="N321" s="29">
        <v>1.67E-2</v>
      </c>
      <c r="O321" s="38" t="s">
        <v>129</v>
      </c>
      <c r="P321" s="47" t="str">
        <f>"Wrong rate set by reseller — decision at Pending DSP Entry section D, row 91"</f>
        <v>Wrong rate set by reseller — decision at Pending DSP Entry section D, row 91</v>
      </c>
      <c r="Q321" s="16">
        <f t="shared" si="9"/>
        <v>10.593</v>
      </c>
    </row>
    <row r="322" spans="1:17" ht="15" customHeight="1" x14ac:dyDescent="0.25">
      <c r="A322" s="15">
        <v>321</v>
      </c>
      <c r="B322" s="15" t="s">
        <v>184</v>
      </c>
      <c r="C322" s="15" t="s">
        <v>185</v>
      </c>
      <c r="D322" s="15" t="s">
        <v>1202</v>
      </c>
      <c r="E322" s="15" t="s">
        <v>186</v>
      </c>
      <c r="F322" s="41">
        <v>1</v>
      </c>
      <c r="G322" s="42">
        <v>12.4</v>
      </c>
      <c r="H322" s="43">
        <v>0.01</v>
      </c>
      <c r="I322" s="46" t="str">
        <f>IF('Pending DSP Entry'!L57="Charge Full DSP Instead","No","Yes")</f>
        <v>Yes</v>
      </c>
      <c r="J322" s="16">
        <f t="shared" ref="J322:J385" si="10">IF(G322="","",IF(I322="Yes",G322*(1-H322),G322))</f>
        <v>12.276</v>
      </c>
      <c r="K322" s="16">
        <f>IF(Q322="",0,IF(SUMPRODUCT(('Returns &amp; Refunds'!$A$6:$A$11=C322)*('Returns &amp; Refunds'!$H$6:$H$11="Confirmed Good — Remove Charge"))&gt;0,0,Q322))</f>
        <v>12.276</v>
      </c>
      <c r="L322" s="16">
        <v>17.899999999999999</v>
      </c>
      <c r="M322" s="28">
        <v>17.52</v>
      </c>
      <c r="N322" s="29">
        <v>2.12E-2</v>
      </c>
      <c r="O322" s="38" t="s">
        <v>129</v>
      </c>
      <c r="P322" s="47" t="str">
        <f>"Wrong rate set by reseller — decision at Pending DSP Entry section D, row 57"</f>
        <v>Wrong rate set by reseller — decision at Pending DSP Entry section D, row 57</v>
      </c>
      <c r="Q322" s="16">
        <f t="shared" ref="Q322:Q385" si="11">IF(J322="",0,F322*J322)</f>
        <v>12.276</v>
      </c>
    </row>
    <row r="323" spans="1:17" ht="15" customHeight="1" x14ac:dyDescent="0.25">
      <c r="A323" s="15">
        <v>322</v>
      </c>
      <c r="B323" s="15" t="s">
        <v>1203</v>
      </c>
      <c r="C323" s="15" t="s">
        <v>1204</v>
      </c>
      <c r="D323" s="15" t="s">
        <v>1205</v>
      </c>
      <c r="E323" s="15" t="s">
        <v>1206</v>
      </c>
      <c r="F323" s="41">
        <v>1</v>
      </c>
      <c r="G323" s="42">
        <v>48.9</v>
      </c>
      <c r="H323" s="43">
        <v>0.02</v>
      </c>
      <c r="I323" s="41" t="s">
        <v>69</v>
      </c>
      <c r="J323" s="16">
        <f t="shared" si="10"/>
        <v>48.9</v>
      </c>
      <c r="K323" s="16">
        <f>IF(Q323="",0,IF(SUMPRODUCT(('Returns &amp; Refunds'!$A$6:$A$11=C323)*('Returns &amp; Refunds'!$H$6:$H$11="Confirmed Good — Remove Charge"))&gt;0,0,Q323))</f>
        <v>48.9</v>
      </c>
      <c r="L323" s="16">
        <v>67.900000000000006</v>
      </c>
      <c r="M323" s="28">
        <v>67.900000000000006</v>
      </c>
      <c r="N323" s="29">
        <v>0</v>
      </c>
      <c r="O323" s="45" t="s">
        <v>68</v>
      </c>
      <c r="P323" s="15"/>
      <c r="Q323" s="16">
        <f t="shared" si="11"/>
        <v>48.9</v>
      </c>
    </row>
    <row r="324" spans="1:17" ht="15" customHeight="1" x14ac:dyDescent="0.25">
      <c r="A324" s="15">
        <v>323</v>
      </c>
      <c r="B324" s="15" t="s">
        <v>1207</v>
      </c>
      <c r="C324" s="15" t="s">
        <v>1208</v>
      </c>
      <c r="D324" s="15" t="s">
        <v>1209</v>
      </c>
      <c r="E324" s="15" t="s">
        <v>1210</v>
      </c>
      <c r="F324" s="41">
        <v>1</v>
      </c>
      <c r="G324" s="42">
        <v>20.3</v>
      </c>
      <c r="H324" s="43">
        <v>0.02</v>
      </c>
      <c r="I324" s="41" t="s">
        <v>69</v>
      </c>
      <c r="J324" s="16">
        <f t="shared" si="10"/>
        <v>20.3</v>
      </c>
      <c r="K324" s="16">
        <f>IF(Q324="",0,IF(SUMPRODUCT(('Returns &amp; Refunds'!$A$6:$A$11=C324)*('Returns &amp; Refunds'!$H$6:$H$11="Confirmed Good — Remove Charge"))&gt;0,0,Q324))</f>
        <v>20.3</v>
      </c>
      <c r="L324" s="16">
        <v>27.9</v>
      </c>
      <c r="M324" s="28">
        <v>27.9</v>
      </c>
      <c r="N324" s="29">
        <v>0</v>
      </c>
      <c r="O324" s="45" t="s">
        <v>68</v>
      </c>
      <c r="P324" s="15"/>
      <c r="Q324" s="16">
        <f t="shared" si="11"/>
        <v>20.3</v>
      </c>
    </row>
    <row r="325" spans="1:17" ht="15" customHeight="1" x14ac:dyDescent="0.25">
      <c r="A325" s="15">
        <v>324</v>
      </c>
      <c r="B325" s="15" t="s">
        <v>1211</v>
      </c>
      <c r="C325" s="15" t="s">
        <v>1212</v>
      </c>
      <c r="D325" s="15" t="s">
        <v>1213</v>
      </c>
      <c r="E325" s="15" t="s">
        <v>803</v>
      </c>
      <c r="F325" s="41">
        <v>1</v>
      </c>
      <c r="G325" s="42">
        <v>39.5</v>
      </c>
      <c r="H325" s="43">
        <v>0.03</v>
      </c>
      <c r="I325" s="41" t="s">
        <v>69</v>
      </c>
      <c r="J325" s="16">
        <f t="shared" si="10"/>
        <v>39.5</v>
      </c>
      <c r="K325" s="16">
        <f>IF(Q325="",0,IF(SUMPRODUCT(('Returns &amp; Refunds'!$A$6:$A$11=C325)*('Returns &amp; Refunds'!$H$6:$H$11="Confirmed Good — Remove Charge"))&gt;0,0,Q325))</f>
        <v>39.5</v>
      </c>
      <c r="L325" s="16">
        <v>59.9</v>
      </c>
      <c r="M325" s="28">
        <v>59.9</v>
      </c>
      <c r="N325" s="29">
        <v>0</v>
      </c>
      <c r="O325" s="45" t="s">
        <v>68</v>
      </c>
      <c r="P325" s="15"/>
      <c r="Q325" s="16">
        <f t="shared" si="11"/>
        <v>39.5</v>
      </c>
    </row>
    <row r="326" spans="1:17" ht="15" customHeight="1" x14ac:dyDescent="0.25">
      <c r="A326" s="15">
        <v>325</v>
      </c>
      <c r="B326" s="15" t="s">
        <v>1214</v>
      </c>
      <c r="C326" s="15" t="s">
        <v>1215</v>
      </c>
      <c r="D326" s="15" t="s">
        <v>1216</v>
      </c>
      <c r="E326" s="15" t="s">
        <v>413</v>
      </c>
      <c r="F326" s="41">
        <v>1</v>
      </c>
      <c r="G326" s="42">
        <v>10.5</v>
      </c>
      <c r="H326" s="43">
        <v>0.01</v>
      </c>
      <c r="I326" s="41" t="s">
        <v>63</v>
      </c>
      <c r="J326" s="16">
        <f t="shared" si="10"/>
        <v>10.395</v>
      </c>
      <c r="K326" s="16">
        <f>IF(Q326="",0,IF(SUMPRODUCT(('Returns &amp; Refunds'!$A$6:$A$11=C326)*('Returns &amp; Refunds'!$H$6:$H$11="Confirmed Good — Remove Charge"))&gt;0,0,Q326))</f>
        <v>10.395</v>
      </c>
      <c r="L326" s="16">
        <v>15</v>
      </c>
      <c r="M326" s="28">
        <v>14.9</v>
      </c>
      <c r="N326" s="29">
        <v>6.7000000000000002E-3</v>
      </c>
      <c r="O326" s="44" t="s">
        <v>62</v>
      </c>
      <c r="P326" s="15"/>
      <c r="Q326" s="16">
        <f t="shared" si="11"/>
        <v>10.395</v>
      </c>
    </row>
    <row r="327" spans="1:17" ht="15" customHeight="1" x14ac:dyDescent="0.25">
      <c r="A327" s="15">
        <v>326</v>
      </c>
      <c r="B327" s="15" t="s">
        <v>1217</v>
      </c>
      <c r="C327" s="15" t="s">
        <v>1218</v>
      </c>
      <c r="D327" s="15" t="s">
        <v>1219</v>
      </c>
      <c r="E327" s="15" t="s">
        <v>505</v>
      </c>
      <c r="F327" s="41">
        <v>1</v>
      </c>
      <c r="G327" s="42">
        <v>13.1</v>
      </c>
      <c r="H327" s="43">
        <v>0.01</v>
      </c>
      <c r="I327" s="41" t="s">
        <v>63</v>
      </c>
      <c r="J327" s="16">
        <f t="shared" si="10"/>
        <v>12.968999999999999</v>
      </c>
      <c r="K327" s="16">
        <f>IF(Q327="",0,IF(SUMPRODUCT(('Returns &amp; Refunds'!$A$6:$A$11=C327)*('Returns &amp; Refunds'!$H$6:$H$11="Confirmed Good — Remove Charge"))&gt;0,0,Q327))</f>
        <v>12.968999999999999</v>
      </c>
      <c r="L327" s="16">
        <v>17.899999999999999</v>
      </c>
      <c r="M327" s="28">
        <v>17.7</v>
      </c>
      <c r="N327" s="29">
        <v>1.12E-2</v>
      </c>
      <c r="O327" s="44" t="s">
        <v>62</v>
      </c>
      <c r="P327" s="15"/>
      <c r="Q327" s="16">
        <f t="shared" si="11"/>
        <v>12.968999999999999</v>
      </c>
    </row>
    <row r="328" spans="1:17" ht="15" customHeight="1" x14ac:dyDescent="0.25">
      <c r="A328" s="15">
        <v>327</v>
      </c>
      <c r="B328" s="15" t="s">
        <v>1220</v>
      </c>
      <c r="C328" s="15" t="s">
        <v>1221</v>
      </c>
      <c r="D328" s="15" t="s">
        <v>1222</v>
      </c>
      <c r="E328" s="15" t="s">
        <v>204</v>
      </c>
      <c r="F328" s="41">
        <v>1</v>
      </c>
      <c r="G328" s="42">
        <v>14.8</v>
      </c>
      <c r="H328" s="43">
        <v>0.01</v>
      </c>
      <c r="I328" s="41" t="s">
        <v>63</v>
      </c>
      <c r="J328" s="16">
        <f t="shared" si="10"/>
        <v>14.652000000000001</v>
      </c>
      <c r="K328" s="16">
        <f>IF(Q328="",0,IF(SUMPRODUCT(('Returns &amp; Refunds'!$A$6:$A$11=C328)*('Returns &amp; Refunds'!$H$6:$H$11="Confirmed Good — Remove Charge"))&gt;0,0,Q328))</f>
        <v>14.652000000000001</v>
      </c>
      <c r="L328" s="16">
        <v>20.9</v>
      </c>
      <c r="M328" s="28">
        <v>20.7</v>
      </c>
      <c r="N328" s="29">
        <v>9.5999999999999992E-3</v>
      </c>
      <c r="O328" s="44" t="s">
        <v>62</v>
      </c>
      <c r="P328" s="15"/>
      <c r="Q328" s="16">
        <f t="shared" si="11"/>
        <v>14.652000000000001</v>
      </c>
    </row>
    <row r="329" spans="1:17" ht="15" customHeight="1" x14ac:dyDescent="0.25">
      <c r="A329" s="15">
        <v>328</v>
      </c>
      <c r="B329" s="15" t="s">
        <v>1223</v>
      </c>
      <c r="C329" s="15" t="s">
        <v>1224</v>
      </c>
      <c r="D329" s="15" t="s">
        <v>1225</v>
      </c>
      <c r="E329" s="15" t="s">
        <v>179</v>
      </c>
      <c r="F329" s="41">
        <v>1</v>
      </c>
      <c r="G329" s="42">
        <v>11.3</v>
      </c>
      <c r="H329" s="43">
        <v>0.01</v>
      </c>
      <c r="I329" s="41" t="s">
        <v>63</v>
      </c>
      <c r="J329" s="16">
        <f t="shared" si="10"/>
        <v>11.187000000000001</v>
      </c>
      <c r="K329" s="16">
        <f>IF(Q329="",0,IF(SUMPRODUCT(('Returns &amp; Refunds'!$A$6:$A$11=C329)*('Returns &amp; Refunds'!$H$6:$H$11="Confirmed Good — Remove Charge"))&gt;0,0,Q329))</f>
        <v>11.187000000000001</v>
      </c>
      <c r="L329" s="16">
        <v>15.9</v>
      </c>
      <c r="M329" s="28">
        <v>15.7</v>
      </c>
      <c r="N329" s="29">
        <v>1.26E-2</v>
      </c>
      <c r="O329" s="44" t="s">
        <v>62</v>
      </c>
      <c r="P329" s="15"/>
      <c r="Q329" s="16">
        <f t="shared" si="11"/>
        <v>11.187000000000001</v>
      </c>
    </row>
    <row r="330" spans="1:17" ht="15" customHeight="1" x14ac:dyDescent="0.25">
      <c r="A330" s="15">
        <v>329</v>
      </c>
      <c r="B330" s="15" t="s">
        <v>1226</v>
      </c>
      <c r="C330" s="15" t="s">
        <v>1227</v>
      </c>
      <c r="D330" s="15" t="s">
        <v>1228</v>
      </c>
      <c r="E330" s="15" t="s">
        <v>1158</v>
      </c>
      <c r="F330" s="41">
        <v>1</v>
      </c>
      <c r="G330" s="42">
        <v>35.4</v>
      </c>
      <c r="H330" s="43">
        <v>0.01</v>
      </c>
      <c r="I330" s="41" t="s">
        <v>63</v>
      </c>
      <c r="J330" s="16">
        <f t="shared" si="10"/>
        <v>35.045999999999999</v>
      </c>
      <c r="K330" s="16">
        <f>IF(Q330="",0,IF(SUMPRODUCT(('Returns &amp; Refunds'!$A$6:$A$11=C330)*('Returns &amp; Refunds'!$H$6:$H$11="Confirmed Good — Remove Charge"))&gt;0,0,Q330))</f>
        <v>35.045999999999999</v>
      </c>
      <c r="L330" s="16">
        <v>44.9</v>
      </c>
      <c r="M330" s="28">
        <v>44.5</v>
      </c>
      <c r="N330" s="29">
        <v>8.8999999999999999E-3</v>
      </c>
      <c r="O330" s="44" t="s">
        <v>62</v>
      </c>
      <c r="P330" s="15"/>
      <c r="Q330" s="16">
        <f t="shared" si="11"/>
        <v>35.045999999999999</v>
      </c>
    </row>
    <row r="331" spans="1:17" ht="15" customHeight="1" x14ac:dyDescent="0.25">
      <c r="A331" s="15">
        <v>330</v>
      </c>
      <c r="B331" s="15" t="s">
        <v>1229</v>
      </c>
      <c r="C331" s="15" t="s">
        <v>1230</v>
      </c>
      <c r="D331" s="15" t="s">
        <v>1231</v>
      </c>
      <c r="E331" s="15" t="s">
        <v>274</v>
      </c>
      <c r="F331" s="41">
        <v>2</v>
      </c>
      <c r="G331" s="42">
        <v>13.1</v>
      </c>
      <c r="H331" s="43">
        <v>0.01</v>
      </c>
      <c r="I331" s="41" t="s">
        <v>63</v>
      </c>
      <c r="J331" s="16">
        <f t="shared" si="10"/>
        <v>12.968999999999999</v>
      </c>
      <c r="K331" s="16">
        <f>IF(Q331="",0,IF(SUMPRODUCT(('Returns &amp; Refunds'!$A$6:$A$11=C331)*('Returns &amp; Refunds'!$H$6:$H$11="Confirmed Good — Remove Charge"))&gt;0,0,Q331))</f>
        <v>25.937999999999999</v>
      </c>
      <c r="L331" s="16">
        <v>17.899999999999999</v>
      </c>
      <c r="M331" s="28">
        <v>17.7</v>
      </c>
      <c r="N331" s="29">
        <v>1.12E-2</v>
      </c>
      <c r="O331" s="44" t="s">
        <v>62</v>
      </c>
      <c r="P331" s="15"/>
      <c r="Q331" s="16">
        <f t="shared" si="11"/>
        <v>25.937999999999999</v>
      </c>
    </row>
    <row r="332" spans="1:17" ht="15" customHeight="1" x14ac:dyDescent="0.25">
      <c r="A332" s="15">
        <v>331</v>
      </c>
      <c r="B332" s="15" t="s">
        <v>1232</v>
      </c>
      <c r="C332" s="15" t="s">
        <v>1233</v>
      </c>
      <c r="D332" s="15" t="s">
        <v>1234</v>
      </c>
      <c r="E332" s="15" t="s">
        <v>838</v>
      </c>
      <c r="F332" s="41">
        <v>1</v>
      </c>
      <c r="G332" s="42">
        <v>14.3</v>
      </c>
      <c r="H332" s="43">
        <v>0.03</v>
      </c>
      <c r="I332" s="41" t="s">
        <v>63</v>
      </c>
      <c r="J332" s="16">
        <f t="shared" si="10"/>
        <v>13.871</v>
      </c>
      <c r="K332" s="16">
        <f>IF(Q332="",0,IF(SUMPRODUCT(('Returns &amp; Refunds'!$A$6:$A$11=C332)*('Returns &amp; Refunds'!$H$6:$H$11="Confirmed Good — Remove Charge"))&gt;0,0,Q332))</f>
        <v>13.871</v>
      </c>
      <c r="L332" s="16">
        <v>19.899999999999999</v>
      </c>
      <c r="M332" s="28">
        <v>19.3</v>
      </c>
      <c r="N332" s="29">
        <v>3.0200000000000001E-2</v>
      </c>
      <c r="O332" s="44" t="s">
        <v>62</v>
      </c>
      <c r="P332" s="15"/>
      <c r="Q332" s="16">
        <f t="shared" si="11"/>
        <v>13.871</v>
      </c>
    </row>
    <row r="333" spans="1:17" ht="15" customHeight="1" x14ac:dyDescent="0.25">
      <c r="A333" s="15">
        <v>332</v>
      </c>
      <c r="B333" s="15" t="s">
        <v>1235</v>
      </c>
      <c r="C333" s="15" t="s">
        <v>1236</v>
      </c>
      <c r="D333" s="15" t="s">
        <v>1237</v>
      </c>
      <c r="E333" s="15" t="s">
        <v>1238</v>
      </c>
      <c r="F333" s="41">
        <v>1</v>
      </c>
      <c r="G333" s="42">
        <v>11</v>
      </c>
      <c r="H333" s="43">
        <v>0.3</v>
      </c>
      <c r="I333" s="41" t="s">
        <v>63</v>
      </c>
      <c r="J333" s="16">
        <f t="shared" si="10"/>
        <v>7.6999999999999993</v>
      </c>
      <c r="K333" s="16">
        <f>IF(Q333="",0,IF(SUMPRODUCT(('Returns &amp; Refunds'!$A$6:$A$11=C333)*('Returns &amp; Refunds'!$H$6:$H$11="Confirmed Good — Remove Charge"))&gt;0,0,Q333))</f>
        <v>7.6999999999999993</v>
      </c>
      <c r="L333" s="16">
        <v>15.9</v>
      </c>
      <c r="M333" s="28">
        <v>11.1</v>
      </c>
      <c r="N333" s="29">
        <v>0.3019</v>
      </c>
      <c r="O333" s="44" t="s">
        <v>62</v>
      </c>
      <c r="P333" s="15"/>
      <c r="Q333" s="16">
        <f t="shared" si="11"/>
        <v>7.6999999999999993</v>
      </c>
    </row>
    <row r="334" spans="1:17" ht="15" customHeight="1" x14ac:dyDescent="0.25">
      <c r="A334" s="15">
        <v>333</v>
      </c>
      <c r="B334" s="15" t="s">
        <v>1235</v>
      </c>
      <c r="C334" s="15" t="s">
        <v>1236</v>
      </c>
      <c r="D334" s="15" t="s">
        <v>1237</v>
      </c>
      <c r="E334" s="15" t="s">
        <v>1239</v>
      </c>
      <c r="F334" s="41">
        <v>1</v>
      </c>
      <c r="G334" s="42">
        <v>11.7</v>
      </c>
      <c r="H334" s="43">
        <v>0.05</v>
      </c>
      <c r="I334" s="41" t="s">
        <v>69</v>
      </c>
      <c r="J334" s="16">
        <f t="shared" si="10"/>
        <v>11.7</v>
      </c>
      <c r="K334" s="16">
        <f>IF(Q334="",0,IF(SUMPRODUCT(('Returns &amp; Refunds'!$A$6:$A$11=C334)*('Returns &amp; Refunds'!$H$6:$H$11="Confirmed Good — Remove Charge"))&gt;0,0,Q334))</f>
        <v>11.7</v>
      </c>
      <c r="L334" s="16">
        <v>17.899999999999999</v>
      </c>
      <c r="M334" s="28">
        <v>17.899999999999999</v>
      </c>
      <c r="N334" s="29">
        <v>0</v>
      </c>
      <c r="O334" s="45" t="s">
        <v>68</v>
      </c>
      <c r="P334" s="15"/>
      <c r="Q334" s="16">
        <f t="shared" si="11"/>
        <v>11.7</v>
      </c>
    </row>
    <row r="335" spans="1:17" ht="15" customHeight="1" x14ac:dyDescent="0.25">
      <c r="A335" s="15">
        <v>334</v>
      </c>
      <c r="B335" s="15" t="s">
        <v>1240</v>
      </c>
      <c r="C335" s="15" t="s">
        <v>1241</v>
      </c>
      <c r="D335" s="15" t="s">
        <v>1242</v>
      </c>
      <c r="E335" s="15" t="s">
        <v>429</v>
      </c>
      <c r="F335" s="41">
        <v>1</v>
      </c>
      <c r="G335" s="42">
        <v>13.5</v>
      </c>
      <c r="H335" s="43">
        <v>0.01</v>
      </c>
      <c r="I335" s="41" t="s">
        <v>63</v>
      </c>
      <c r="J335" s="16">
        <f t="shared" si="10"/>
        <v>13.365</v>
      </c>
      <c r="K335" s="16">
        <f>IF(Q335="",0,IF(SUMPRODUCT(('Returns &amp; Refunds'!$A$6:$A$11=C335)*('Returns &amp; Refunds'!$H$6:$H$11="Confirmed Good — Remove Charge"))&gt;0,0,Q335))</f>
        <v>13.365</v>
      </c>
      <c r="L335" s="16">
        <v>17.899999999999999</v>
      </c>
      <c r="M335" s="28">
        <v>17.7</v>
      </c>
      <c r="N335" s="29">
        <v>1.12E-2</v>
      </c>
      <c r="O335" s="44" t="s">
        <v>62</v>
      </c>
      <c r="P335" s="15"/>
      <c r="Q335" s="16">
        <f t="shared" si="11"/>
        <v>13.365</v>
      </c>
    </row>
    <row r="336" spans="1:17" ht="15" customHeight="1" x14ac:dyDescent="0.25">
      <c r="A336" s="15">
        <v>335</v>
      </c>
      <c r="B336" s="15" t="s">
        <v>1243</v>
      </c>
      <c r="C336" s="15" t="s">
        <v>1244</v>
      </c>
      <c r="D336" s="15" t="s">
        <v>1245</v>
      </c>
      <c r="E336" s="15" t="s">
        <v>637</v>
      </c>
      <c r="F336" s="41">
        <v>1</v>
      </c>
      <c r="G336" s="42">
        <v>46.7</v>
      </c>
      <c r="H336" s="43">
        <v>0.03</v>
      </c>
      <c r="I336" s="41" t="s">
        <v>63</v>
      </c>
      <c r="J336" s="16">
        <f t="shared" si="10"/>
        <v>45.298999999999999</v>
      </c>
      <c r="K336" s="16">
        <f>IF(Q336="",0,IF(SUMPRODUCT(('Returns &amp; Refunds'!$A$6:$A$11=C336)*('Returns &amp; Refunds'!$H$6:$H$11="Confirmed Good — Remove Charge"))&gt;0,0,Q336))</f>
        <v>45.298999999999999</v>
      </c>
      <c r="L336" s="16">
        <v>64.900000000000006</v>
      </c>
      <c r="M336" s="28">
        <v>63</v>
      </c>
      <c r="N336" s="29">
        <v>2.93E-2</v>
      </c>
      <c r="O336" s="44" t="s">
        <v>62</v>
      </c>
      <c r="P336" s="15"/>
      <c r="Q336" s="16">
        <f t="shared" si="11"/>
        <v>45.298999999999999</v>
      </c>
    </row>
    <row r="337" spans="1:17" ht="15" customHeight="1" x14ac:dyDescent="0.25">
      <c r="A337" s="15">
        <v>336</v>
      </c>
      <c r="B337" s="15" t="s">
        <v>1246</v>
      </c>
      <c r="C337" s="15" t="s">
        <v>1247</v>
      </c>
      <c r="D337" s="15" t="s">
        <v>1248</v>
      </c>
      <c r="E337" s="15" t="s">
        <v>421</v>
      </c>
      <c r="F337" s="41">
        <v>1</v>
      </c>
      <c r="G337" s="42">
        <v>18.8</v>
      </c>
      <c r="H337" s="43">
        <v>0.01</v>
      </c>
      <c r="I337" s="41" t="s">
        <v>63</v>
      </c>
      <c r="J337" s="16">
        <f t="shared" si="10"/>
        <v>18.612000000000002</v>
      </c>
      <c r="K337" s="16">
        <f>IF(Q337="",0,IF(SUMPRODUCT(('Returns &amp; Refunds'!$A$6:$A$11=C337)*('Returns &amp; Refunds'!$H$6:$H$11="Confirmed Good — Remove Charge"))&gt;0,0,Q337))</f>
        <v>18.612000000000002</v>
      </c>
      <c r="L337" s="16">
        <v>24.9</v>
      </c>
      <c r="M337" s="28">
        <v>24.7</v>
      </c>
      <c r="N337" s="29">
        <v>8.0000000000000002E-3</v>
      </c>
      <c r="O337" s="44" t="s">
        <v>62</v>
      </c>
      <c r="P337" s="15"/>
      <c r="Q337" s="16">
        <f t="shared" si="11"/>
        <v>18.612000000000002</v>
      </c>
    </row>
    <row r="338" spans="1:17" ht="15" customHeight="1" x14ac:dyDescent="0.25">
      <c r="A338" s="15">
        <v>337</v>
      </c>
      <c r="B338" s="15" t="s">
        <v>1249</v>
      </c>
      <c r="C338" s="15" t="s">
        <v>1250</v>
      </c>
      <c r="D338" s="15" t="s">
        <v>1251</v>
      </c>
      <c r="E338" s="15" t="s">
        <v>1252</v>
      </c>
      <c r="F338" s="41">
        <v>1</v>
      </c>
      <c r="G338" s="42">
        <v>18.600000000000001</v>
      </c>
      <c r="H338" s="43">
        <v>0.25</v>
      </c>
      <c r="I338" s="41" t="s">
        <v>63</v>
      </c>
      <c r="J338" s="16">
        <f t="shared" si="10"/>
        <v>13.950000000000001</v>
      </c>
      <c r="K338" s="16">
        <f>IF(Q338="",0,IF(SUMPRODUCT(('Returns &amp; Refunds'!$A$6:$A$11=C338)*('Returns &amp; Refunds'!$H$6:$H$11="Confirmed Good — Remove Charge"))&gt;0,0,Q338))</f>
        <v>13.950000000000001</v>
      </c>
      <c r="L338" s="16">
        <v>27.9</v>
      </c>
      <c r="M338" s="28">
        <v>20.9</v>
      </c>
      <c r="N338" s="29">
        <v>0.25090000000000001</v>
      </c>
      <c r="O338" s="44" t="s">
        <v>62</v>
      </c>
      <c r="P338" s="15"/>
      <c r="Q338" s="16">
        <f t="shared" si="11"/>
        <v>13.950000000000001</v>
      </c>
    </row>
    <row r="339" spans="1:17" ht="15" customHeight="1" x14ac:dyDescent="0.25">
      <c r="A339" s="15">
        <v>338</v>
      </c>
      <c r="B339" s="15" t="s">
        <v>1253</v>
      </c>
      <c r="C339" s="15" t="s">
        <v>1254</v>
      </c>
      <c r="D339" s="15" t="s">
        <v>1251</v>
      </c>
      <c r="E339" s="15" t="s">
        <v>1255</v>
      </c>
      <c r="F339" s="41">
        <v>1</v>
      </c>
      <c r="G339" s="42">
        <v>20.3</v>
      </c>
      <c r="H339" s="43">
        <v>0.02</v>
      </c>
      <c r="I339" s="41" t="s">
        <v>69</v>
      </c>
      <c r="J339" s="16">
        <f t="shared" si="10"/>
        <v>20.3</v>
      </c>
      <c r="K339" s="16">
        <f>IF(Q339="",0,IF(SUMPRODUCT(('Returns &amp; Refunds'!$A$6:$A$11=C339)*('Returns &amp; Refunds'!$H$6:$H$11="Confirmed Good — Remove Charge"))&gt;0,0,Q339))</f>
        <v>20.3</v>
      </c>
      <c r="L339" s="16">
        <v>27.9</v>
      </c>
      <c r="M339" s="28">
        <v>27.9</v>
      </c>
      <c r="N339" s="29">
        <v>0</v>
      </c>
      <c r="O339" s="45" t="s">
        <v>68</v>
      </c>
      <c r="P339" s="15"/>
      <c r="Q339" s="16">
        <f t="shared" si="11"/>
        <v>20.3</v>
      </c>
    </row>
    <row r="340" spans="1:17" ht="15" customHeight="1" x14ac:dyDescent="0.25">
      <c r="A340" s="15">
        <v>339</v>
      </c>
      <c r="B340" s="15" t="s">
        <v>1256</v>
      </c>
      <c r="C340" s="15" t="s">
        <v>1257</v>
      </c>
      <c r="D340" s="15" t="s">
        <v>1258</v>
      </c>
      <c r="E340" s="15" t="s">
        <v>1259</v>
      </c>
      <c r="F340" s="41">
        <v>1</v>
      </c>
      <c r="G340" s="42">
        <v>46.7</v>
      </c>
      <c r="H340" s="43">
        <v>0.03</v>
      </c>
      <c r="I340" s="41" t="s">
        <v>63</v>
      </c>
      <c r="J340" s="16">
        <f t="shared" si="10"/>
        <v>45.298999999999999</v>
      </c>
      <c r="K340" s="16">
        <f>IF(Q340="",0,IF(SUMPRODUCT(('Returns &amp; Refunds'!$A$6:$A$11=C340)*('Returns &amp; Refunds'!$H$6:$H$11="Confirmed Good — Remove Charge"))&gt;0,0,Q340))</f>
        <v>45.298999999999999</v>
      </c>
      <c r="L340" s="16">
        <v>64.900000000000006</v>
      </c>
      <c r="M340" s="28">
        <v>63</v>
      </c>
      <c r="N340" s="29">
        <v>2.93E-2</v>
      </c>
      <c r="O340" s="44" t="s">
        <v>62</v>
      </c>
      <c r="P340" s="15"/>
      <c r="Q340" s="16">
        <f t="shared" si="11"/>
        <v>45.298999999999999</v>
      </c>
    </row>
    <row r="341" spans="1:17" ht="15" customHeight="1" x14ac:dyDescent="0.25">
      <c r="A341" s="15">
        <v>340</v>
      </c>
      <c r="B341" s="15" t="s">
        <v>1260</v>
      </c>
      <c r="C341" s="15" t="s">
        <v>1261</v>
      </c>
      <c r="D341" s="15" t="s">
        <v>1262</v>
      </c>
      <c r="E341" s="15" t="s">
        <v>762</v>
      </c>
      <c r="F341" s="41">
        <v>1</v>
      </c>
      <c r="G341" s="42">
        <v>11.3</v>
      </c>
      <c r="H341" s="43">
        <v>0.01</v>
      </c>
      <c r="I341" s="41" t="s">
        <v>63</v>
      </c>
      <c r="J341" s="16">
        <f t="shared" si="10"/>
        <v>11.187000000000001</v>
      </c>
      <c r="K341" s="16">
        <f>IF(Q341="",0,IF(SUMPRODUCT(('Returns &amp; Refunds'!$A$6:$A$11=C341)*('Returns &amp; Refunds'!$H$6:$H$11="Confirmed Good — Remove Charge"))&gt;0,0,Q341))</f>
        <v>11.187000000000001</v>
      </c>
      <c r="L341" s="16">
        <v>15.9</v>
      </c>
      <c r="M341" s="28">
        <v>15.7</v>
      </c>
      <c r="N341" s="29">
        <v>1.26E-2</v>
      </c>
      <c r="O341" s="44" t="s">
        <v>62</v>
      </c>
      <c r="P341" s="15"/>
      <c r="Q341" s="16">
        <f t="shared" si="11"/>
        <v>11.187000000000001</v>
      </c>
    </row>
    <row r="342" spans="1:17" ht="15" customHeight="1" x14ac:dyDescent="0.25">
      <c r="A342" s="15">
        <v>341</v>
      </c>
      <c r="B342" s="15" t="s">
        <v>1263</v>
      </c>
      <c r="C342" s="15" t="s">
        <v>1264</v>
      </c>
      <c r="D342" s="15" t="s">
        <v>1265</v>
      </c>
      <c r="E342" s="15" t="s">
        <v>236</v>
      </c>
      <c r="F342" s="41">
        <v>1</v>
      </c>
      <c r="G342" s="42">
        <v>10.7</v>
      </c>
      <c r="H342" s="43">
        <v>0.01</v>
      </c>
      <c r="I342" s="41" t="s">
        <v>63</v>
      </c>
      <c r="J342" s="16">
        <f t="shared" si="10"/>
        <v>10.593</v>
      </c>
      <c r="K342" s="16">
        <f>IF(Q342="",0,IF(SUMPRODUCT(('Returns &amp; Refunds'!$A$6:$A$11=C342)*('Returns &amp; Refunds'!$H$6:$H$11="Confirmed Good — Remove Charge"))&gt;0,0,Q342))</f>
        <v>10.593</v>
      </c>
      <c r="L342" s="16">
        <v>15.9</v>
      </c>
      <c r="M342" s="28">
        <v>15.7</v>
      </c>
      <c r="N342" s="29">
        <v>1.26E-2</v>
      </c>
      <c r="O342" s="44" t="s">
        <v>62</v>
      </c>
      <c r="P342" s="15"/>
      <c r="Q342" s="16">
        <f t="shared" si="11"/>
        <v>10.593</v>
      </c>
    </row>
    <row r="343" spans="1:17" ht="15" customHeight="1" x14ac:dyDescent="0.25">
      <c r="A343" s="15">
        <v>342</v>
      </c>
      <c r="B343" s="15" t="s">
        <v>1266</v>
      </c>
      <c r="C343" s="15" t="s">
        <v>1267</v>
      </c>
      <c r="D343" s="15" t="s">
        <v>1268</v>
      </c>
      <c r="E343" s="15" t="s">
        <v>469</v>
      </c>
      <c r="F343" s="41">
        <v>1</v>
      </c>
      <c r="G343" s="42">
        <v>13.5</v>
      </c>
      <c r="H343" s="43">
        <v>0.01</v>
      </c>
      <c r="I343" s="41" t="s">
        <v>63</v>
      </c>
      <c r="J343" s="16">
        <f t="shared" si="10"/>
        <v>13.365</v>
      </c>
      <c r="K343" s="16">
        <f>IF(Q343="",0,IF(SUMPRODUCT(('Returns &amp; Refunds'!$A$6:$A$11=C343)*('Returns &amp; Refunds'!$H$6:$H$11="Confirmed Good — Remove Charge"))&gt;0,0,Q343))</f>
        <v>13.365</v>
      </c>
      <c r="L343" s="16">
        <v>17.899999999999999</v>
      </c>
      <c r="M343" s="28">
        <v>17.7</v>
      </c>
      <c r="N343" s="29">
        <v>1.12E-2</v>
      </c>
      <c r="O343" s="44" t="s">
        <v>62</v>
      </c>
      <c r="P343" s="15"/>
      <c r="Q343" s="16">
        <f t="shared" si="11"/>
        <v>13.365</v>
      </c>
    </row>
    <row r="344" spans="1:17" ht="15" customHeight="1" x14ac:dyDescent="0.25">
      <c r="A344" s="15">
        <v>343</v>
      </c>
      <c r="B344" s="15" t="s">
        <v>1269</v>
      </c>
      <c r="C344" s="15" t="s">
        <v>1270</v>
      </c>
      <c r="D344" s="15" t="s">
        <v>1271</v>
      </c>
      <c r="E344" s="15" t="s">
        <v>429</v>
      </c>
      <c r="F344" s="41">
        <v>1</v>
      </c>
      <c r="G344" s="42">
        <v>13.5</v>
      </c>
      <c r="H344" s="43">
        <v>0.01</v>
      </c>
      <c r="I344" s="41" t="s">
        <v>63</v>
      </c>
      <c r="J344" s="16">
        <f t="shared" si="10"/>
        <v>13.365</v>
      </c>
      <c r="K344" s="16">
        <f>IF(Q344="",0,IF(SUMPRODUCT(('Returns &amp; Refunds'!$A$6:$A$11=C344)*('Returns &amp; Refunds'!$H$6:$H$11="Confirmed Good — Remove Charge"))&gt;0,0,Q344))</f>
        <v>13.365</v>
      </c>
      <c r="L344" s="16">
        <v>17.899999999999999</v>
      </c>
      <c r="M344" s="28">
        <v>17.7</v>
      </c>
      <c r="N344" s="29">
        <v>1.12E-2</v>
      </c>
      <c r="O344" s="44" t="s">
        <v>62</v>
      </c>
      <c r="P344" s="15"/>
      <c r="Q344" s="16">
        <f t="shared" si="11"/>
        <v>13.365</v>
      </c>
    </row>
    <row r="345" spans="1:17" ht="15" customHeight="1" x14ac:dyDescent="0.25">
      <c r="A345" s="15">
        <v>344</v>
      </c>
      <c r="B345" s="15" t="s">
        <v>1272</v>
      </c>
      <c r="C345" s="15" t="s">
        <v>1273</v>
      </c>
      <c r="D345" s="15" t="s">
        <v>1274</v>
      </c>
      <c r="E345" s="15" t="s">
        <v>1275</v>
      </c>
      <c r="F345" s="41">
        <v>1</v>
      </c>
      <c r="G345" s="42">
        <v>12.8</v>
      </c>
      <c r="H345" s="43">
        <v>0.25</v>
      </c>
      <c r="I345" s="41" t="s">
        <v>63</v>
      </c>
      <c r="J345" s="16">
        <f t="shared" si="10"/>
        <v>9.6000000000000014</v>
      </c>
      <c r="K345" s="16">
        <f>IF(Q345="",0,IF(SUMPRODUCT(('Returns &amp; Refunds'!$A$6:$A$11=C345)*('Returns &amp; Refunds'!$H$6:$H$11="Confirmed Good — Remove Charge"))&gt;0,0,Q345))</f>
        <v>9.6000000000000014</v>
      </c>
      <c r="L345" s="16">
        <v>19.899999999999999</v>
      </c>
      <c r="M345" s="28">
        <v>14.9</v>
      </c>
      <c r="N345" s="29">
        <v>0.25130000000000002</v>
      </c>
      <c r="O345" s="44" t="s">
        <v>62</v>
      </c>
      <c r="P345" s="15"/>
      <c r="Q345" s="16">
        <f t="shared" si="11"/>
        <v>9.6000000000000014</v>
      </c>
    </row>
    <row r="346" spans="1:17" ht="15" customHeight="1" x14ac:dyDescent="0.25">
      <c r="A346" s="15">
        <v>345</v>
      </c>
      <c r="B346" s="15" t="s">
        <v>1276</v>
      </c>
      <c r="C346" s="15" t="s">
        <v>1277</v>
      </c>
      <c r="D346" s="15" t="s">
        <v>1278</v>
      </c>
      <c r="E346" s="15" t="s">
        <v>429</v>
      </c>
      <c r="F346" s="41">
        <v>1</v>
      </c>
      <c r="G346" s="42">
        <v>13.5</v>
      </c>
      <c r="H346" s="43">
        <v>0.01</v>
      </c>
      <c r="I346" s="41" t="s">
        <v>63</v>
      </c>
      <c r="J346" s="16">
        <f t="shared" si="10"/>
        <v>13.365</v>
      </c>
      <c r="K346" s="16">
        <f>IF(Q346="",0,IF(SUMPRODUCT(('Returns &amp; Refunds'!$A$6:$A$11=C346)*('Returns &amp; Refunds'!$H$6:$H$11="Confirmed Good — Remove Charge"))&gt;0,0,Q346))</f>
        <v>13.365</v>
      </c>
      <c r="L346" s="16">
        <v>17.899999999999999</v>
      </c>
      <c r="M346" s="28">
        <v>17.7</v>
      </c>
      <c r="N346" s="29">
        <v>1.12E-2</v>
      </c>
      <c r="O346" s="44" t="s">
        <v>62</v>
      </c>
      <c r="P346" s="15"/>
      <c r="Q346" s="16">
        <f t="shared" si="11"/>
        <v>13.365</v>
      </c>
    </row>
    <row r="347" spans="1:17" ht="15" customHeight="1" x14ac:dyDescent="0.25">
      <c r="A347" s="15">
        <v>346</v>
      </c>
      <c r="B347" s="15" t="s">
        <v>1279</v>
      </c>
      <c r="C347" s="15" t="s">
        <v>1280</v>
      </c>
      <c r="D347" s="15" t="s">
        <v>1281</v>
      </c>
      <c r="E347" s="15" t="s">
        <v>239</v>
      </c>
      <c r="F347" s="41">
        <v>1</v>
      </c>
      <c r="G347" s="42">
        <v>10.6</v>
      </c>
      <c r="H347" s="43">
        <v>0.01</v>
      </c>
      <c r="I347" s="41" t="s">
        <v>63</v>
      </c>
      <c r="J347" s="16">
        <f t="shared" si="10"/>
        <v>10.494</v>
      </c>
      <c r="K347" s="16">
        <f>IF(Q347="",0,IF(SUMPRODUCT(('Returns &amp; Refunds'!$A$6:$A$11=C347)*('Returns &amp; Refunds'!$H$6:$H$11="Confirmed Good — Remove Charge"))&gt;0,0,Q347))</f>
        <v>10.494</v>
      </c>
      <c r="L347" s="16">
        <v>15</v>
      </c>
      <c r="M347" s="28">
        <v>14.9</v>
      </c>
      <c r="N347" s="29">
        <v>6.7000000000000002E-3</v>
      </c>
      <c r="O347" s="44" t="s">
        <v>62</v>
      </c>
      <c r="P347" s="15"/>
      <c r="Q347" s="16">
        <f t="shared" si="11"/>
        <v>10.494</v>
      </c>
    </row>
    <row r="348" spans="1:17" ht="15" customHeight="1" x14ac:dyDescent="0.25">
      <c r="A348" s="15">
        <v>347</v>
      </c>
      <c r="B348" s="15" t="s">
        <v>1279</v>
      </c>
      <c r="C348" s="15" t="s">
        <v>1280</v>
      </c>
      <c r="D348" s="15" t="s">
        <v>1281</v>
      </c>
      <c r="E348" s="15" t="s">
        <v>1282</v>
      </c>
      <c r="F348" s="41">
        <v>1</v>
      </c>
      <c r="G348" s="42">
        <v>10.3</v>
      </c>
      <c r="H348" s="43">
        <v>0.03</v>
      </c>
      <c r="I348" s="41" t="s">
        <v>63</v>
      </c>
      <c r="J348" s="16">
        <f t="shared" si="10"/>
        <v>9.9909999999999997</v>
      </c>
      <c r="K348" s="16">
        <f>IF(Q348="",0,IF(SUMPRODUCT(('Returns &amp; Refunds'!$A$6:$A$11=C348)*('Returns &amp; Refunds'!$H$6:$H$11="Confirmed Good — Remove Charge"))&gt;0,0,Q348))</f>
        <v>9.9909999999999997</v>
      </c>
      <c r="L348" s="16">
        <v>14.9</v>
      </c>
      <c r="M348" s="28">
        <v>14.5</v>
      </c>
      <c r="N348" s="29">
        <v>2.6800000000000001E-2</v>
      </c>
      <c r="O348" s="44" t="s">
        <v>62</v>
      </c>
      <c r="P348" s="15"/>
      <c r="Q348" s="16">
        <f t="shared" si="11"/>
        <v>9.9909999999999997</v>
      </c>
    </row>
    <row r="349" spans="1:17" ht="15" customHeight="1" x14ac:dyDescent="0.25">
      <c r="A349" s="15">
        <v>348</v>
      </c>
      <c r="B349" s="15" t="s">
        <v>1283</v>
      </c>
      <c r="C349" s="15" t="s">
        <v>1284</v>
      </c>
      <c r="D349" s="15" t="s">
        <v>1285</v>
      </c>
      <c r="E349" s="15" t="s">
        <v>930</v>
      </c>
      <c r="F349" s="41">
        <v>1</v>
      </c>
      <c r="G349" s="42">
        <v>50.3</v>
      </c>
      <c r="H349" s="43">
        <v>0.02</v>
      </c>
      <c r="I349" s="41" t="s">
        <v>69</v>
      </c>
      <c r="J349" s="16">
        <f t="shared" si="10"/>
        <v>50.3</v>
      </c>
      <c r="K349" s="16">
        <f>IF(Q349="",0,IF(SUMPRODUCT(('Returns &amp; Refunds'!$A$6:$A$11=C349)*('Returns &amp; Refunds'!$H$6:$H$11="Confirmed Good — Remove Charge"))&gt;0,0,Q349))</f>
        <v>50.3</v>
      </c>
      <c r="L349" s="16">
        <v>69.900000000000006</v>
      </c>
      <c r="M349" s="28">
        <v>69.900000000000006</v>
      </c>
      <c r="N349" s="29">
        <v>0</v>
      </c>
      <c r="O349" s="45" t="s">
        <v>68</v>
      </c>
      <c r="P349" s="15"/>
      <c r="Q349" s="16">
        <f t="shared" si="11"/>
        <v>50.3</v>
      </c>
    </row>
    <row r="350" spans="1:17" ht="15" customHeight="1" x14ac:dyDescent="0.25">
      <c r="A350" s="15">
        <v>349</v>
      </c>
      <c r="B350" s="15" t="s">
        <v>1286</v>
      </c>
      <c r="C350" s="15" t="s">
        <v>1287</v>
      </c>
      <c r="D350" s="15" t="s">
        <v>1288</v>
      </c>
      <c r="E350" s="15" t="s">
        <v>896</v>
      </c>
      <c r="F350" s="41">
        <v>1</v>
      </c>
      <c r="G350" s="42">
        <v>12.4</v>
      </c>
      <c r="H350" s="43">
        <v>0.08</v>
      </c>
      <c r="I350" s="41" t="s">
        <v>63</v>
      </c>
      <c r="J350" s="16">
        <f t="shared" si="10"/>
        <v>11.408000000000001</v>
      </c>
      <c r="K350" s="16">
        <f>IF(Q350="",0,IF(SUMPRODUCT(('Returns &amp; Refunds'!$A$6:$A$11=C350)*('Returns &amp; Refunds'!$H$6:$H$11="Confirmed Good — Remove Charge"))&gt;0,0,Q350))</f>
        <v>11.408000000000001</v>
      </c>
      <c r="L350" s="16">
        <v>19.899999999999999</v>
      </c>
      <c r="M350" s="28">
        <v>18.3</v>
      </c>
      <c r="N350" s="29">
        <v>8.0399999999999999E-2</v>
      </c>
      <c r="O350" s="44" t="s">
        <v>62</v>
      </c>
      <c r="P350" s="15"/>
      <c r="Q350" s="16">
        <f t="shared" si="11"/>
        <v>11.408000000000001</v>
      </c>
    </row>
    <row r="351" spans="1:17" ht="15" customHeight="1" x14ac:dyDescent="0.25">
      <c r="A351" s="15">
        <v>350</v>
      </c>
      <c r="B351" s="15" t="s">
        <v>1289</v>
      </c>
      <c r="C351" s="15" t="s">
        <v>1290</v>
      </c>
      <c r="D351" s="15" t="s">
        <v>1291</v>
      </c>
      <c r="E351" s="15" t="s">
        <v>1292</v>
      </c>
      <c r="F351" s="41">
        <v>1</v>
      </c>
      <c r="G351" s="42">
        <v>20.3</v>
      </c>
      <c r="H351" s="43">
        <v>0.02</v>
      </c>
      <c r="I351" s="41" t="s">
        <v>69</v>
      </c>
      <c r="J351" s="16">
        <f t="shared" si="10"/>
        <v>20.3</v>
      </c>
      <c r="K351" s="16">
        <f>IF(Q351="",0,IF(SUMPRODUCT(('Returns &amp; Refunds'!$A$6:$A$11=C351)*('Returns &amp; Refunds'!$H$6:$H$11="Confirmed Good — Remove Charge"))&gt;0,0,Q351))</f>
        <v>20.3</v>
      </c>
      <c r="L351" s="16">
        <v>27.9</v>
      </c>
      <c r="M351" s="28">
        <v>27.9</v>
      </c>
      <c r="N351" s="29">
        <v>0</v>
      </c>
      <c r="O351" s="45" t="s">
        <v>68</v>
      </c>
      <c r="P351" s="15"/>
      <c r="Q351" s="16">
        <f t="shared" si="11"/>
        <v>20.3</v>
      </c>
    </row>
    <row r="352" spans="1:17" ht="15" customHeight="1" x14ac:dyDescent="0.25">
      <c r="A352" s="15">
        <v>351</v>
      </c>
      <c r="B352" s="15" t="s">
        <v>1293</v>
      </c>
      <c r="C352" s="15" t="s">
        <v>1294</v>
      </c>
      <c r="D352" s="15" t="s">
        <v>1295</v>
      </c>
      <c r="E352" s="15" t="s">
        <v>1296</v>
      </c>
      <c r="F352" s="41">
        <v>1</v>
      </c>
      <c r="G352" s="42">
        <v>37.299999999999997</v>
      </c>
      <c r="H352" s="43">
        <v>0.03</v>
      </c>
      <c r="I352" s="41" t="s">
        <v>63</v>
      </c>
      <c r="J352" s="16">
        <f t="shared" si="10"/>
        <v>36.180999999999997</v>
      </c>
      <c r="K352" s="16">
        <f>IF(Q352="",0,IF(SUMPRODUCT(('Returns &amp; Refunds'!$A$6:$A$11=C352)*('Returns &amp; Refunds'!$H$6:$H$11="Confirmed Good — Remove Charge"))&gt;0,0,Q352))</f>
        <v>36.180999999999997</v>
      </c>
      <c r="L352" s="16">
        <v>49.9</v>
      </c>
      <c r="M352" s="28">
        <v>48.4</v>
      </c>
      <c r="N352" s="29">
        <v>3.0099999999999998E-2</v>
      </c>
      <c r="O352" s="44" t="s">
        <v>62</v>
      </c>
      <c r="P352" s="15"/>
      <c r="Q352" s="16">
        <f t="shared" si="11"/>
        <v>36.180999999999997</v>
      </c>
    </row>
    <row r="353" spans="1:17" ht="15" customHeight="1" x14ac:dyDescent="0.25">
      <c r="A353" s="15">
        <v>352</v>
      </c>
      <c r="B353" s="15" t="s">
        <v>1297</v>
      </c>
      <c r="C353" s="15" t="s">
        <v>1298</v>
      </c>
      <c r="D353" s="15" t="s">
        <v>1299</v>
      </c>
      <c r="E353" s="15" t="s">
        <v>448</v>
      </c>
      <c r="F353" s="41">
        <v>1</v>
      </c>
      <c r="G353" s="42">
        <v>16.3</v>
      </c>
      <c r="H353" s="43">
        <v>0.01</v>
      </c>
      <c r="I353" s="41" t="s">
        <v>63</v>
      </c>
      <c r="J353" s="16">
        <f t="shared" si="10"/>
        <v>16.137</v>
      </c>
      <c r="K353" s="16">
        <f>IF(Q353="",0,IF(SUMPRODUCT(('Returns &amp; Refunds'!$A$6:$A$11=C353)*('Returns &amp; Refunds'!$H$6:$H$11="Confirmed Good — Remove Charge"))&gt;0,0,Q353))</f>
        <v>16.137</v>
      </c>
      <c r="L353" s="16">
        <v>21.9</v>
      </c>
      <c r="M353" s="28">
        <v>21.7</v>
      </c>
      <c r="N353" s="29">
        <v>9.1000000000000004E-3</v>
      </c>
      <c r="O353" s="44" t="s">
        <v>62</v>
      </c>
      <c r="P353" s="15"/>
      <c r="Q353" s="16">
        <f t="shared" si="11"/>
        <v>16.137</v>
      </c>
    </row>
    <row r="354" spans="1:17" ht="15" customHeight="1" x14ac:dyDescent="0.25">
      <c r="A354" s="15">
        <v>353</v>
      </c>
      <c r="B354" s="15" t="s">
        <v>150</v>
      </c>
      <c r="C354" s="15" t="s">
        <v>151</v>
      </c>
      <c r="D354" s="15" t="s">
        <v>1300</v>
      </c>
      <c r="E354" s="15" t="s">
        <v>152</v>
      </c>
      <c r="F354" s="41">
        <v>1</v>
      </c>
      <c r="G354" s="42">
        <v>31.5</v>
      </c>
      <c r="H354" s="43">
        <v>0.01</v>
      </c>
      <c r="I354" s="46" t="str">
        <f>IF('Pending DSP Entry'!L43="Charge Full DSP Instead","No","Yes")</f>
        <v>Yes</v>
      </c>
      <c r="J354" s="16">
        <f t="shared" si="10"/>
        <v>31.184999999999999</v>
      </c>
      <c r="K354" s="16">
        <f>IF(Q354="",0,IF(SUMPRODUCT(('Returns &amp; Refunds'!$A$6:$A$11=C354)*('Returns &amp; Refunds'!$H$6:$H$11="Confirmed Good — Remove Charge"))&gt;0,0,Q354))</f>
        <v>31.184999999999999</v>
      </c>
      <c r="L354" s="16">
        <v>39.9</v>
      </c>
      <c r="M354" s="28">
        <v>37.89</v>
      </c>
      <c r="N354" s="29">
        <v>5.04E-2</v>
      </c>
      <c r="O354" s="38" t="s">
        <v>129</v>
      </c>
      <c r="P354" s="47" t="str">
        <f>"Wrong rate set by reseller — decision at Pending DSP Entry section D, row 43"</f>
        <v>Wrong rate set by reseller — decision at Pending DSP Entry section D, row 43</v>
      </c>
      <c r="Q354" s="16">
        <f t="shared" si="11"/>
        <v>31.184999999999999</v>
      </c>
    </row>
    <row r="355" spans="1:17" ht="15" customHeight="1" x14ac:dyDescent="0.25">
      <c r="A355" s="15">
        <v>354</v>
      </c>
      <c r="B355" s="15" t="s">
        <v>225</v>
      </c>
      <c r="C355" s="15" t="s">
        <v>226</v>
      </c>
      <c r="D355" s="15" t="s">
        <v>1301</v>
      </c>
      <c r="E355" s="15" t="s">
        <v>727</v>
      </c>
      <c r="F355" s="41">
        <v>1</v>
      </c>
      <c r="G355" s="42">
        <v>18.8</v>
      </c>
      <c r="H355" s="43">
        <v>0.01</v>
      </c>
      <c r="I355" s="41" t="s">
        <v>63</v>
      </c>
      <c r="J355" s="16">
        <f t="shared" si="10"/>
        <v>18.612000000000002</v>
      </c>
      <c r="K355" s="16">
        <f>IF(Q355="",0,IF(SUMPRODUCT(('Returns &amp; Refunds'!$A$6:$A$11=C355)*('Returns &amp; Refunds'!$H$6:$H$11="Confirmed Good — Remove Charge"))&gt;0,0,Q355))</f>
        <v>18.612000000000002</v>
      </c>
      <c r="L355" s="16">
        <v>24.9</v>
      </c>
      <c r="M355" s="28">
        <v>24.57</v>
      </c>
      <c r="N355" s="29">
        <v>1.3100000000000001E-2</v>
      </c>
      <c r="O355" s="44" t="s">
        <v>62</v>
      </c>
      <c r="P355" s="15"/>
      <c r="Q355" s="16">
        <f t="shared" si="11"/>
        <v>18.612000000000002</v>
      </c>
    </row>
    <row r="356" spans="1:17" ht="15" customHeight="1" x14ac:dyDescent="0.25">
      <c r="A356" s="15">
        <v>355</v>
      </c>
      <c r="B356" s="15" t="s">
        <v>225</v>
      </c>
      <c r="C356" s="15" t="s">
        <v>226</v>
      </c>
      <c r="D356" s="15" t="s">
        <v>1301</v>
      </c>
      <c r="E356" s="15" t="s">
        <v>227</v>
      </c>
      <c r="F356" s="41">
        <v>1</v>
      </c>
      <c r="G356" s="42">
        <v>18.8</v>
      </c>
      <c r="H356" s="43">
        <v>0.01</v>
      </c>
      <c r="I356" s="46" t="str">
        <f>IF('Pending DSP Entry'!L82="Charge Full DSP Instead","No","Yes")</f>
        <v>Yes</v>
      </c>
      <c r="J356" s="16">
        <f t="shared" si="10"/>
        <v>18.612000000000002</v>
      </c>
      <c r="K356" s="16">
        <f>IF(Q356="",0,IF(SUMPRODUCT(('Returns &amp; Refunds'!$A$6:$A$11=C356)*('Returns &amp; Refunds'!$H$6:$H$11="Confirmed Good — Remove Charge"))&gt;0,0,Q356))</f>
        <v>18.612000000000002</v>
      </c>
      <c r="L356" s="16">
        <v>24.9</v>
      </c>
      <c r="M356" s="28">
        <v>24.45</v>
      </c>
      <c r="N356" s="29">
        <v>1.8100000000000002E-2</v>
      </c>
      <c r="O356" s="38" t="s">
        <v>129</v>
      </c>
      <c r="P356" s="47" t="str">
        <f>"Wrong rate set by reseller — decision at Pending DSP Entry section D, row 82"</f>
        <v>Wrong rate set by reseller — decision at Pending DSP Entry section D, row 82</v>
      </c>
      <c r="Q356" s="16">
        <f t="shared" si="11"/>
        <v>18.612000000000002</v>
      </c>
    </row>
    <row r="357" spans="1:17" ht="15" customHeight="1" x14ac:dyDescent="0.25">
      <c r="A357" s="15">
        <v>356</v>
      </c>
      <c r="B357" s="15" t="s">
        <v>225</v>
      </c>
      <c r="C357" s="15" t="s">
        <v>226</v>
      </c>
      <c r="D357" s="15" t="s">
        <v>1301</v>
      </c>
      <c r="E357" s="15" t="s">
        <v>228</v>
      </c>
      <c r="F357" s="41">
        <v>1</v>
      </c>
      <c r="G357" s="42">
        <v>18.8</v>
      </c>
      <c r="H357" s="43">
        <v>0.01</v>
      </c>
      <c r="I357" s="46" t="str">
        <f>IF('Pending DSP Entry'!L83="Charge Full DSP Instead","No","Yes")</f>
        <v>Yes</v>
      </c>
      <c r="J357" s="16">
        <f t="shared" si="10"/>
        <v>18.612000000000002</v>
      </c>
      <c r="K357" s="16">
        <f>IF(Q357="",0,IF(SUMPRODUCT(('Returns &amp; Refunds'!$A$6:$A$11=C357)*('Returns &amp; Refunds'!$H$6:$H$11="Confirmed Good — Remove Charge"))&gt;0,0,Q357))</f>
        <v>18.612000000000002</v>
      </c>
      <c r="L357" s="16">
        <v>24.9</v>
      </c>
      <c r="M357" s="28">
        <v>24.45</v>
      </c>
      <c r="N357" s="29">
        <v>1.8100000000000002E-2</v>
      </c>
      <c r="O357" s="38" t="s">
        <v>129</v>
      </c>
      <c r="P357" s="47" t="str">
        <f>"Wrong rate set by reseller — decision at Pending DSP Entry section D, row 83"</f>
        <v>Wrong rate set by reseller — decision at Pending DSP Entry section D, row 83</v>
      </c>
      <c r="Q357" s="16">
        <f t="shared" si="11"/>
        <v>18.612000000000002</v>
      </c>
    </row>
    <row r="358" spans="1:17" ht="15" customHeight="1" x14ac:dyDescent="0.25">
      <c r="A358" s="15">
        <v>357</v>
      </c>
      <c r="B358" s="15" t="s">
        <v>225</v>
      </c>
      <c r="C358" s="15" t="s">
        <v>226</v>
      </c>
      <c r="D358" s="15" t="s">
        <v>1301</v>
      </c>
      <c r="E358" s="15" t="s">
        <v>727</v>
      </c>
      <c r="F358" s="41">
        <v>1</v>
      </c>
      <c r="G358" s="42">
        <v>18.8</v>
      </c>
      <c r="H358" s="43">
        <v>0.01</v>
      </c>
      <c r="I358" s="41" t="s">
        <v>63</v>
      </c>
      <c r="J358" s="16">
        <f t="shared" si="10"/>
        <v>18.612000000000002</v>
      </c>
      <c r="K358" s="16">
        <f>IF(Q358="",0,IF(SUMPRODUCT(('Returns &amp; Refunds'!$A$6:$A$11=C358)*('Returns &amp; Refunds'!$H$6:$H$11="Confirmed Good — Remove Charge"))&gt;0,0,Q358))</f>
        <v>18.612000000000002</v>
      </c>
      <c r="L358" s="16">
        <v>24.9</v>
      </c>
      <c r="M358" s="28">
        <v>24.57</v>
      </c>
      <c r="N358" s="29">
        <v>1.3100000000000001E-2</v>
      </c>
      <c r="O358" s="44" t="s">
        <v>62</v>
      </c>
      <c r="P358" s="15"/>
      <c r="Q358" s="16">
        <f t="shared" si="11"/>
        <v>18.612000000000002</v>
      </c>
    </row>
    <row r="359" spans="1:17" ht="15" customHeight="1" x14ac:dyDescent="0.25">
      <c r="A359" s="15">
        <v>358</v>
      </c>
      <c r="B359" s="15" t="s">
        <v>1302</v>
      </c>
      <c r="C359" s="15" t="s">
        <v>1303</v>
      </c>
      <c r="D359" s="15" t="s">
        <v>1304</v>
      </c>
      <c r="E359" s="15" t="s">
        <v>727</v>
      </c>
      <c r="F359" s="41">
        <v>1</v>
      </c>
      <c r="G359" s="42">
        <v>18.8</v>
      </c>
      <c r="H359" s="43">
        <v>0.01</v>
      </c>
      <c r="I359" s="41" t="s">
        <v>63</v>
      </c>
      <c r="J359" s="16">
        <f t="shared" si="10"/>
        <v>18.612000000000002</v>
      </c>
      <c r="K359" s="16">
        <f>IF(Q359="",0,IF(SUMPRODUCT(('Returns &amp; Refunds'!$A$6:$A$11=C359)*('Returns &amp; Refunds'!$H$6:$H$11="Confirmed Good — Remove Charge"))&gt;0,0,Q359))</f>
        <v>18.612000000000002</v>
      </c>
      <c r="L359" s="16">
        <v>24.9</v>
      </c>
      <c r="M359" s="28">
        <v>24.7</v>
      </c>
      <c r="N359" s="29">
        <v>8.0000000000000002E-3</v>
      </c>
      <c r="O359" s="44" t="s">
        <v>62</v>
      </c>
      <c r="P359" s="15"/>
      <c r="Q359" s="16">
        <f t="shared" si="11"/>
        <v>18.612000000000002</v>
      </c>
    </row>
    <row r="360" spans="1:17" ht="15" customHeight="1" x14ac:dyDescent="0.25">
      <c r="A360" s="15">
        <v>359</v>
      </c>
      <c r="B360" s="15" t="s">
        <v>171</v>
      </c>
      <c r="C360" s="15" t="s">
        <v>172</v>
      </c>
      <c r="D360" s="15" t="s">
        <v>1305</v>
      </c>
      <c r="E360" s="15" t="s">
        <v>227</v>
      </c>
      <c r="F360" s="41">
        <v>1</v>
      </c>
      <c r="G360" s="42">
        <v>18.8</v>
      </c>
      <c r="H360" s="43">
        <v>0.01</v>
      </c>
      <c r="I360" s="46" t="str">
        <f>IF('Pending DSP Entry'!L84="Charge Full DSP Instead","No","Yes")</f>
        <v>Yes</v>
      </c>
      <c r="J360" s="16">
        <f t="shared" si="10"/>
        <v>18.612000000000002</v>
      </c>
      <c r="K360" s="16">
        <f>IF(Q360="",0,IF(SUMPRODUCT(('Returns &amp; Refunds'!$A$6:$A$11=C360)*('Returns &amp; Refunds'!$H$6:$H$11="Confirmed Good — Remove Charge"))&gt;0,0,Q360))</f>
        <v>18.612000000000002</v>
      </c>
      <c r="L360" s="16">
        <v>24.9</v>
      </c>
      <c r="M360" s="28">
        <v>24.45</v>
      </c>
      <c r="N360" s="29">
        <v>1.8100000000000002E-2</v>
      </c>
      <c r="O360" s="38" t="s">
        <v>129</v>
      </c>
      <c r="P360" s="47" t="str">
        <f>"Wrong rate set by reseller — decision at Pending DSP Entry section D, row 84"</f>
        <v>Wrong rate set by reseller — decision at Pending DSP Entry section D, row 84</v>
      </c>
      <c r="Q360" s="16">
        <f t="shared" si="11"/>
        <v>18.612000000000002</v>
      </c>
    </row>
    <row r="361" spans="1:17" ht="15" customHeight="1" x14ac:dyDescent="0.25">
      <c r="A361" s="15">
        <v>360</v>
      </c>
      <c r="B361" s="15" t="s">
        <v>171</v>
      </c>
      <c r="C361" s="15" t="s">
        <v>172</v>
      </c>
      <c r="D361" s="15" t="s">
        <v>1305</v>
      </c>
      <c r="E361" s="15" t="s">
        <v>173</v>
      </c>
      <c r="F361" s="41">
        <v>1</v>
      </c>
      <c r="G361" s="42">
        <v>5.4</v>
      </c>
      <c r="H361" s="43">
        <v>0.01</v>
      </c>
      <c r="I361" s="46" t="str">
        <f>IF('Pending DSP Entry'!L52="Charge Full DSP Instead","No","Yes")</f>
        <v>Yes</v>
      </c>
      <c r="J361" s="16">
        <f t="shared" si="10"/>
        <v>5.3460000000000001</v>
      </c>
      <c r="K361" s="16">
        <f>IF(Q361="",0,IF(SUMPRODUCT(('Returns &amp; Refunds'!$A$6:$A$11=C361)*('Returns &amp; Refunds'!$H$6:$H$11="Confirmed Good — Remove Charge"))&gt;0,0,Q361))</f>
        <v>5.3460000000000001</v>
      </c>
      <c r="L361" s="16">
        <v>7.5</v>
      </c>
      <c r="M361" s="28">
        <v>7.33</v>
      </c>
      <c r="N361" s="29">
        <v>2.2700000000000001E-2</v>
      </c>
      <c r="O361" s="38" t="s">
        <v>129</v>
      </c>
      <c r="P361" s="47" t="str">
        <f>"Wrong rate set by reseller — decision at Pending DSP Entry section D, row 52"</f>
        <v>Wrong rate set by reseller — decision at Pending DSP Entry section D, row 52</v>
      </c>
      <c r="Q361" s="16">
        <f t="shared" si="11"/>
        <v>5.3460000000000001</v>
      </c>
    </row>
    <row r="362" spans="1:17" ht="15" customHeight="1" x14ac:dyDescent="0.25">
      <c r="A362" s="15">
        <v>361</v>
      </c>
      <c r="B362" s="15" t="s">
        <v>171</v>
      </c>
      <c r="C362" s="15" t="s">
        <v>172</v>
      </c>
      <c r="D362" s="15" t="s">
        <v>1305</v>
      </c>
      <c r="E362" s="15" t="s">
        <v>221</v>
      </c>
      <c r="F362" s="41">
        <v>1</v>
      </c>
      <c r="G362" s="42">
        <v>8.1</v>
      </c>
      <c r="H362" s="43">
        <v>0.01</v>
      </c>
      <c r="I362" s="46" t="str">
        <f>IF('Pending DSP Entry'!L80="Charge Full DSP Instead","No","Yes")</f>
        <v>Yes</v>
      </c>
      <c r="J362" s="16">
        <f t="shared" si="10"/>
        <v>8.0190000000000001</v>
      </c>
      <c r="K362" s="16">
        <f>IF(Q362="",0,IF(SUMPRODUCT(('Returns &amp; Refunds'!$A$6:$A$11=C362)*('Returns &amp; Refunds'!$H$6:$H$11="Confirmed Good — Remove Charge"))&gt;0,0,Q362))</f>
        <v>8.0190000000000001</v>
      </c>
      <c r="L362" s="16">
        <v>11.5</v>
      </c>
      <c r="M362" s="28">
        <v>11.29</v>
      </c>
      <c r="N362" s="29">
        <v>1.83E-2</v>
      </c>
      <c r="O362" s="38" t="s">
        <v>129</v>
      </c>
      <c r="P362" s="47" t="str">
        <f>"Wrong rate set by reseller — decision at Pending DSP Entry section D, row 80"</f>
        <v>Wrong rate set by reseller — decision at Pending DSP Entry section D, row 80</v>
      </c>
      <c r="Q362" s="16">
        <f t="shared" si="11"/>
        <v>8.0190000000000001</v>
      </c>
    </row>
    <row r="363" spans="1:17" ht="15" customHeight="1" x14ac:dyDescent="0.25">
      <c r="A363" s="15">
        <v>362</v>
      </c>
      <c r="B363" s="15" t="s">
        <v>1306</v>
      </c>
      <c r="C363" s="15" t="s">
        <v>1307</v>
      </c>
      <c r="D363" s="15" t="s">
        <v>1308</v>
      </c>
      <c r="E363" s="15" t="s">
        <v>547</v>
      </c>
      <c r="F363" s="41">
        <v>1</v>
      </c>
      <c r="G363" s="42">
        <v>13.2</v>
      </c>
      <c r="H363" s="43">
        <v>0.01</v>
      </c>
      <c r="I363" s="41" t="s">
        <v>63</v>
      </c>
      <c r="J363" s="16">
        <f t="shared" si="10"/>
        <v>13.068</v>
      </c>
      <c r="K363" s="16">
        <f>IF(Q363="",0,IF(SUMPRODUCT(('Returns &amp; Refunds'!$A$6:$A$11=C363)*('Returns &amp; Refunds'!$H$6:$H$11="Confirmed Good — Remove Charge"))&gt;0,0,Q363))</f>
        <v>13.068</v>
      </c>
      <c r="L363" s="16">
        <v>17.899999999999999</v>
      </c>
      <c r="M363" s="28">
        <v>17.7</v>
      </c>
      <c r="N363" s="29">
        <v>1.12E-2</v>
      </c>
      <c r="O363" s="44" t="s">
        <v>62</v>
      </c>
      <c r="P363" s="15"/>
      <c r="Q363" s="16">
        <f t="shared" si="11"/>
        <v>13.068</v>
      </c>
    </row>
    <row r="364" spans="1:17" ht="15" customHeight="1" x14ac:dyDescent="0.25">
      <c r="A364" s="15">
        <v>363</v>
      </c>
      <c r="B364" s="15" t="s">
        <v>1309</v>
      </c>
      <c r="C364" s="15" t="s">
        <v>1310</v>
      </c>
      <c r="D364" s="15" t="s">
        <v>1311</v>
      </c>
      <c r="E364" s="15" t="s">
        <v>1312</v>
      </c>
      <c r="F364" s="41">
        <v>1</v>
      </c>
      <c r="G364" s="42">
        <v>20.3</v>
      </c>
      <c r="H364" s="43">
        <v>0.02</v>
      </c>
      <c r="I364" s="41" t="s">
        <v>63</v>
      </c>
      <c r="J364" s="16">
        <f t="shared" si="10"/>
        <v>19.894000000000002</v>
      </c>
      <c r="K364" s="16">
        <f>IF(Q364="",0,IF(SUMPRODUCT(('Returns &amp; Refunds'!$A$6:$A$11=C364)*('Returns &amp; Refunds'!$H$6:$H$11="Confirmed Good — Remove Charge"))&gt;0,0,Q364))</f>
        <v>19.894000000000002</v>
      </c>
      <c r="L364" s="16">
        <v>27.9</v>
      </c>
      <c r="M364" s="28">
        <v>27.3</v>
      </c>
      <c r="N364" s="29">
        <v>2.1499999999999998E-2</v>
      </c>
      <c r="O364" s="44" t="s">
        <v>62</v>
      </c>
      <c r="P364" s="15"/>
      <c r="Q364" s="16">
        <f t="shared" si="11"/>
        <v>19.894000000000002</v>
      </c>
    </row>
    <row r="365" spans="1:17" ht="15" customHeight="1" x14ac:dyDescent="0.25">
      <c r="A365" s="15">
        <v>364</v>
      </c>
      <c r="B365" s="15" t="s">
        <v>1313</v>
      </c>
      <c r="C365" s="15" t="s">
        <v>1314</v>
      </c>
      <c r="D365" s="15" t="s">
        <v>1315</v>
      </c>
      <c r="E365" s="15" t="s">
        <v>1316</v>
      </c>
      <c r="F365" s="41">
        <v>1</v>
      </c>
      <c r="G365" s="42">
        <v>22.8</v>
      </c>
      <c r="H365" s="43">
        <v>0.05</v>
      </c>
      <c r="I365" s="41" t="s">
        <v>63</v>
      </c>
      <c r="J365" s="16">
        <f t="shared" si="10"/>
        <v>21.66</v>
      </c>
      <c r="K365" s="16">
        <f>IF(Q365="",0,IF(SUMPRODUCT(('Returns &amp; Refunds'!$A$6:$A$11=C365)*('Returns &amp; Refunds'!$H$6:$H$11="Confirmed Good — Remove Charge"))&gt;0,0,Q365))</f>
        <v>21.66</v>
      </c>
      <c r="L365" s="16">
        <v>32.9</v>
      </c>
      <c r="M365" s="28">
        <v>31.3</v>
      </c>
      <c r="N365" s="29">
        <v>4.8599999999999997E-2</v>
      </c>
      <c r="O365" s="44" t="s">
        <v>62</v>
      </c>
      <c r="P365" s="15"/>
      <c r="Q365" s="16">
        <f t="shared" si="11"/>
        <v>21.66</v>
      </c>
    </row>
    <row r="366" spans="1:17" ht="15" customHeight="1" x14ac:dyDescent="0.25">
      <c r="A366" s="15">
        <v>365</v>
      </c>
      <c r="B366" s="15" t="s">
        <v>169</v>
      </c>
      <c r="C366" s="15" t="s">
        <v>170</v>
      </c>
      <c r="D366" s="15" t="s">
        <v>1317</v>
      </c>
      <c r="E366" s="15" t="s">
        <v>166</v>
      </c>
      <c r="F366" s="41">
        <v>1</v>
      </c>
      <c r="G366" s="42">
        <v>18.3</v>
      </c>
      <c r="H366" s="43">
        <v>0.05</v>
      </c>
      <c r="I366" s="46" t="str">
        <f>IF('Pending DSP Entry'!L51="Charge Full DSP Instead","No","Yes")</f>
        <v>Yes</v>
      </c>
      <c r="J366" s="16">
        <f t="shared" si="10"/>
        <v>17.385000000000002</v>
      </c>
      <c r="K366" s="16">
        <f>IF(Q366="",0,IF(SUMPRODUCT(('Returns &amp; Refunds'!$A$6:$A$11=C366)*('Returns &amp; Refunds'!$H$6:$H$11="Confirmed Good — Remove Charge"))&gt;0,0,Q366))</f>
        <v>17.385000000000002</v>
      </c>
      <c r="L366" s="16">
        <v>24.9</v>
      </c>
      <c r="M366" s="28">
        <v>22.89</v>
      </c>
      <c r="N366" s="29">
        <v>8.0699999999999994E-2</v>
      </c>
      <c r="O366" s="38" t="s">
        <v>129</v>
      </c>
      <c r="P366" s="47" t="str">
        <f>"Wrong rate set by reseller — decision at Pending DSP Entry section D, row 51"</f>
        <v>Wrong rate set by reseller — decision at Pending DSP Entry section D, row 51</v>
      </c>
      <c r="Q366" s="16">
        <f t="shared" si="11"/>
        <v>17.385000000000002</v>
      </c>
    </row>
    <row r="367" spans="1:17" ht="15" customHeight="1" x14ac:dyDescent="0.25">
      <c r="A367" s="15">
        <v>366</v>
      </c>
      <c r="B367" s="15" t="s">
        <v>1318</v>
      </c>
      <c r="C367" s="15" t="s">
        <v>1319</v>
      </c>
      <c r="D367" s="15" t="s">
        <v>1320</v>
      </c>
      <c r="E367" s="15" t="s">
        <v>565</v>
      </c>
      <c r="F367" s="41">
        <v>1</v>
      </c>
      <c r="G367" s="42">
        <v>10.6</v>
      </c>
      <c r="H367" s="43">
        <v>0.01</v>
      </c>
      <c r="I367" s="41" t="s">
        <v>63</v>
      </c>
      <c r="J367" s="16">
        <f t="shared" si="10"/>
        <v>10.494</v>
      </c>
      <c r="K367" s="16">
        <f>IF(Q367="",0,IF(SUMPRODUCT(('Returns &amp; Refunds'!$A$6:$A$11=C367)*('Returns &amp; Refunds'!$H$6:$H$11="Confirmed Good — Remove Charge"))&gt;0,0,Q367))</f>
        <v>10.494</v>
      </c>
      <c r="L367" s="16">
        <v>15</v>
      </c>
      <c r="M367" s="28">
        <v>14.9</v>
      </c>
      <c r="N367" s="29">
        <v>6.7000000000000002E-3</v>
      </c>
      <c r="O367" s="44" t="s">
        <v>62</v>
      </c>
      <c r="P367" s="15"/>
      <c r="Q367" s="16">
        <f t="shared" si="11"/>
        <v>10.494</v>
      </c>
    </row>
    <row r="368" spans="1:17" ht="15" customHeight="1" x14ac:dyDescent="0.25">
      <c r="A368" s="15">
        <v>367</v>
      </c>
      <c r="B368" s="15" t="s">
        <v>1321</v>
      </c>
      <c r="C368" s="15" t="s">
        <v>1322</v>
      </c>
      <c r="D368" s="15" t="s">
        <v>1323</v>
      </c>
      <c r="E368" s="15" t="s">
        <v>448</v>
      </c>
      <c r="F368" s="41">
        <v>1</v>
      </c>
      <c r="G368" s="42">
        <v>16.3</v>
      </c>
      <c r="H368" s="43">
        <v>0.01</v>
      </c>
      <c r="I368" s="41" t="s">
        <v>63</v>
      </c>
      <c r="J368" s="16">
        <f t="shared" si="10"/>
        <v>16.137</v>
      </c>
      <c r="K368" s="16">
        <f>IF(Q368="",0,IF(SUMPRODUCT(('Returns &amp; Refunds'!$A$6:$A$11=C368)*('Returns &amp; Refunds'!$H$6:$H$11="Confirmed Good — Remove Charge"))&gt;0,0,Q368))</f>
        <v>16.137</v>
      </c>
      <c r="L368" s="16">
        <v>21.9</v>
      </c>
      <c r="M368" s="28">
        <v>21.7</v>
      </c>
      <c r="N368" s="29">
        <v>9.1000000000000004E-3</v>
      </c>
      <c r="O368" s="44" t="s">
        <v>62</v>
      </c>
      <c r="P368" s="15"/>
      <c r="Q368" s="16">
        <f t="shared" si="11"/>
        <v>16.137</v>
      </c>
    </row>
    <row r="369" spans="1:17" ht="15" customHeight="1" x14ac:dyDescent="0.25">
      <c r="A369" s="15">
        <v>368</v>
      </c>
      <c r="B369" s="15" t="s">
        <v>1324</v>
      </c>
      <c r="C369" s="15" t="s">
        <v>1325</v>
      </c>
      <c r="D369" s="15" t="s">
        <v>1326</v>
      </c>
      <c r="E369" s="15" t="s">
        <v>1031</v>
      </c>
      <c r="F369" s="41">
        <v>2</v>
      </c>
      <c r="G369" s="42">
        <v>10.8</v>
      </c>
      <c r="H369" s="43">
        <v>0.35</v>
      </c>
      <c r="I369" s="41" t="s">
        <v>63</v>
      </c>
      <c r="J369" s="16">
        <f t="shared" si="10"/>
        <v>7.0200000000000005</v>
      </c>
      <c r="K369" s="16">
        <f>IF(Q369="",0,IF(SUMPRODUCT(('Returns &amp; Refunds'!$A$6:$A$11=C369)*('Returns &amp; Refunds'!$H$6:$H$11="Confirmed Good — Remove Charge"))&gt;0,0,Q369))</f>
        <v>14.040000000000001</v>
      </c>
      <c r="L369" s="16">
        <v>15.9</v>
      </c>
      <c r="M369" s="28">
        <v>10.3</v>
      </c>
      <c r="N369" s="29">
        <v>0.35220000000000001</v>
      </c>
      <c r="O369" s="44" t="s">
        <v>62</v>
      </c>
      <c r="P369" s="15"/>
      <c r="Q369" s="16">
        <f t="shared" si="11"/>
        <v>14.040000000000001</v>
      </c>
    </row>
    <row r="370" spans="1:17" ht="15" customHeight="1" x14ac:dyDescent="0.25">
      <c r="A370" s="15">
        <v>369</v>
      </c>
      <c r="B370" s="15" t="s">
        <v>1327</v>
      </c>
      <c r="C370" s="15" t="s">
        <v>1328</v>
      </c>
      <c r="D370" s="15" t="s">
        <v>1329</v>
      </c>
      <c r="E370" s="15" t="s">
        <v>862</v>
      </c>
      <c r="F370" s="41">
        <v>1</v>
      </c>
      <c r="G370" s="42">
        <v>27.1</v>
      </c>
      <c r="H370" s="43">
        <v>0.05</v>
      </c>
      <c r="I370" s="41" t="s">
        <v>63</v>
      </c>
      <c r="J370" s="16">
        <f t="shared" si="10"/>
        <v>25.745000000000001</v>
      </c>
      <c r="K370" s="16">
        <f>IF(Q370="",0,IF(SUMPRODUCT(('Returns &amp; Refunds'!$A$6:$A$11=C370)*('Returns &amp; Refunds'!$H$6:$H$11="Confirmed Good — Remove Charge"))&gt;0,0,Q370))</f>
        <v>25.745000000000001</v>
      </c>
      <c r="L370" s="16">
        <v>37.9</v>
      </c>
      <c r="M370" s="28">
        <v>36</v>
      </c>
      <c r="N370" s="29">
        <v>5.0099999999999999E-2</v>
      </c>
      <c r="O370" s="44" t="s">
        <v>62</v>
      </c>
      <c r="P370" s="15"/>
      <c r="Q370" s="16">
        <f t="shared" si="11"/>
        <v>25.745000000000001</v>
      </c>
    </row>
    <row r="371" spans="1:17" ht="15" customHeight="1" x14ac:dyDescent="0.25">
      <c r="A371" s="15">
        <v>370</v>
      </c>
      <c r="B371" s="15" t="s">
        <v>1330</v>
      </c>
      <c r="C371" s="15" t="s">
        <v>1331</v>
      </c>
      <c r="D371" s="15" t="s">
        <v>1332</v>
      </c>
      <c r="E371" s="15" t="s">
        <v>993</v>
      </c>
      <c r="F371" s="41">
        <v>1</v>
      </c>
      <c r="G371" s="42">
        <v>10.5</v>
      </c>
      <c r="H371" s="43">
        <v>0.01</v>
      </c>
      <c r="I371" s="41" t="s">
        <v>63</v>
      </c>
      <c r="J371" s="16">
        <f t="shared" si="10"/>
        <v>10.395</v>
      </c>
      <c r="K371" s="16">
        <f>IF(Q371="",0,IF(SUMPRODUCT(('Returns &amp; Refunds'!$A$6:$A$11=C371)*('Returns &amp; Refunds'!$H$6:$H$11="Confirmed Good — Remove Charge"))&gt;0,0,Q371))</f>
        <v>10.395</v>
      </c>
      <c r="L371" s="16">
        <v>15</v>
      </c>
      <c r="M371" s="28">
        <v>14.84</v>
      </c>
      <c r="N371" s="29">
        <v>1.0699999999999999E-2</v>
      </c>
      <c r="O371" s="44" t="s">
        <v>62</v>
      </c>
      <c r="P371" s="15"/>
      <c r="Q371" s="16">
        <f t="shared" si="11"/>
        <v>10.395</v>
      </c>
    </row>
    <row r="372" spans="1:17" ht="15" customHeight="1" x14ac:dyDescent="0.25">
      <c r="A372" s="15">
        <v>371</v>
      </c>
      <c r="B372" s="15" t="s">
        <v>1330</v>
      </c>
      <c r="C372" s="15" t="s">
        <v>1331</v>
      </c>
      <c r="D372" s="15" t="s">
        <v>1332</v>
      </c>
      <c r="E372" s="15" t="s">
        <v>274</v>
      </c>
      <c r="F372" s="41">
        <v>1</v>
      </c>
      <c r="G372" s="42">
        <v>13.1</v>
      </c>
      <c r="H372" s="43">
        <v>0.01</v>
      </c>
      <c r="I372" s="41" t="s">
        <v>63</v>
      </c>
      <c r="J372" s="16">
        <f t="shared" si="10"/>
        <v>12.968999999999999</v>
      </c>
      <c r="K372" s="16">
        <f>IF(Q372="",0,IF(SUMPRODUCT(('Returns &amp; Refunds'!$A$6:$A$11=C372)*('Returns &amp; Refunds'!$H$6:$H$11="Confirmed Good — Remove Charge"))&gt;0,0,Q372))</f>
        <v>12.968999999999999</v>
      </c>
      <c r="L372" s="16">
        <v>17.899999999999999</v>
      </c>
      <c r="M372" s="28">
        <v>17.7</v>
      </c>
      <c r="N372" s="29">
        <v>1.12E-2</v>
      </c>
      <c r="O372" s="44" t="s">
        <v>62</v>
      </c>
      <c r="P372" s="15"/>
      <c r="Q372" s="16">
        <f t="shared" si="11"/>
        <v>12.968999999999999</v>
      </c>
    </row>
    <row r="373" spans="1:17" ht="15" customHeight="1" x14ac:dyDescent="0.25">
      <c r="A373" s="15">
        <v>372</v>
      </c>
      <c r="B373" s="15" t="s">
        <v>1333</v>
      </c>
      <c r="C373" s="15" t="s">
        <v>1334</v>
      </c>
      <c r="D373" s="15" t="s">
        <v>1335</v>
      </c>
      <c r="E373" s="15" t="s">
        <v>547</v>
      </c>
      <c r="F373" s="41">
        <v>1</v>
      </c>
      <c r="G373" s="42">
        <v>13.2</v>
      </c>
      <c r="H373" s="43">
        <v>0.01</v>
      </c>
      <c r="I373" s="41" t="s">
        <v>63</v>
      </c>
      <c r="J373" s="16">
        <f t="shared" si="10"/>
        <v>13.068</v>
      </c>
      <c r="K373" s="16">
        <f>IF(Q373="",0,IF(SUMPRODUCT(('Returns &amp; Refunds'!$A$6:$A$11=C373)*('Returns &amp; Refunds'!$H$6:$H$11="Confirmed Good — Remove Charge"))&gt;0,0,Q373))</f>
        <v>13.068</v>
      </c>
      <c r="L373" s="16">
        <v>17.899999999999999</v>
      </c>
      <c r="M373" s="28">
        <v>17.7</v>
      </c>
      <c r="N373" s="29">
        <v>1.12E-2</v>
      </c>
      <c r="O373" s="44" t="s">
        <v>62</v>
      </c>
      <c r="P373" s="15"/>
      <c r="Q373" s="16">
        <f t="shared" si="11"/>
        <v>13.068</v>
      </c>
    </row>
    <row r="374" spans="1:17" ht="15" customHeight="1" x14ac:dyDescent="0.25">
      <c r="A374" s="15">
        <v>373</v>
      </c>
      <c r="B374" s="15" t="s">
        <v>1336</v>
      </c>
      <c r="C374" s="15" t="s">
        <v>1337</v>
      </c>
      <c r="D374" s="15" t="s">
        <v>1338</v>
      </c>
      <c r="E374" s="15" t="s">
        <v>186</v>
      </c>
      <c r="F374" s="41">
        <v>1</v>
      </c>
      <c r="G374" s="42">
        <v>12.4</v>
      </c>
      <c r="H374" s="43">
        <v>0.01</v>
      </c>
      <c r="I374" s="41" t="s">
        <v>63</v>
      </c>
      <c r="J374" s="16">
        <f t="shared" si="10"/>
        <v>12.276</v>
      </c>
      <c r="K374" s="16">
        <f>IF(Q374="",0,IF(SUMPRODUCT(('Returns &amp; Refunds'!$A$6:$A$11=C374)*('Returns &amp; Refunds'!$H$6:$H$11="Confirmed Good — Remove Charge"))&gt;0,0,Q374))</f>
        <v>12.276</v>
      </c>
      <c r="L374" s="16">
        <v>17.899999999999999</v>
      </c>
      <c r="M374" s="28">
        <v>17.7</v>
      </c>
      <c r="N374" s="29">
        <v>1.12E-2</v>
      </c>
      <c r="O374" s="44" t="s">
        <v>62</v>
      </c>
      <c r="P374" s="15"/>
      <c r="Q374" s="16">
        <f t="shared" si="11"/>
        <v>12.276</v>
      </c>
    </row>
    <row r="375" spans="1:17" ht="15" customHeight="1" x14ac:dyDescent="0.25">
      <c r="A375" s="15">
        <v>374</v>
      </c>
      <c r="B375" s="15" t="s">
        <v>1339</v>
      </c>
      <c r="C375" s="15" t="s">
        <v>1340</v>
      </c>
      <c r="D375" s="15" t="s">
        <v>1341</v>
      </c>
      <c r="E375" s="15" t="s">
        <v>1342</v>
      </c>
      <c r="F375" s="41">
        <v>1</v>
      </c>
      <c r="G375" s="42">
        <v>24.7</v>
      </c>
      <c r="H375" s="43">
        <v>0.03</v>
      </c>
      <c r="I375" s="41" t="s">
        <v>63</v>
      </c>
      <c r="J375" s="16">
        <f t="shared" si="10"/>
        <v>23.959</v>
      </c>
      <c r="K375" s="16">
        <f>IF(Q375="",0,IF(SUMPRODUCT(('Returns &amp; Refunds'!$A$6:$A$11=C375)*('Returns &amp; Refunds'!$H$6:$H$11="Confirmed Good — Remove Charge"))&gt;0,0,Q375))</f>
        <v>23.959</v>
      </c>
      <c r="L375" s="16">
        <v>34.9</v>
      </c>
      <c r="M375" s="28">
        <v>33.9</v>
      </c>
      <c r="N375" s="29">
        <v>2.87E-2</v>
      </c>
      <c r="O375" s="44" t="s">
        <v>62</v>
      </c>
      <c r="P375" s="15"/>
      <c r="Q375" s="16">
        <f t="shared" si="11"/>
        <v>23.959</v>
      </c>
    </row>
    <row r="376" spans="1:17" ht="15" customHeight="1" x14ac:dyDescent="0.25">
      <c r="A376" s="15">
        <v>375</v>
      </c>
      <c r="B376" s="15" t="s">
        <v>1343</v>
      </c>
      <c r="C376" s="15" t="s">
        <v>1344</v>
      </c>
      <c r="D376" s="15" t="s">
        <v>1345</v>
      </c>
      <c r="E376" s="15" t="s">
        <v>1346</v>
      </c>
      <c r="F376" s="41">
        <v>1</v>
      </c>
      <c r="G376" s="42">
        <v>46.6</v>
      </c>
      <c r="H376" s="43">
        <v>0.02</v>
      </c>
      <c r="I376" s="41" t="s">
        <v>63</v>
      </c>
      <c r="J376" s="16">
        <f t="shared" si="10"/>
        <v>45.667999999999999</v>
      </c>
      <c r="K376" s="16">
        <f>IF(Q376="",0,IF(SUMPRODUCT(('Returns &amp; Refunds'!$A$6:$A$11=C376)*('Returns &amp; Refunds'!$H$6:$H$11="Confirmed Good — Remove Charge"))&gt;0,0,Q376))</f>
        <v>45.667999999999999</v>
      </c>
      <c r="L376" s="16">
        <v>59.9</v>
      </c>
      <c r="M376" s="28">
        <v>58.7</v>
      </c>
      <c r="N376" s="29">
        <v>0.02</v>
      </c>
      <c r="O376" s="44" t="s">
        <v>62</v>
      </c>
      <c r="P376" s="15"/>
      <c r="Q376" s="16">
        <f t="shared" si="11"/>
        <v>45.667999999999999</v>
      </c>
    </row>
    <row r="377" spans="1:17" ht="15" customHeight="1" x14ac:dyDescent="0.25">
      <c r="A377" s="15">
        <v>376</v>
      </c>
      <c r="B377" s="15" t="s">
        <v>1347</v>
      </c>
      <c r="C377" s="15" t="s">
        <v>1348</v>
      </c>
      <c r="D377" s="15" t="s">
        <v>1349</v>
      </c>
      <c r="E377" s="15" t="s">
        <v>1350</v>
      </c>
      <c r="F377" s="41">
        <v>1</v>
      </c>
      <c r="G377" s="42">
        <v>50.3</v>
      </c>
      <c r="H377" s="43">
        <v>0.02</v>
      </c>
      <c r="I377" s="41" t="s">
        <v>69</v>
      </c>
      <c r="J377" s="16">
        <f t="shared" si="10"/>
        <v>50.3</v>
      </c>
      <c r="K377" s="16">
        <f>IF(Q377="",0,IF(SUMPRODUCT(('Returns &amp; Refunds'!$A$6:$A$11=C377)*('Returns &amp; Refunds'!$H$6:$H$11="Confirmed Good — Remove Charge"))&gt;0,0,Q377))</f>
        <v>50.3</v>
      </c>
      <c r="L377" s="16">
        <v>69.900000000000006</v>
      </c>
      <c r="M377" s="28">
        <v>69.900000000000006</v>
      </c>
      <c r="N377" s="29">
        <v>0</v>
      </c>
      <c r="O377" s="45" t="s">
        <v>68</v>
      </c>
      <c r="P377" s="15"/>
      <c r="Q377" s="16">
        <f t="shared" si="11"/>
        <v>50.3</v>
      </c>
    </row>
    <row r="378" spans="1:17" ht="15" customHeight="1" x14ac:dyDescent="0.25">
      <c r="A378" s="15">
        <v>377</v>
      </c>
      <c r="B378" s="15" t="s">
        <v>1351</v>
      </c>
      <c r="C378" s="15" t="s">
        <v>1352</v>
      </c>
      <c r="D378" s="15" t="s">
        <v>1353</v>
      </c>
      <c r="E378" s="15" t="s">
        <v>233</v>
      </c>
      <c r="F378" s="41">
        <v>1</v>
      </c>
      <c r="G378" s="42">
        <v>10.7</v>
      </c>
      <c r="H378" s="43">
        <v>0.01</v>
      </c>
      <c r="I378" s="41" t="s">
        <v>63</v>
      </c>
      <c r="J378" s="16">
        <f t="shared" si="10"/>
        <v>10.593</v>
      </c>
      <c r="K378" s="16">
        <f>IF(Q378="",0,IF(SUMPRODUCT(('Returns &amp; Refunds'!$A$6:$A$11=C378)*('Returns &amp; Refunds'!$H$6:$H$11="Confirmed Good — Remove Charge"))&gt;0,0,Q378))</f>
        <v>10.593</v>
      </c>
      <c r="L378" s="16">
        <v>15</v>
      </c>
      <c r="M378" s="28">
        <v>14.9</v>
      </c>
      <c r="N378" s="29">
        <v>6.7000000000000002E-3</v>
      </c>
      <c r="O378" s="44" t="s">
        <v>62</v>
      </c>
      <c r="P378" s="15"/>
      <c r="Q378" s="16">
        <f t="shared" si="11"/>
        <v>10.593</v>
      </c>
    </row>
    <row r="379" spans="1:17" ht="15" customHeight="1" x14ac:dyDescent="0.25">
      <c r="A379" s="15">
        <v>378</v>
      </c>
      <c r="B379" s="15" t="s">
        <v>1354</v>
      </c>
      <c r="C379" s="15" t="s">
        <v>1355</v>
      </c>
      <c r="D379" s="15" t="s">
        <v>1356</v>
      </c>
      <c r="E379" s="15" t="s">
        <v>565</v>
      </c>
      <c r="F379" s="41">
        <v>1</v>
      </c>
      <c r="G379" s="42">
        <v>10.6</v>
      </c>
      <c r="H379" s="43">
        <v>0.01</v>
      </c>
      <c r="I379" s="41" t="s">
        <v>63</v>
      </c>
      <c r="J379" s="16">
        <f t="shared" si="10"/>
        <v>10.494</v>
      </c>
      <c r="K379" s="16">
        <f>IF(Q379="",0,IF(SUMPRODUCT(('Returns &amp; Refunds'!$A$6:$A$11=C379)*('Returns &amp; Refunds'!$H$6:$H$11="Confirmed Good — Remove Charge"))&gt;0,0,Q379))</f>
        <v>10.494</v>
      </c>
      <c r="L379" s="16">
        <v>15</v>
      </c>
      <c r="M379" s="28">
        <v>14.9</v>
      </c>
      <c r="N379" s="29">
        <v>6.7000000000000002E-3</v>
      </c>
      <c r="O379" s="44" t="s">
        <v>62</v>
      </c>
      <c r="P379" s="15"/>
      <c r="Q379" s="16">
        <f t="shared" si="11"/>
        <v>10.494</v>
      </c>
    </row>
    <row r="380" spans="1:17" ht="15" customHeight="1" x14ac:dyDescent="0.25">
      <c r="A380" s="15">
        <v>379</v>
      </c>
      <c r="B380" s="15" t="s">
        <v>1357</v>
      </c>
      <c r="C380" s="15" t="s">
        <v>1358</v>
      </c>
      <c r="D380" s="15" t="s">
        <v>1359</v>
      </c>
      <c r="E380" s="15" t="s">
        <v>469</v>
      </c>
      <c r="F380" s="41">
        <v>1</v>
      </c>
      <c r="G380" s="42">
        <v>13.5</v>
      </c>
      <c r="H380" s="43">
        <v>0.01</v>
      </c>
      <c r="I380" s="41" t="s">
        <v>63</v>
      </c>
      <c r="J380" s="16">
        <f t="shared" si="10"/>
        <v>13.365</v>
      </c>
      <c r="K380" s="16">
        <f>IF(Q380="",0,IF(SUMPRODUCT(('Returns &amp; Refunds'!$A$6:$A$11=C380)*('Returns &amp; Refunds'!$H$6:$H$11="Confirmed Good — Remove Charge"))&gt;0,0,Q380))</f>
        <v>13.365</v>
      </c>
      <c r="L380" s="16">
        <v>17.899999999999999</v>
      </c>
      <c r="M380" s="28">
        <v>17.7</v>
      </c>
      <c r="N380" s="29">
        <v>1.12E-2</v>
      </c>
      <c r="O380" s="44" t="s">
        <v>62</v>
      </c>
      <c r="P380" s="15"/>
      <c r="Q380" s="16">
        <f t="shared" si="11"/>
        <v>13.365</v>
      </c>
    </row>
    <row r="381" spans="1:17" ht="15" customHeight="1" x14ac:dyDescent="0.25">
      <c r="A381" s="15">
        <v>380</v>
      </c>
      <c r="B381" s="15" t="s">
        <v>131</v>
      </c>
      <c r="C381" s="15" t="s">
        <v>132</v>
      </c>
      <c r="D381" s="15" t="s">
        <v>1360</v>
      </c>
      <c r="E381" s="15" t="s">
        <v>133</v>
      </c>
      <c r="F381" s="41">
        <v>1</v>
      </c>
      <c r="G381" s="42">
        <v>15.8</v>
      </c>
      <c r="H381" s="43">
        <v>0.2</v>
      </c>
      <c r="I381" s="46" t="str">
        <f>IF('Pending DSP Entry'!L35="Charge Full DSP Instead","No","Yes")</f>
        <v>Yes</v>
      </c>
      <c r="J381" s="16">
        <f t="shared" si="10"/>
        <v>12.64</v>
      </c>
      <c r="K381" s="16">
        <f>IF(Q381="",0,IF(SUMPRODUCT(('Returns &amp; Refunds'!$A$6:$A$11=C381)*('Returns &amp; Refunds'!$H$6:$H$11="Confirmed Good — Remove Charge"))&gt;0,0,Q381))</f>
        <v>12.64</v>
      </c>
      <c r="L381" s="16">
        <v>24.9</v>
      </c>
      <c r="M381" s="28">
        <v>14.89</v>
      </c>
      <c r="N381" s="29">
        <v>0.40200000000000002</v>
      </c>
      <c r="O381" s="38" t="s">
        <v>129</v>
      </c>
      <c r="P381" s="47" t="str">
        <f>"Wrong rate set by reseller — decision at Pending DSP Entry section D, row 35"</f>
        <v>Wrong rate set by reseller — decision at Pending DSP Entry section D, row 35</v>
      </c>
      <c r="Q381" s="16">
        <f t="shared" si="11"/>
        <v>12.64</v>
      </c>
    </row>
    <row r="382" spans="1:17" ht="15" customHeight="1" x14ac:dyDescent="0.25">
      <c r="A382" s="15">
        <v>381</v>
      </c>
      <c r="B382" s="15" t="s">
        <v>1361</v>
      </c>
      <c r="C382" s="15" t="s">
        <v>1362</v>
      </c>
      <c r="D382" s="15" t="s">
        <v>1363</v>
      </c>
      <c r="E382" s="15" t="s">
        <v>1364</v>
      </c>
      <c r="F382" s="41">
        <v>1</v>
      </c>
      <c r="G382" s="42">
        <v>10.5</v>
      </c>
      <c r="H382" s="43">
        <v>0.01</v>
      </c>
      <c r="I382" s="41" t="s">
        <v>63</v>
      </c>
      <c r="J382" s="16">
        <f t="shared" si="10"/>
        <v>10.395</v>
      </c>
      <c r="K382" s="16">
        <f>IF(Q382="",0,IF(SUMPRODUCT(('Returns &amp; Refunds'!$A$6:$A$11=C382)*('Returns &amp; Refunds'!$H$6:$H$11="Confirmed Good — Remove Charge"))&gt;0,0,Q382))</f>
        <v>10.395</v>
      </c>
      <c r="L382" s="16">
        <v>15</v>
      </c>
      <c r="M382" s="28">
        <v>14.9</v>
      </c>
      <c r="N382" s="29">
        <v>6.7000000000000002E-3</v>
      </c>
      <c r="O382" s="44" t="s">
        <v>62</v>
      </c>
      <c r="P382" s="15"/>
      <c r="Q382" s="16">
        <f t="shared" si="11"/>
        <v>10.395</v>
      </c>
    </row>
    <row r="383" spans="1:17" ht="15" customHeight="1" x14ac:dyDescent="0.25">
      <c r="A383" s="15">
        <v>382</v>
      </c>
      <c r="B383" s="15" t="s">
        <v>1365</v>
      </c>
      <c r="C383" s="15" t="s">
        <v>1366</v>
      </c>
      <c r="D383" s="15" t="s">
        <v>1367</v>
      </c>
      <c r="E383" s="15" t="s">
        <v>281</v>
      </c>
      <c r="F383" s="41">
        <v>1</v>
      </c>
      <c r="G383" s="42">
        <v>15</v>
      </c>
      <c r="H383" s="43">
        <v>0.01</v>
      </c>
      <c r="I383" s="41" t="s">
        <v>63</v>
      </c>
      <c r="J383" s="16">
        <f t="shared" si="10"/>
        <v>14.85</v>
      </c>
      <c r="K383" s="16">
        <f>IF(Q383="",0,IF(SUMPRODUCT(('Returns &amp; Refunds'!$A$6:$A$11=C383)*('Returns &amp; Refunds'!$H$6:$H$11="Confirmed Good — Remove Charge"))&gt;0,0,Q383))</f>
        <v>14.85</v>
      </c>
      <c r="L383" s="16">
        <v>20.9</v>
      </c>
      <c r="M383" s="28">
        <v>20.7</v>
      </c>
      <c r="N383" s="29">
        <v>9.5999999999999992E-3</v>
      </c>
      <c r="O383" s="44" t="s">
        <v>62</v>
      </c>
      <c r="P383" s="15"/>
      <c r="Q383" s="16">
        <f t="shared" si="11"/>
        <v>14.85</v>
      </c>
    </row>
    <row r="384" spans="1:17" ht="15" customHeight="1" x14ac:dyDescent="0.25">
      <c r="A384" s="15">
        <v>383</v>
      </c>
      <c r="B384" s="15" t="s">
        <v>1368</v>
      </c>
      <c r="C384" s="15" t="s">
        <v>1369</v>
      </c>
      <c r="D384" s="15" t="s">
        <v>1370</v>
      </c>
      <c r="E384" s="15" t="s">
        <v>930</v>
      </c>
      <c r="F384" s="41">
        <v>1</v>
      </c>
      <c r="G384" s="42">
        <v>50.3</v>
      </c>
      <c r="H384" s="43">
        <v>0.02</v>
      </c>
      <c r="I384" s="41" t="s">
        <v>69</v>
      </c>
      <c r="J384" s="16">
        <f t="shared" si="10"/>
        <v>50.3</v>
      </c>
      <c r="K384" s="16">
        <f>IF(Q384="",0,IF(SUMPRODUCT(('Returns &amp; Refunds'!$A$6:$A$11=C384)*('Returns &amp; Refunds'!$H$6:$H$11="Confirmed Good — Remove Charge"))&gt;0,0,Q384))</f>
        <v>50.3</v>
      </c>
      <c r="L384" s="16">
        <v>69.900000000000006</v>
      </c>
      <c r="M384" s="28">
        <v>69.900000000000006</v>
      </c>
      <c r="N384" s="29">
        <v>0</v>
      </c>
      <c r="O384" s="45" t="s">
        <v>68</v>
      </c>
      <c r="P384" s="15"/>
      <c r="Q384" s="16">
        <f t="shared" si="11"/>
        <v>50.3</v>
      </c>
    </row>
    <row r="385" spans="1:17" ht="15" customHeight="1" x14ac:dyDescent="0.25">
      <c r="A385" s="15">
        <v>384</v>
      </c>
      <c r="B385" s="15" t="s">
        <v>1371</v>
      </c>
      <c r="C385" s="15" t="s">
        <v>1372</v>
      </c>
      <c r="D385" s="15" t="s">
        <v>1373</v>
      </c>
      <c r="E385" s="15" t="s">
        <v>1374</v>
      </c>
      <c r="F385" s="41">
        <v>1</v>
      </c>
      <c r="G385" s="42">
        <v>8.9</v>
      </c>
      <c r="H385" s="43">
        <v>0.05</v>
      </c>
      <c r="I385" s="41" t="s">
        <v>63</v>
      </c>
      <c r="J385" s="16">
        <f t="shared" si="10"/>
        <v>8.4550000000000001</v>
      </c>
      <c r="K385" s="16">
        <f>IF(Q385="",0,IF(SUMPRODUCT(('Returns &amp; Refunds'!$A$6:$A$11=C385)*('Returns &amp; Refunds'!$H$6:$H$11="Confirmed Good — Remove Charge"))&gt;0,0,Q385))</f>
        <v>8.4550000000000001</v>
      </c>
      <c r="L385" s="16">
        <v>12.9</v>
      </c>
      <c r="M385" s="28">
        <v>12.3</v>
      </c>
      <c r="N385" s="29">
        <v>4.65E-2</v>
      </c>
      <c r="O385" s="44" t="s">
        <v>62</v>
      </c>
      <c r="P385" s="15"/>
      <c r="Q385" s="16">
        <f t="shared" si="11"/>
        <v>8.4550000000000001</v>
      </c>
    </row>
    <row r="386" spans="1:17" ht="15" customHeight="1" x14ac:dyDescent="0.25">
      <c r="A386" s="15">
        <v>385</v>
      </c>
      <c r="B386" s="15" t="s">
        <v>1375</v>
      </c>
      <c r="C386" s="15" t="s">
        <v>1376</v>
      </c>
      <c r="D386" s="15" t="s">
        <v>1377</v>
      </c>
      <c r="E386" s="15" t="s">
        <v>429</v>
      </c>
      <c r="F386" s="41">
        <v>1</v>
      </c>
      <c r="G386" s="42">
        <v>13.5</v>
      </c>
      <c r="H386" s="43">
        <v>0.01</v>
      </c>
      <c r="I386" s="41" t="s">
        <v>63</v>
      </c>
      <c r="J386" s="16">
        <f t="shared" ref="J386:J449" si="12">IF(G386="","",IF(I386="Yes",G386*(1-H386),G386))</f>
        <v>13.365</v>
      </c>
      <c r="K386" s="16">
        <f>IF(Q386="",0,IF(SUMPRODUCT(('Returns &amp; Refunds'!$A$6:$A$11=C386)*('Returns &amp; Refunds'!$H$6:$H$11="Confirmed Good — Remove Charge"))&gt;0,0,Q386))</f>
        <v>13.365</v>
      </c>
      <c r="L386" s="16">
        <v>17.899999999999999</v>
      </c>
      <c r="M386" s="28">
        <v>17.7</v>
      </c>
      <c r="N386" s="29">
        <v>1.12E-2</v>
      </c>
      <c r="O386" s="44" t="s">
        <v>62</v>
      </c>
      <c r="P386" s="15"/>
      <c r="Q386" s="16">
        <f t="shared" ref="Q386:Q449" si="13">IF(J386="",0,F386*J386)</f>
        <v>13.365</v>
      </c>
    </row>
    <row r="387" spans="1:17" ht="15" customHeight="1" x14ac:dyDescent="0.25">
      <c r="A387" s="15">
        <v>386</v>
      </c>
      <c r="B387" s="15" t="s">
        <v>1375</v>
      </c>
      <c r="C387" s="15" t="s">
        <v>1376</v>
      </c>
      <c r="D387" s="15" t="s">
        <v>1377</v>
      </c>
      <c r="E387" s="15" t="s">
        <v>1378</v>
      </c>
      <c r="F387" s="41">
        <v>1</v>
      </c>
      <c r="G387" s="42">
        <v>16.899999999999999</v>
      </c>
      <c r="H387" s="43">
        <v>0.03</v>
      </c>
      <c r="I387" s="41" t="s">
        <v>63</v>
      </c>
      <c r="J387" s="16">
        <f t="shared" si="12"/>
        <v>16.392999999999997</v>
      </c>
      <c r="K387" s="16">
        <f>IF(Q387="",0,IF(SUMPRODUCT(('Returns &amp; Refunds'!$A$6:$A$11=C387)*('Returns &amp; Refunds'!$H$6:$H$11="Confirmed Good — Remove Charge"))&gt;0,0,Q387))</f>
        <v>16.392999999999997</v>
      </c>
      <c r="L387" s="16">
        <v>24.9</v>
      </c>
      <c r="M387" s="28">
        <v>24.2</v>
      </c>
      <c r="N387" s="29">
        <v>2.81E-2</v>
      </c>
      <c r="O387" s="44" t="s">
        <v>62</v>
      </c>
      <c r="P387" s="15"/>
      <c r="Q387" s="16">
        <f t="shared" si="13"/>
        <v>16.392999999999997</v>
      </c>
    </row>
    <row r="388" spans="1:17" ht="15" customHeight="1" x14ac:dyDescent="0.25">
      <c r="A388" s="15">
        <v>387</v>
      </c>
      <c r="B388" s="15" t="s">
        <v>1379</v>
      </c>
      <c r="C388" s="15" t="s">
        <v>1380</v>
      </c>
      <c r="D388" s="15" t="s">
        <v>1381</v>
      </c>
      <c r="E388" s="15" t="s">
        <v>762</v>
      </c>
      <c r="F388" s="41">
        <v>1</v>
      </c>
      <c r="G388" s="42">
        <v>11.3</v>
      </c>
      <c r="H388" s="43">
        <v>0.01</v>
      </c>
      <c r="I388" s="41" t="s">
        <v>63</v>
      </c>
      <c r="J388" s="16">
        <f t="shared" si="12"/>
        <v>11.187000000000001</v>
      </c>
      <c r="K388" s="16">
        <f>IF(Q388="",0,IF(SUMPRODUCT(('Returns &amp; Refunds'!$A$6:$A$11=C388)*('Returns &amp; Refunds'!$H$6:$H$11="Confirmed Good — Remove Charge"))&gt;0,0,Q388))</f>
        <v>11.187000000000001</v>
      </c>
      <c r="L388" s="16">
        <v>15.9</v>
      </c>
      <c r="M388" s="28">
        <v>15.7</v>
      </c>
      <c r="N388" s="29">
        <v>1.26E-2</v>
      </c>
      <c r="O388" s="44" t="s">
        <v>62</v>
      </c>
      <c r="P388" s="15"/>
      <c r="Q388" s="16">
        <f t="shared" si="13"/>
        <v>11.187000000000001</v>
      </c>
    </row>
    <row r="389" spans="1:17" ht="15" customHeight="1" x14ac:dyDescent="0.25">
      <c r="A389" s="15">
        <v>388</v>
      </c>
      <c r="B389" s="15" t="s">
        <v>1382</v>
      </c>
      <c r="C389" s="15" t="s">
        <v>1383</v>
      </c>
      <c r="D389" s="15" t="s">
        <v>1384</v>
      </c>
      <c r="E389" s="15" t="s">
        <v>361</v>
      </c>
      <c r="F389" s="41">
        <v>1</v>
      </c>
      <c r="G389" s="42">
        <v>13.1</v>
      </c>
      <c r="H389" s="43">
        <v>0.01</v>
      </c>
      <c r="I389" s="41" t="s">
        <v>63</v>
      </c>
      <c r="J389" s="16">
        <f t="shared" si="12"/>
        <v>12.968999999999999</v>
      </c>
      <c r="K389" s="16">
        <f>IF(Q389="",0,IF(SUMPRODUCT(('Returns &amp; Refunds'!$A$6:$A$11=C389)*('Returns &amp; Refunds'!$H$6:$H$11="Confirmed Good — Remove Charge"))&gt;0,0,Q389))</f>
        <v>12.968999999999999</v>
      </c>
      <c r="L389" s="16">
        <v>17.899999999999999</v>
      </c>
      <c r="M389" s="28">
        <v>17.7</v>
      </c>
      <c r="N389" s="29">
        <v>1.12E-2</v>
      </c>
      <c r="O389" s="44" t="s">
        <v>62</v>
      </c>
      <c r="P389" s="15"/>
      <c r="Q389" s="16">
        <f t="shared" si="13"/>
        <v>12.968999999999999</v>
      </c>
    </row>
    <row r="390" spans="1:17" ht="15" customHeight="1" x14ac:dyDescent="0.25">
      <c r="A390" s="15">
        <v>389</v>
      </c>
      <c r="B390" s="15" t="s">
        <v>1385</v>
      </c>
      <c r="C390" s="15" t="s">
        <v>1386</v>
      </c>
      <c r="D390" s="15" t="s">
        <v>1387</v>
      </c>
      <c r="E390" s="15" t="s">
        <v>1388</v>
      </c>
      <c r="F390" s="41">
        <v>1</v>
      </c>
      <c r="G390" s="42">
        <v>49.5</v>
      </c>
      <c r="H390" s="43">
        <v>0.02</v>
      </c>
      <c r="I390" s="41" t="s">
        <v>69</v>
      </c>
      <c r="J390" s="16">
        <f t="shared" si="12"/>
        <v>49.5</v>
      </c>
      <c r="K390" s="16">
        <f>IF(Q390="",0,IF(SUMPRODUCT(('Returns &amp; Refunds'!$A$6:$A$11=C390)*('Returns &amp; Refunds'!$H$6:$H$11="Confirmed Good — Remove Charge"))&gt;0,0,Q390))</f>
        <v>49.5</v>
      </c>
      <c r="L390" s="16">
        <v>67.900000000000006</v>
      </c>
      <c r="M390" s="28">
        <v>67.900000000000006</v>
      </c>
      <c r="N390" s="29">
        <v>0</v>
      </c>
      <c r="O390" s="45" t="s">
        <v>68</v>
      </c>
      <c r="P390" s="15"/>
      <c r="Q390" s="16">
        <f t="shared" si="13"/>
        <v>49.5</v>
      </c>
    </row>
    <row r="391" spans="1:17" ht="15" customHeight="1" x14ac:dyDescent="0.25">
      <c r="A391" s="15">
        <v>390</v>
      </c>
      <c r="B391" s="15" t="s">
        <v>99</v>
      </c>
      <c r="C391" s="15" t="s">
        <v>100</v>
      </c>
      <c r="D391" s="15" t="s">
        <v>1389</v>
      </c>
      <c r="E391" s="15" t="s">
        <v>87</v>
      </c>
      <c r="F391" s="41">
        <v>1</v>
      </c>
      <c r="G391" s="42">
        <v>15.7</v>
      </c>
      <c r="H391" s="43">
        <v>0.05</v>
      </c>
      <c r="I391" s="41" t="s">
        <v>63</v>
      </c>
      <c r="J391" s="16">
        <f t="shared" si="12"/>
        <v>14.914999999999999</v>
      </c>
      <c r="K391" s="16">
        <f>IF(Q391="",0,IF(SUMPRODUCT(('Returns &amp; Refunds'!$A$6:$A$11=C391)*('Returns &amp; Refunds'!$H$6:$H$11="Confirmed Good — Remove Charge"))&gt;0,0,Q391))</f>
        <v>14.914999999999999</v>
      </c>
      <c r="L391" s="16">
        <v>19.899999999999999</v>
      </c>
      <c r="M391" s="28">
        <v>18.899999999999999</v>
      </c>
      <c r="N391" s="29">
        <v>5.0299999999999997E-2</v>
      </c>
      <c r="O391" s="44" t="s">
        <v>62</v>
      </c>
      <c r="P391" s="15"/>
      <c r="Q391" s="16">
        <f t="shared" si="13"/>
        <v>14.914999999999999</v>
      </c>
    </row>
    <row r="392" spans="1:17" ht="15" customHeight="1" x14ac:dyDescent="0.25">
      <c r="A392" s="15">
        <v>391</v>
      </c>
      <c r="B392" s="15" t="s">
        <v>1390</v>
      </c>
      <c r="C392" s="15" t="s">
        <v>1391</v>
      </c>
      <c r="D392" s="15" t="s">
        <v>1392</v>
      </c>
      <c r="E392" s="15" t="s">
        <v>194</v>
      </c>
      <c r="F392" s="41">
        <v>1</v>
      </c>
      <c r="G392" s="42">
        <v>31.5</v>
      </c>
      <c r="H392" s="43">
        <v>0.01</v>
      </c>
      <c r="I392" s="41" t="s">
        <v>63</v>
      </c>
      <c r="J392" s="16">
        <f t="shared" si="12"/>
        <v>31.184999999999999</v>
      </c>
      <c r="K392" s="16">
        <f>IF(Q392="",0,IF(SUMPRODUCT(('Returns &amp; Refunds'!$A$6:$A$11=C392)*('Returns &amp; Refunds'!$H$6:$H$11="Confirmed Good — Remove Charge"))&gt;0,0,Q392))</f>
        <v>31.184999999999999</v>
      </c>
      <c r="L392" s="16">
        <v>39.9</v>
      </c>
      <c r="M392" s="28">
        <v>39.5</v>
      </c>
      <c r="N392" s="29">
        <v>0.01</v>
      </c>
      <c r="O392" s="44" t="s">
        <v>62</v>
      </c>
      <c r="P392" s="15"/>
      <c r="Q392" s="16">
        <f t="shared" si="13"/>
        <v>31.184999999999999</v>
      </c>
    </row>
    <row r="393" spans="1:17" ht="15" customHeight="1" x14ac:dyDescent="0.25">
      <c r="A393" s="15">
        <v>392</v>
      </c>
      <c r="B393" s="15" t="s">
        <v>1393</v>
      </c>
      <c r="C393" s="15" t="s">
        <v>1394</v>
      </c>
      <c r="D393" s="15" t="s">
        <v>1395</v>
      </c>
      <c r="E393" s="15" t="s">
        <v>554</v>
      </c>
      <c r="F393" s="41">
        <v>1</v>
      </c>
      <c r="G393" s="42">
        <v>13.1</v>
      </c>
      <c r="H393" s="43">
        <v>0.01</v>
      </c>
      <c r="I393" s="41" t="s">
        <v>63</v>
      </c>
      <c r="J393" s="16">
        <f t="shared" si="12"/>
        <v>12.968999999999999</v>
      </c>
      <c r="K393" s="16">
        <f>IF(Q393="",0,IF(SUMPRODUCT(('Returns &amp; Refunds'!$A$6:$A$11=C393)*('Returns &amp; Refunds'!$H$6:$H$11="Confirmed Good — Remove Charge"))&gt;0,0,Q393))</f>
        <v>12.968999999999999</v>
      </c>
      <c r="L393" s="16">
        <v>17.899999999999999</v>
      </c>
      <c r="M393" s="28">
        <v>17.7</v>
      </c>
      <c r="N393" s="29">
        <v>1.12E-2</v>
      </c>
      <c r="O393" s="44" t="s">
        <v>62</v>
      </c>
      <c r="P393" s="15"/>
      <c r="Q393" s="16">
        <f t="shared" si="13"/>
        <v>12.968999999999999</v>
      </c>
    </row>
    <row r="394" spans="1:17" ht="15" customHeight="1" x14ac:dyDescent="0.25">
      <c r="A394" s="15">
        <v>393</v>
      </c>
      <c r="B394" s="15" t="s">
        <v>1396</v>
      </c>
      <c r="C394" s="15" t="s">
        <v>1397</v>
      </c>
      <c r="D394" s="15" t="s">
        <v>1398</v>
      </c>
      <c r="E394" s="15" t="s">
        <v>1399</v>
      </c>
      <c r="F394" s="41">
        <v>1</v>
      </c>
      <c r="G394" s="42">
        <v>24.6</v>
      </c>
      <c r="H394" s="43">
        <v>0.45</v>
      </c>
      <c r="I394" s="41" t="s">
        <v>63</v>
      </c>
      <c r="J394" s="16">
        <f t="shared" si="12"/>
        <v>13.530000000000001</v>
      </c>
      <c r="K394" s="16">
        <f>IF(Q394="",0,IF(SUMPRODUCT(('Returns &amp; Refunds'!$A$6:$A$11=C394)*('Returns &amp; Refunds'!$H$6:$H$11="Confirmed Good — Remove Charge"))&gt;0,0,Q394))</f>
        <v>13.530000000000001</v>
      </c>
      <c r="L394" s="16">
        <v>35.9</v>
      </c>
      <c r="M394" s="28">
        <v>19.7</v>
      </c>
      <c r="N394" s="29">
        <v>0.45129999999999998</v>
      </c>
      <c r="O394" s="44" t="s">
        <v>62</v>
      </c>
      <c r="P394" s="15"/>
      <c r="Q394" s="16">
        <f t="shared" si="13"/>
        <v>13.530000000000001</v>
      </c>
    </row>
    <row r="395" spans="1:17" ht="15" customHeight="1" x14ac:dyDescent="0.25">
      <c r="A395" s="15">
        <v>394</v>
      </c>
      <c r="B395" s="15" t="s">
        <v>1396</v>
      </c>
      <c r="C395" s="15" t="s">
        <v>1397</v>
      </c>
      <c r="D395" s="15" t="s">
        <v>1398</v>
      </c>
      <c r="E395" s="15" t="s">
        <v>1400</v>
      </c>
      <c r="F395" s="41">
        <v>1</v>
      </c>
      <c r="G395" s="42">
        <v>24.7</v>
      </c>
      <c r="H395" s="43">
        <v>0.15</v>
      </c>
      <c r="I395" s="41" t="s">
        <v>63</v>
      </c>
      <c r="J395" s="16">
        <f t="shared" si="12"/>
        <v>20.994999999999997</v>
      </c>
      <c r="K395" s="16">
        <f>IF(Q395="",0,IF(SUMPRODUCT(('Returns &amp; Refunds'!$A$6:$A$11=C395)*('Returns &amp; Refunds'!$H$6:$H$11="Confirmed Good — Remove Charge"))&gt;0,0,Q395))</f>
        <v>20.994999999999997</v>
      </c>
      <c r="L395" s="16">
        <v>34.9</v>
      </c>
      <c r="M395" s="28">
        <v>29.7</v>
      </c>
      <c r="N395" s="29">
        <v>0.14899999999999999</v>
      </c>
      <c r="O395" s="44" t="s">
        <v>62</v>
      </c>
      <c r="P395" s="15"/>
      <c r="Q395" s="16">
        <f t="shared" si="13"/>
        <v>20.994999999999997</v>
      </c>
    </row>
    <row r="396" spans="1:17" ht="15" customHeight="1" x14ac:dyDescent="0.25">
      <c r="A396" s="15">
        <v>395</v>
      </c>
      <c r="B396" s="15" t="s">
        <v>1401</v>
      </c>
      <c r="C396" s="15" t="s">
        <v>1402</v>
      </c>
      <c r="D396" s="15" t="s">
        <v>1403</v>
      </c>
      <c r="E396" s="15" t="s">
        <v>766</v>
      </c>
      <c r="F396" s="41">
        <v>2</v>
      </c>
      <c r="G396" s="42">
        <v>10.6</v>
      </c>
      <c r="H396" s="43">
        <v>0.01</v>
      </c>
      <c r="I396" s="41" t="s">
        <v>63</v>
      </c>
      <c r="J396" s="16">
        <f t="shared" si="12"/>
        <v>10.494</v>
      </c>
      <c r="K396" s="16">
        <f>IF(Q396="",0,IF(SUMPRODUCT(('Returns &amp; Refunds'!$A$6:$A$11=C396)*('Returns &amp; Refunds'!$H$6:$H$11="Confirmed Good — Remove Charge"))&gt;0,0,Q396))</f>
        <v>20.988</v>
      </c>
      <c r="L396" s="16">
        <v>15</v>
      </c>
      <c r="M396" s="28">
        <v>14.9</v>
      </c>
      <c r="N396" s="29">
        <v>6.7000000000000002E-3</v>
      </c>
      <c r="O396" s="44" t="s">
        <v>62</v>
      </c>
      <c r="P396" s="15"/>
      <c r="Q396" s="16">
        <f t="shared" si="13"/>
        <v>20.988</v>
      </c>
    </row>
    <row r="397" spans="1:17" ht="15" customHeight="1" x14ac:dyDescent="0.25">
      <c r="A397" s="15">
        <v>396</v>
      </c>
      <c r="B397" s="15" t="s">
        <v>1404</v>
      </c>
      <c r="C397" s="15" t="s">
        <v>1405</v>
      </c>
      <c r="D397" s="15" t="s">
        <v>1406</v>
      </c>
      <c r="E397" s="15" t="s">
        <v>309</v>
      </c>
      <c r="F397" s="41">
        <v>1</v>
      </c>
      <c r="G397" s="42">
        <v>13.2</v>
      </c>
      <c r="H397" s="43">
        <v>0.01</v>
      </c>
      <c r="I397" s="41" t="s">
        <v>63</v>
      </c>
      <c r="J397" s="16">
        <f t="shared" si="12"/>
        <v>13.068</v>
      </c>
      <c r="K397" s="16">
        <f>IF(Q397="",0,IF(SUMPRODUCT(('Returns &amp; Refunds'!$A$6:$A$11=C397)*('Returns &amp; Refunds'!$H$6:$H$11="Confirmed Good — Remove Charge"))&gt;0,0,Q397))</f>
        <v>13.068</v>
      </c>
      <c r="L397" s="16">
        <v>17.899999999999999</v>
      </c>
      <c r="M397" s="28">
        <v>17.7</v>
      </c>
      <c r="N397" s="29">
        <v>1.12E-2</v>
      </c>
      <c r="O397" s="44" t="s">
        <v>62</v>
      </c>
      <c r="P397" s="15"/>
      <c r="Q397" s="16">
        <f t="shared" si="13"/>
        <v>13.068</v>
      </c>
    </row>
    <row r="398" spans="1:17" ht="15" customHeight="1" x14ac:dyDescent="0.25">
      <c r="A398" s="15">
        <v>397</v>
      </c>
      <c r="B398" s="15" t="s">
        <v>126</v>
      </c>
      <c r="C398" s="15" t="s">
        <v>127</v>
      </c>
      <c r="D398" s="15" t="s">
        <v>1407</v>
      </c>
      <c r="E398" s="15" t="s">
        <v>128</v>
      </c>
      <c r="F398" s="41">
        <v>1</v>
      </c>
      <c r="G398" s="42">
        <v>53.3</v>
      </c>
      <c r="H398" s="43">
        <v>0.03</v>
      </c>
      <c r="I398" s="46" t="str">
        <f>IF('Pending DSP Entry'!L34="Charge Full DSP Instead","No","Yes")</f>
        <v>Yes</v>
      </c>
      <c r="J398" s="16">
        <f t="shared" si="12"/>
        <v>51.700999999999993</v>
      </c>
      <c r="K398" s="16">
        <f>IF(Q398="",0,IF(SUMPRODUCT(('Returns &amp; Refunds'!$A$6:$A$11=C398)*('Returns &amp; Refunds'!$H$6:$H$11="Confirmed Good — Remove Charge"))&gt;0,0,Q398))</f>
        <v>51.700999999999993</v>
      </c>
      <c r="L398" s="16">
        <v>69.900000000000006</v>
      </c>
      <c r="M398" s="28">
        <v>48.9</v>
      </c>
      <c r="N398" s="29">
        <v>0.3004</v>
      </c>
      <c r="O398" s="38" t="s">
        <v>129</v>
      </c>
      <c r="P398" s="47" t="str">
        <f>"Wrong rate set by reseller — decision at Pending DSP Entry section D, row 34"</f>
        <v>Wrong rate set by reseller — decision at Pending DSP Entry section D, row 34</v>
      </c>
      <c r="Q398" s="16">
        <f t="shared" si="13"/>
        <v>51.700999999999993</v>
      </c>
    </row>
    <row r="399" spans="1:17" ht="15" customHeight="1" x14ac:dyDescent="0.25">
      <c r="A399" s="15">
        <v>398</v>
      </c>
      <c r="B399" s="15" t="s">
        <v>1408</v>
      </c>
      <c r="C399" s="15" t="s">
        <v>1409</v>
      </c>
      <c r="D399" s="15" t="s">
        <v>1410</v>
      </c>
      <c r="E399" s="15" t="s">
        <v>1411</v>
      </c>
      <c r="F399" s="41">
        <v>1</v>
      </c>
      <c r="G399" s="42">
        <v>25.6</v>
      </c>
      <c r="H399" s="43">
        <v>0.05</v>
      </c>
      <c r="I399" s="41" t="s">
        <v>63</v>
      </c>
      <c r="J399" s="16">
        <f t="shared" si="12"/>
        <v>24.32</v>
      </c>
      <c r="K399" s="16">
        <f>IF(Q399="",0,IF(SUMPRODUCT(('Returns &amp; Refunds'!$A$6:$A$11=C399)*('Returns &amp; Refunds'!$H$6:$H$11="Confirmed Good — Remove Charge"))&gt;0,0,Q399))</f>
        <v>24.32</v>
      </c>
      <c r="L399" s="16">
        <v>35.9</v>
      </c>
      <c r="M399" s="28">
        <v>34.1</v>
      </c>
      <c r="N399" s="29">
        <v>5.0099999999999999E-2</v>
      </c>
      <c r="O399" s="44" t="s">
        <v>62</v>
      </c>
      <c r="P399" s="15"/>
      <c r="Q399" s="16">
        <f t="shared" si="13"/>
        <v>24.32</v>
      </c>
    </row>
    <row r="400" spans="1:17" ht="15" customHeight="1" x14ac:dyDescent="0.25">
      <c r="A400" s="15">
        <v>399</v>
      </c>
      <c r="B400" s="15" t="s">
        <v>1412</v>
      </c>
      <c r="C400" s="15" t="s">
        <v>1413</v>
      </c>
      <c r="D400" s="15" t="s">
        <v>1414</v>
      </c>
      <c r="E400" s="15" t="s">
        <v>1415</v>
      </c>
      <c r="F400" s="41">
        <v>2</v>
      </c>
      <c r="G400" s="42">
        <v>12.8</v>
      </c>
      <c r="H400" s="43">
        <v>0.25</v>
      </c>
      <c r="I400" s="41" t="s">
        <v>63</v>
      </c>
      <c r="J400" s="16">
        <f t="shared" si="12"/>
        <v>9.6000000000000014</v>
      </c>
      <c r="K400" s="16">
        <f>IF(Q400="",0,IF(SUMPRODUCT(('Returns &amp; Refunds'!$A$6:$A$11=C400)*('Returns &amp; Refunds'!$H$6:$H$11="Confirmed Good — Remove Charge"))&gt;0,0,Q400))</f>
        <v>0</v>
      </c>
      <c r="L400" s="16">
        <v>19.899999999999999</v>
      </c>
      <c r="M400" s="28">
        <v>14.9</v>
      </c>
      <c r="N400" s="29">
        <v>0.25130000000000002</v>
      </c>
      <c r="O400" s="44" t="s">
        <v>62</v>
      </c>
      <c r="P400" s="15"/>
      <c r="Q400" s="16">
        <f t="shared" si="13"/>
        <v>19.200000000000003</v>
      </c>
    </row>
    <row r="401" spans="1:17" ht="15" customHeight="1" x14ac:dyDescent="0.25">
      <c r="A401" s="15">
        <v>400</v>
      </c>
      <c r="B401" s="15" t="s">
        <v>1416</v>
      </c>
      <c r="C401" s="15" t="s">
        <v>1417</v>
      </c>
      <c r="D401" s="15" t="s">
        <v>1418</v>
      </c>
      <c r="E401" s="15" t="s">
        <v>236</v>
      </c>
      <c r="F401" s="41">
        <v>1</v>
      </c>
      <c r="G401" s="42">
        <v>10.7</v>
      </c>
      <c r="H401" s="43">
        <v>0.01</v>
      </c>
      <c r="I401" s="41" t="s">
        <v>63</v>
      </c>
      <c r="J401" s="16">
        <f t="shared" si="12"/>
        <v>10.593</v>
      </c>
      <c r="K401" s="16">
        <f>IF(Q401="",0,IF(SUMPRODUCT(('Returns &amp; Refunds'!$A$6:$A$11=C401)*('Returns &amp; Refunds'!$H$6:$H$11="Confirmed Good — Remove Charge"))&gt;0,0,Q401))</f>
        <v>10.593</v>
      </c>
      <c r="L401" s="16">
        <v>15</v>
      </c>
      <c r="M401" s="28">
        <v>14.9</v>
      </c>
      <c r="N401" s="29">
        <v>6.7000000000000002E-3</v>
      </c>
      <c r="O401" s="44" t="s">
        <v>62</v>
      </c>
      <c r="P401" s="15"/>
      <c r="Q401" s="16">
        <f t="shared" si="13"/>
        <v>10.593</v>
      </c>
    </row>
    <row r="402" spans="1:17" ht="15" customHeight="1" x14ac:dyDescent="0.25">
      <c r="A402" s="15">
        <v>401</v>
      </c>
      <c r="B402" s="15" t="s">
        <v>1419</v>
      </c>
      <c r="C402" s="15" t="s">
        <v>1420</v>
      </c>
      <c r="D402" s="15" t="s">
        <v>1421</v>
      </c>
      <c r="E402" s="15" t="s">
        <v>1422</v>
      </c>
      <c r="F402" s="41">
        <v>1</v>
      </c>
      <c r="G402" s="42">
        <v>28.6</v>
      </c>
      <c r="H402" s="43">
        <v>0.08</v>
      </c>
      <c r="I402" s="41" t="s">
        <v>63</v>
      </c>
      <c r="J402" s="16">
        <f t="shared" si="12"/>
        <v>26.312000000000001</v>
      </c>
      <c r="K402" s="16">
        <f>IF(Q402="",0,IF(SUMPRODUCT(('Returns &amp; Refunds'!$A$6:$A$11=C402)*('Returns &amp; Refunds'!$H$6:$H$11="Confirmed Good — Remove Charge"))&gt;0,0,Q402))</f>
        <v>26.312000000000001</v>
      </c>
      <c r="L402" s="16">
        <v>40</v>
      </c>
      <c r="M402" s="28">
        <v>36.799999999999997</v>
      </c>
      <c r="N402" s="29">
        <v>0.08</v>
      </c>
      <c r="O402" s="44" t="s">
        <v>62</v>
      </c>
      <c r="P402" s="15"/>
      <c r="Q402" s="16">
        <f t="shared" si="13"/>
        <v>26.312000000000001</v>
      </c>
    </row>
    <row r="403" spans="1:17" ht="15" customHeight="1" x14ac:dyDescent="0.25">
      <c r="A403" s="15">
        <v>402</v>
      </c>
      <c r="B403" s="15" t="s">
        <v>1423</v>
      </c>
      <c r="C403" s="15" t="s">
        <v>1424</v>
      </c>
      <c r="D403" s="15" t="s">
        <v>1425</v>
      </c>
      <c r="E403" s="15" t="s">
        <v>1426</v>
      </c>
      <c r="F403" s="41">
        <v>1</v>
      </c>
      <c r="G403" s="42">
        <v>13.2</v>
      </c>
      <c r="H403" s="43">
        <v>0.01</v>
      </c>
      <c r="I403" s="41" t="s">
        <v>63</v>
      </c>
      <c r="J403" s="16">
        <f t="shared" si="12"/>
        <v>13.068</v>
      </c>
      <c r="K403" s="16">
        <f>IF(Q403="",0,IF(SUMPRODUCT(('Returns &amp; Refunds'!$A$6:$A$11=C403)*('Returns &amp; Refunds'!$H$6:$H$11="Confirmed Good — Remove Charge"))&gt;0,0,Q403))</f>
        <v>13.068</v>
      </c>
      <c r="L403" s="16">
        <v>17.899999999999999</v>
      </c>
      <c r="M403" s="28">
        <v>17.7</v>
      </c>
      <c r="N403" s="29">
        <v>1.12E-2</v>
      </c>
      <c r="O403" s="44" t="s">
        <v>62</v>
      </c>
      <c r="P403" s="15"/>
      <c r="Q403" s="16">
        <f t="shared" si="13"/>
        <v>13.068</v>
      </c>
    </row>
    <row r="404" spans="1:17" ht="15" customHeight="1" x14ac:dyDescent="0.25">
      <c r="A404" s="15">
        <v>403</v>
      </c>
      <c r="B404" s="15" t="s">
        <v>1423</v>
      </c>
      <c r="C404" s="15" t="s">
        <v>1424</v>
      </c>
      <c r="D404" s="15" t="s">
        <v>1425</v>
      </c>
      <c r="E404" s="15" t="s">
        <v>547</v>
      </c>
      <c r="F404" s="41">
        <v>1</v>
      </c>
      <c r="G404" s="42">
        <v>13.2</v>
      </c>
      <c r="H404" s="43">
        <v>0.01</v>
      </c>
      <c r="I404" s="41" t="s">
        <v>63</v>
      </c>
      <c r="J404" s="16">
        <f t="shared" si="12"/>
        <v>13.068</v>
      </c>
      <c r="K404" s="16">
        <f>IF(Q404="",0,IF(SUMPRODUCT(('Returns &amp; Refunds'!$A$6:$A$11=C404)*('Returns &amp; Refunds'!$H$6:$H$11="Confirmed Good — Remove Charge"))&gt;0,0,Q404))</f>
        <v>13.068</v>
      </c>
      <c r="L404" s="16">
        <v>17.899999999999999</v>
      </c>
      <c r="M404" s="28">
        <v>17.7</v>
      </c>
      <c r="N404" s="29">
        <v>1.12E-2</v>
      </c>
      <c r="O404" s="44" t="s">
        <v>62</v>
      </c>
      <c r="P404" s="15"/>
      <c r="Q404" s="16">
        <f t="shared" si="13"/>
        <v>13.068</v>
      </c>
    </row>
    <row r="405" spans="1:17" ht="15" customHeight="1" x14ac:dyDescent="0.25">
      <c r="A405" s="15">
        <v>404</v>
      </c>
      <c r="B405" s="15" t="s">
        <v>1427</v>
      </c>
      <c r="C405" s="15" t="s">
        <v>1428</v>
      </c>
      <c r="D405" s="15" t="s">
        <v>1429</v>
      </c>
      <c r="E405" s="15" t="s">
        <v>239</v>
      </c>
      <c r="F405" s="41">
        <v>1</v>
      </c>
      <c r="G405" s="42">
        <v>10.6</v>
      </c>
      <c r="H405" s="43">
        <v>0.01</v>
      </c>
      <c r="I405" s="41" t="s">
        <v>63</v>
      </c>
      <c r="J405" s="16">
        <f t="shared" si="12"/>
        <v>10.494</v>
      </c>
      <c r="K405" s="16">
        <f>IF(Q405="",0,IF(SUMPRODUCT(('Returns &amp; Refunds'!$A$6:$A$11=C405)*('Returns &amp; Refunds'!$H$6:$H$11="Confirmed Good — Remove Charge"))&gt;0,0,Q405))</f>
        <v>10.494</v>
      </c>
      <c r="L405" s="16">
        <v>15</v>
      </c>
      <c r="M405" s="28">
        <v>14.9</v>
      </c>
      <c r="N405" s="29">
        <v>6.7000000000000002E-3</v>
      </c>
      <c r="O405" s="44" t="s">
        <v>62</v>
      </c>
      <c r="P405" s="15"/>
      <c r="Q405" s="16">
        <f t="shared" si="13"/>
        <v>10.494</v>
      </c>
    </row>
    <row r="406" spans="1:17" ht="15" customHeight="1" x14ac:dyDescent="0.25">
      <c r="A406" s="15">
        <v>405</v>
      </c>
      <c r="B406" s="15" t="s">
        <v>1430</v>
      </c>
      <c r="C406" s="15" t="s">
        <v>1431</v>
      </c>
      <c r="D406" s="15" t="s">
        <v>1432</v>
      </c>
      <c r="E406" s="15" t="s">
        <v>1433</v>
      </c>
      <c r="F406" s="41">
        <v>1</v>
      </c>
      <c r="G406" s="42">
        <v>16.3</v>
      </c>
      <c r="H406" s="43">
        <v>0.01</v>
      </c>
      <c r="I406" s="41" t="s">
        <v>63</v>
      </c>
      <c r="J406" s="16">
        <f t="shared" si="12"/>
        <v>16.137</v>
      </c>
      <c r="K406" s="16">
        <f>IF(Q406="",0,IF(SUMPRODUCT(('Returns &amp; Refunds'!$A$6:$A$11=C406)*('Returns &amp; Refunds'!$H$6:$H$11="Confirmed Good — Remove Charge"))&gt;0,0,Q406))</f>
        <v>16.137</v>
      </c>
      <c r="L406" s="16">
        <v>21.9</v>
      </c>
      <c r="M406" s="28">
        <v>21.7</v>
      </c>
      <c r="N406" s="29">
        <v>9.1000000000000004E-3</v>
      </c>
      <c r="O406" s="44" t="s">
        <v>62</v>
      </c>
      <c r="P406" s="15"/>
      <c r="Q406" s="16">
        <f t="shared" si="13"/>
        <v>16.137</v>
      </c>
    </row>
    <row r="407" spans="1:17" ht="15" customHeight="1" x14ac:dyDescent="0.25">
      <c r="A407" s="15">
        <v>406</v>
      </c>
      <c r="B407" s="15" t="s">
        <v>143</v>
      </c>
      <c r="C407" s="15" t="s">
        <v>144</v>
      </c>
      <c r="D407" s="15" t="s">
        <v>1434</v>
      </c>
      <c r="E407" s="15" t="s">
        <v>136</v>
      </c>
      <c r="F407" s="41">
        <v>1</v>
      </c>
      <c r="G407" s="42">
        <v>15</v>
      </c>
      <c r="H407" s="43">
        <v>0.01</v>
      </c>
      <c r="I407" s="46" t="str">
        <f>IF('Pending DSP Entry'!L40="Charge Full DSP Instead","No","Yes")</f>
        <v>Yes</v>
      </c>
      <c r="J407" s="16">
        <f t="shared" si="12"/>
        <v>14.85</v>
      </c>
      <c r="K407" s="16">
        <f>IF(Q407="",0,IF(SUMPRODUCT(('Returns &amp; Refunds'!$A$6:$A$11=C407)*('Returns &amp; Refunds'!$H$6:$H$11="Confirmed Good — Remove Charge"))&gt;0,0,Q407))</f>
        <v>14.85</v>
      </c>
      <c r="L407" s="16">
        <v>20.9</v>
      </c>
      <c r="M407" s="28">
        <v>19.84</v>
      </c>
      <c r="N407" s="29">
        <v>5.0700000000000002E-2</v>
      </c>
      <c r="O407" s="38" t="s">
        <v>129</v>
      </c>
      <c r="P407" s="47" t="str">
        <f>"Wrong rate set by reseller — decision at Pending DSP Entry section D, row 40"</f>
        <v>Wrong rate set by reseller — decision at Pending DSP Entry section D, row 40</v>
      </c>
      <c r="Q407" s="16">
        <f t="shared" si="13"/>
        <v>14.85</v>
      </c>
    </row>
    <row r="408" spans="1:17" ht="15" customHeight="1" x14ac:dyDescent="0.25">
      <c r="A408" s="15">
        <v>407</v>
      </c>
      <c r="B408" s="15" t="s">
        <v>217</v>
      </c>
      <c r="C408" s="15" t="s">
        <v>218</v>
      </c>
      <c r="D408" s="15" t="s">
        <v>1435</v>
      </c>
      <c r="E408" s="15" t="s">
        <v>219</v>
      </c>
      <c r="F408" s="41">
        <v>2</v>
      </c>
      <c r="G408" s="42">
        <v>10</v>
      </c>
      <c r="H408" s="43">
        <v>0.3</v>
      </c>
      <c r="I408" s="46" t="str">
        <f>IF('Pending DSP Entry'!L78="Charge Full DSP Instead","No","Yes")</f>
        <v>Yes</v>
      </c>
      <c r="J408" s="16">
        <f t="shared" si="12"/>
        <v>7</v>
      </c>
      <c r="K408" s="16">
        <f>IF(Q408="",0,IF(SUMPRODUCT(('Returns &amp; Refunds'!$A$6:$A$11=C408)*('Returns &amp; Refunds'!$H$6:$H$11="Confirmed Good — Remove Charge"))&gt;0,0,Q408))</f>
        <v>14</v>
      </c>
      <c r="L408" s="16">
        <v>14.9</v>
      </c>
      <c r="M408" s="28">
        <v>10.3</v>
      </c>
      <c r="N408" s="29">
        <v>0.30869999999999997</v>
      </c>
      <c r="O408" s="38" t="s">
        <v>129</v>
      </c>
      <c r="P408" s="47" t="str">
        <f>"Wrong rate set by reseller — decision at Pending DSP Entry section D, row 78"</f>
        <v>Wrong rate set by reseller — decision at Pending DSP Entry section D, row 78</v>
      </c>
      <c r="Q408" s="16">
        <f t="shared" si="13"/>
        <v>14</v>
      </c>
    </row>
    <row r="409" spans="1:17" ht="15" customHeight="1" x14ac:dyDescent="0.25">
      <c r="A409" s="15">
        <v>408</v>
      </c>
      <c r="B409" s="15" t="s">
        <v>217</v>
      </c>
      <c r="C409" s="15" t="s">
        <v>218</v>
      </c>
      <c r="D409" s="15" t="s">
        <v>1435</v>
      </c>
      <c r="E409" s="15" t="s">
        <v>252</v>
      </c>
      <c r="F409" s="41">
        <v>1</v>
      </c>
      <c r="G409" s="42">
        <v>6.7</v>
      </c>
      <c r="H409" s="43">
        <v>0.3</v>
      </c>
      <c r="I409" s="41" t="s">
        <v>63</v>
      </c>
      <c r="J409" s="16">
        <f t="shared" si="12"/>
        <v>4.6899999999999995</v>
      </c>
      <c r="K409" s="16">
        <f>IF(Q409="",0,IF(SUMPRODUCT(('Returns &amp; Refunds'!$A$6:$A$11=C409)*('Returns &amp; Refunds'!$H$6:$H$11="Confirmed Good — Remove Charge"))&gt;0,0,Q409))</f>
        <v>4.6899999999999995</v>
      </c>
      <c r="L409" s="15" t="s">
        <v>1436</v>
      </c>
      <c r="M409" s="15" t="s">
        <v>1436</v>
      </c>
      <c r="N409" s="15" t="s">
        <v>1436</v>
      </c>
      <c r="O409" s="49" t="s">
        <v>253</v>
      </c>
      <c r="P409" s="15"/>
      <c r="Q409" s="16">
        <f t="shared" si="13"/>
        <v>4.6899999999999995</v>
      </c>
    </row>
    <row r="410" spans="1:17" ht="15" customHeight="1" x14ac:dyDescent="0.25">
      <c r="A410" s="15">
        <v>409</v>
      </c>
      <c r="B410" s="15" t="s">
        <v>217</v>
      </c>
      <c r="C410" s="15" t="s">
        <v>218</v>
      </c>
      <c r="D410" s="15" t="s">
        <v>1435</v>
      </c>
      <c r="E410" s="15" t="s">
        <v>1437</v>
      </c>
      <c r="F410" s="41">
        <v>1</v>
      </c>
      <c r="G410" s="42">
        <v>4.8</v>
      </c>
      <c r="H410" s="43">
        <v>0.3</v>
      </c>
      <c r="I410" s="41" t="s">
        <v>63</v>
      </c>
      <c r="J410" s="16">
        <f t="shared" si="12"/>
        <v>3.36</v>
      </c>
      <c r="K410" s="16">
        <f>IF(Q410="",0,IF(SUMPRODUCT(('Returns &amp; Refunds'!$A$6:$A$11=C410)*('Returns &amp; Refunds'!$H$6:$H$11="Confirmed Good — Remove Charge"))&gt;0,0,Q410))</f>
        <v>3.36</v>
      </c>
      <c r="L410" s="16">
        <v>6.9</v>
      </c>
      <c r="M410" s="28">
        <v>4.8</v>
      </c>
      <c r="N410" s="29">
        <v>0.30430000000000001</v>
      </c>
      <c r="O410" s="44" t="s">
        <v>62</v>
      </c>
      <c r="P410" s="15"/>
      <c r="Q410" s="16">
        <f t="shared" si="13"/>
        <v>3.36</v>
      </c>
    </row>
    <row r="411" spans="1:17" ht="15" customHeight="1" x14ac:dyDescent="0.25">
      <c r="A411" s="15">
        <v>410</v>
      </c>
      <c r="B411" s="15" t="s">
        <v>1438</v>
      </c>
      <c r="C411" s="15" t="s">
        <v>1439</v>
      </c>
      <c r="D411" s="15" t="s">
        <v>1440</v>
      </c>
      <c r="E411" s="15" t="s">
        <v>907</v>
      </c>
      <c r="F411" s="41">
        <v>1</v>
      </c>
      <c r="G411" s="42">
        <v>18.600000000000001</v>
      </c>
      <c r="H411" s="43">
        <v>0.25</v>
      </c>
      <c r="I411" s="41" t="s">
        <v>63</v>
      </c>
      <c r="J411" s="16">
        <f t="shared" si="12"/>
        <v>13.950000000000001</v>
      </c>
      <c r="K411" s="16">
        <f>IF(Q411="",0,IF(SUMPRODUCT(('Returns &amp; Refunds'!$A$6:$A$11=C411)*('Returns &amp; Refunds'!$H$6:$H$11="Confirmed Good — Remove Charge"))&gt;0,0,Q411))</f>
        <v>13.950000000000001</v>
      </c>
      <c r="L411" s="16">
        <v>27.9</v>
      </c>
      <c r="M411" s="28">
        <v>20.9</v>
      </c>
      <c r="N411" s="29">
        <v>0.25090000000000001</v>
      </c>
      <c r="O411" s="44" t="s">
        <v>62</v>
      </c>
      <c r="P411" s="15"/>
      <c r="Q411" s="16">
        <f t="shared" si="13"/>
        <v>13.950000000000001</v>
      </c>
    </row>
    <row r="412" spans="1:17" ht="15" customHeight="1" x14ac:dyDescent="0.25">
      <c r="A412" s="15">
        <v>411</v>
      </c>
      <c r="B412" s="15" t="s">
        <v>1441</v>
      </c>
      <c r="C412" s="15" t="s">
        <v>1442</v>
      </c>
      <c r="D412" s="15" t="s">
        <v>1443</v>
      </c>
      <c r="E412" s="15" t="s">
        <v>1444</v>
      </c>
      <c r="F412" s="41">
        <v>1</v>
      </c>
      <c r="G412" s="42">
        <v>10.8</v>
      </c>
      <c r="H412" s="43">
        <v>0.06</v>
      </c>
      <c r="I412" s="41" t="s">
        <v>63</v>
      </c>
      <c r="J412" s="16">
        <f t="shared" si="12"/>
        <v>10.151999999999999</v>
      </c>
      <c r="K412" s="16">
        <f>IF(Q412="",0,IF(SUMPRODUCT(('Returns &amp; Refunds'!$A$6:$A$11=C412)*('Returns &amp; Refunds'!$H$6:$H$11="Confirmed Good — Remove Charge"))&gt;0,0,Q412))</f>
        <v>10.151999999999999</v>
      </c>
      <c r="L412" s="16">
        <v>15.9</v>
      </c>
      <c r="M412" s="28">
        <v>14.9</v>
      </c>
      <c r="N412" s="29">
        <v>6.2899999999999998E-2</v>
      </c>
      <c r="O412" s="44" t="s">
        <v>62</v>
      </c>
      <c r="P412" s="15"/>
      <c r="Q412" s="16">
        <f t="shared" si="13"/>
        <v>10.151999999999999</v>
      </c>
    </row>
    <row r="413" spans="1:17" ht="15" customHeight="1" x14ac:dyDescent="0.25">
      <c r="A413" s="15">
        <v>412</v>
      </c>
      <c r="B413" s="15" t="s">
        <v>187</v>
      </c>
      <c r="C413" s="15" t="s">
        <v>188</v>
      </c>
      <c r="D413" s="15" t="s">
        <v>1445</v>
      </c>
      <c r="E413" s="15" t="s">
        <v>244</v>
      </c>
      <c r="F413" s="41">
        <v>1</v>
      </c>
      <c r="G413" s="42">
        <v>12.4</v>
      </c>
      <c r="H413" s="43">
        <v>0.01</v>
      </c>
      <c r="I413" s="46" t="str">
        <f>IF('Pending DSP Entry'!L97="Charge Full DSP Instead","No","Yes")</f>
        <v>Yes</v>
      </c>
      <c r="J413" s="16">
        <f t="shared" si="12"/>
        <v>12.276</v>
      </c>
      <c r="K413" s="16">
        <f>IF(Q413="",0,IF(SUMPRODUCT(('Returns &amp; Refunds'!$A$6:$A$11=C413)*('Returns &amp; Refunds'!$H$6:$H$11="Confirmed Good — Remove Charge"))&gt;0,0,Q413))</f>
        <v>12.276</v>
      </c>
      <c r="L413" s="16">
        <v>17.899999999999999</v>
      </c>
      <c r="M413" s="28">
        <v>17.61</v>
      </c>
      <c r="N413" s="29">
        <v>1.6199999999999999E-2</v>
      </c>
      <c r="O413" s="38" t="s">
        <v>129</v>
      </c>
      <c r="P413" s="47" t="str">
        <f>"Wrong rate set by reseller — decision at Pending DSP Entry section D, row 97"</f>
        <v>Wrong rate set by reseller — decision at Pending DSP Entry section D, row 97</v>
      </c>
      <c r="Q413" s="16">
        <f t="shared" si="13"/>
        <v>12.276</v>
      </c>
    </row>
    <row r="414" spans="1:17" ht="15" customHeight="1" x14ac:dyDescent="0.25">
      <c r="A414" s="15">
        <v>413</v>
      </c>
      <c r="B414" s="15" t="s">
        <v>187</v>
      </c>
      <c r="C414" s="15" t="s">
        <v>188</v>
      </c>
      <c r="D414" s="15" t="s">
        <v>1445</v>
      </c>
      <c r="E414" s="15" t="s">
        <v>186</v>
      </c>
      <c r="F414" s="41">
        <v>2</v>
      </c>
      <c r="G414" s="42">
        <v>12.4</v>
      </c>
      <c r="H414" s="43">
        <v>0.01</v>
      </c>
      <c r="I414" s="46" t="str">
        <f>IF('Pending DSP Entry'!L58="Charge Full DSP Instead","No","Yes")</f>
        <v>Yes</v>
      </c>
      <c r="J414" s="16">
        <f t="shared" si="12"/>
        <v>12.276</v>
      </c>
      <c r="K414" s="16">
        <f>IF(Q414="",0,IF(SUMPRODUCT(('Returns &amp; Refunds'!$A$6:$A$11=C414)*('Returns &amp; Refunds'!$H$6:$H$11="Confirmed Good — Remove Charge"))&gt;0,0,Q414))</f>
        <v>24.552</v>
      </c>
      <c r="L414" s="16">
        <v>17.899999999999999</v>
      </c>
      <c r="M414" s="28">
        <v>17.53</v>
      </c>
      <c r="N414" s="29">
        <v>2.07E-2</v>
      </c>
      <c r="O414" s="38" t="s">
        <v>129</v>
      </c>
      <c r="P414" s="47" t="str">
        <f>"Wrong rate set by reseller — decision at Pending DSP Entry section D, row 58"</f>
        <v>Wrong rate set by reseller — decision at Pending DSP Entry section D, row 58</v>
      </c>
      <c r="Q414" s="16">
        <f t="shared" si="13"/>
        <v>24.552</v>
      </c>
    </row>
    <row r="415" spans="1:17" ht="15" customHeight="1" x14ac:dyDescent="0.25">
      <c r="A415" s="15">
        <v>414</v>
      </c>
      <c r="B415" s="15" t="s">
        <v>187</v>
      </c>
      <c r="C415" s="15" t="s">
        <v>188</v>
      </c>
      <c r="D415" s="15" t="s">
        <v>1445</v>
      </c>
      <c r="E415" s="15" t="s">
        <v>244</v>
      </c>
      <c r="F415" s="41">
        <v>1</v>
      </c>
      <c r="G415" s="42">
        <v>12.4</v>
      </c>
      <c r="H415" s="43">
        <v>0.01</v>
      </c>
      <c r="I415" s="46" t="str">
        <f>IF('Pending DSP Entry'!L98="Charge Full DSP Instead","No","Yes")</f>
        <v>Yes</v>
      </c>
      <c r="J415" s="16">
        <f t="shared" si="12"/>
        <v>12.276</v>
      </c>
      <c r="K415" s="16">
        <f>IF(Q415="",0,IF(SUMPRODUCT(('Returns &amp; Refunds'!$A$6:$A$11=C415)*('Returns &amp; Refunds'!$H$6:$H$11="Confirmed Good — Remove Charge"))&gt;0,0,Q415))</f>
        <v>12.276</v>
      </c>
      <c r="L415" s="16">
        <v>17.899999999999999</v>
      </c>
      <c r="M415" s="28">
        <v>17.61</v>
      </c>
      <c r="N415" s="29">
        <v>1.6199999999999999E-2</v>
      </c>
      <c r="O415" s="38" t="s">
        <v>129</v>
      </c>
      <c r="P415" s="47" t="str">
        <f>"Wrong rate set by reseller — decision at Pending DSP Entry section D, row 98"</f>
        <v>Wrong rate set by reseller — decision at Pending DSP Entry section D, row 98</v>
      </c>
      <c r="Q415" s="16">
        <f t="shared" si="13"/>
        <v>12.276</v>
      </c>
    </row>
    <row r="416" spans="1:17" ht="15" customHeight="1" x14ac:dyDescent="0.25">
      <c r="A416" s="15">
        <v>415</v>
      </c>
      <c r="B416" s="15" t="s">
        <v>1446</v>
      </c>
      <c r="C416" s="15" t="s">
        <v>1447</v>
      </c>
      <c r="D416" s="15" t="s">
        <v>1448</v>
      </c>
      <c r="E416" s="15" t="s">
        <v>1259</v>
      </c>
      <c r="F416" s="41">
        <v>1</v>
      </c>
      <c r="G416" s="42">
        <v>46.7</v>
      </c>
      <c r="H416" s="43">
        <v>0.03</v>
      </c>
      <c r="I416" s="41" t="s">
        <v>63</v>
      </c>
      <c r="J416" s="16">
        <f t="shared" si="12"/>
        <v>45.298999999999999</v>
      </c>
      <c r="K416" s="16">
        <f>IF(Q416="",0,IF(SUMPRODUCT(('Returns &amp; Refunds'!$A$6:$A$11=C416)*('Returns &amp; Refunds'!$H$6:$H$11="Confirmed Good — Remove Charge"))&gt;0,0,Q416))</f>
        <v>45.298999999999999</v>
      </c>
      <c r="L416" s="16">
        <v>64.900000000000006</v>
      </c>
      <c r="M416" s="28">
        <v>63</v>
      </c>
      <c r="N416" s="29">
        <v>2.93E-2</v>
      </c>
      <c r="O416" s="44" t="s">
        <v>62</v>
      </c>
      <c r="P416" s="15"/>
      <c r="Q416" s="16">
        <f t="shared" si="13"/>
        <v>45.298999999999999</v>
      </c>
    </row>
    <row r="417" spans="1:17" ht="15" customHeight="1" x14ac:dyDescent="0.25">
      <c r="A417" s="15">
        <v>416</v>
      </c>
      <c r="B417" s="15" t="s">
        <v>1449</v>
      </c>
      <c r="C417" s="15" t="s">
        <v>1450</v>
      </c>
      <c r="D417" s="15" t="s">
        <v>1451</v>
      </c>
      <c r="E417" s="15" t="s">
        <v>762</v>
      </c>
      <c r="F417" s="41">
        <v>1</v>
      </c>
      <c r="G417" s="42">
        <v>11.3</v>
      </c>
      <c r="H417" s="43">
        <v>0.01</v>
      </c>
      <c r="I417" s="41" t="s">
        <v>63</v>
      </c>
      <c r="J417" s="16">
        <f t="shared" si="12"/>
        <v>11.187000000000001</v>
      </c>
      <c r="K417" s="16">
        <f>IF(Q417="",0,IF(SUMPRODUCT(('Returns &amp; Refunds'!$A$6:$A$11=C417)*('Returns &amp; Refunds'!$H$6:$H$11="Confirmed Good — Remove Charge"))&gt;0,0,Q417))</f>
        <v>11.187000000000001</v>
      </c>
      <c r="L417" s="16">
        <v>15.9</v>
      </c>
      <c r="M417" s="28">
        <v>15.7</v>
      </c>
      <c r="N417" s="29">
        <v>1.26E-2</v>
      </c>
      <c r="O417" s="44" t="s">
        <v>62</v>
      </c>
      <c r="P417" s="15"/>
      <c r="Q417" s="16">
        <f t="shared" si="13"/>
        <v>11.187000000000001</v>
      </c>
    </row>
    <row r="418" spans="1:17" ht="15" customHeight="1" x14ac:dyDescent="0.25">
      <c r="A418" s="15">
        <v>417</v>
      </c>
      <c r="B418" s="15" t="s">
        <v>1452</v>
      </c>
      <c r="C418" s="15" t="s">
        <v>1453</v>
      </c>
      <c r="D418" s="15" t="s">
        <v>1454</v>
      </c>
      <c r="E418" s="15" t="s">
        <v>383</v>
      </c>
      <c r="F418" s="41">
        <v>1</v>
      </c>
      <c r="G418" s="42">
        <v>14.8</v>
      </c>
      <c r="H418" s="43">
        <v>0.01</v>
      </c>
      <c r="I418" s="41" t="s">
        <v>63</v>
      </c>
      <c r="J418" s="16">
        <f t="shared" si="12"/>
        <v>14.652000000000001</v>
      </c>
      <c r="K418" s="16">
        <f>IF(Q418="",0,IF(SUMPRODUCT(('Returns &amp; Refunds'!$A$6:$A$11=C418)*('Returns &amp; Refunds'!$H$6:$H$11="Confirmed Good — Remove Charge"))&gt;0,0,Q418))</f>
        <v>14.652000000000001</v>
      </c>
      <c r="L418" s="16">
        <v>20.9</v>
      </c>
      <c r="M418" s="28">
        <v>20.7</v>
      </c>
      <c r="N418" s="29">
        <v>9.5999999999999992E-3</v>
      </c>
      <c r="O418" s="44" t="s">
        <v>62</v>
      </c>
      <c r="P418" s="15"/>
      <c r="Q418" s="16">
        <f t="shared" si="13"/>
        <v>14.652000000000001</v>
      </c>
    </row>
    <row r="419" spans="1:17" ht="15" customHeight="1" x14ac:dyDescent="0.25">
      <c r="A419" s="15">
        <v>418</v>
      </c>
      <c r="B419" s="15" t="s">
        <v>1455</v>
      </c>
      <c r="C419" s="15" t="s">
        <v>1456</v>
      </c>
      <c r="D419" s="15" t="s">
        <v>1457</v>
      </c>
      <c r="E419" s="15" t="s">
        <v>1458</v>
      </c>
      <c r="F419" s="41">
        <v>1</v>
      </c>
      <c r="G419" s="42">
        <v>27.8</v>
      </c>
      <c r="H419" s="43">
        <v>0.08</v>
      </c>
      <c r="I419" s="41" t="s">
        <v>63</v>
      </c>
      <c r="J419" s="16">
        <f t="shared" si="12"/>
        <v>25.576000000000001</v>
      </c>
      <c r="K419" s="16">
        <f>IF(Q419="",0,IF(SUMPRODUCT(('Returns &amp; Refunds'!$A$6:$A$11=C419)*('Returns &amp; Refunds'!$H$6:$H$11="Confirmed Good — Remove Charge"))&gt;0,0,Q419))</f>
        <v>25.576000000000001</v>
      </c>
      <c r="L419" s="16">
        <v>39.9</v>
      </c>
      <c r="M419" s="28">
        <v>36.700000000000003</v>
      </c>
      <c r="N419" s="29">
        <v>8.0199999999999994E-2</v>
      </c>
      <c r="O419" s="44" t="s">
        <v>62</v>
      </c>
      <c r="P419" s="15"/>
      <c r="Q419" s="16">
        <f t="shared" si="13"/>
        <v>25.576000000000001</v>
      </c>
    </row>
    <row r="420" spans="1:17" ht="15" customHeight="1" x14ac:dyDescent="0.25">
      <c r="A420" s="15">
        <v>419</v>
      </c>
      <c r="B420" s="15" t="s">
        <v>1459</v>
      </c>
      <c r="C420" s="15" t="s">
        <v>1460</v>
      </c>
      <c r="D420" s="15" t="s">
        <v>1461</v>
      </c>
      <c r="E420" s="15" t="s">
        <v>1462</v>
      </c>
      <c r="F420" s="41">
        <v>2</v>
      </c>
      <c r="G420" s="42">
        <v>8.8000000000000007</v>
      </c>
      <c r="H420" s="43">
        <v>0.2</v>
      </c>
      <c r="I420" s="41" t="s">
        <v>63</v>
      </c>
      <c r="J420" s="16">
        <f t="shared" si="12"/>
        <v>7.0400000000000009</v>
      </c>
      <c r="K420" s="16">
        <f>IF(Q420="",0,IF(SUMPRODUCT(('Returns &amp; Refunds'!$A$6:$A$11=C420)*('Returns &amp; Refunds'!$H$6:$H$11="Confirmed Good — Remove Charge"))&gt;0,0,Q420))</f>
        <v>14.080000000000002</v>
      </c>
      <c r="L420" s="16">
        <v>12.9</v>
      </c>
      <c r="M420" s="28">
        <v>10.3</v>
      </c>
      <c r="N420" s="29">
        <v>0.2016</v>
      </c>
      <c r="O420" s="44" t="s">
        <v>62</v>
      </c>
      <c r="P420" s="15"/>
      <c r="Q420" s="16">
        <f t="shared" si="13"/>
        <v>14.080000000000002</v>
      </c>
    </row>
    <row r="421" spans="1:17" ht="15" customHeight="1" x14ac:dyDescent="0.25">
      <c r="A421" s="15">
        <v>420</v>
      </c>
      <c r="B421" s="15" t="s">
        <v>1463</v>
      </c>
      <c r="C421" s="15" t="s">
        <v>1464</v>
      </c>
      <c r="D421" s="15" t="s">
        <v>1465</v>
      </c>
      <c r="E421" s="15" t="s">
        <v>1466</v>
      </c>
      <c r="F421" s="41">
        <v>1</v>
      </c>
      <c r="G421" s="42">
        <v>34.5</v>
      </c>
      <c r="H421" s="43">
        <v>0.03</v>
      </c>
      <c r="I421" s="41" t="s">
        <v>63</v>
      </c>
      <c r="J421" s="16">
        <f t="shared" si="12"/>
        <v>33.464999999999996</v>
      </c>
      <c r="K421" s="16">
        <f>IF(Q421="",0,IF(SUMPRODUCT(('Returns &amp; Refunds'!$A$6:$A$11=C421)*('Returns &amp; Refunds'!$H$6:$H$11="Confirmed Good — Remove Charge"))&gt;0,0,Q421))</f>
        <v>33.464999999999996</v>
      </c>
      <c r="L421" s="16">
        <v>45.9</v>
      </c>
      <c r="M421" s="28">
        <v>44.5</v>
      </c>
      <c r="N421" s="29">
        <v>3.0499999999999999E-2</v>
      </c>
      <c r="O421" s="44" t="s">
        <v>62</v>
      </c>
      <c r="P421" s="15"/>
      <c r="Q421" s="16">
        <f t="shared" si="13"/>
        <v>33.464999999999996</v>
      </c>
    </row>
    <row r="422" spans="1:17" ht="15" customHeight="1" x14ac:dyDescent="0.25">
      <c r="A422" s="15">
        <v>421</v>
      </c>
      <c r="B422" s="15" t="s">
        <v>101</v>
      </c>
      <c r="C422" s="15" t="s">
        <v>102</v>
      </c>
      <c r="D422" s="15" t="s">
        <v>1467</v>
      </c>
      <c r="E422" s="15" t="s">
        <v>87</v>
      </c>
      <c r="F422" s="41">
        <v>1</v>
      </c>
      <c r="G422" s="42">
        <v>15.7</v>
      </c>
      <c r="H422" s="43">
        <v>0.05</v>
      </c>
      <c r="I422" s="41" t="s">
        <v>63</v>
      </c>
      <c r="J422" s="16">
        <f t="shared" si="12"/>
        <v>14.914999999999999</v>
      </c>
      <c r="K422" s="16">
        <f>IF(Q422="",0,IF(SUMPRODUCT(('Returns &amp; Refunds'!$A$6:$A$11=C422)*('Returns &amp; Refunds'!$H$6:$H$11="Confirmed Good — Remove Charge"))&gt;0,0,Q422))</f>
        <v>14.914999999999999</v>
      </c>
      <c r="L422" s="16">
        <v>19.899999999999999</v>
      </c>
      <c r="M422" s="28">
        <v>18.899999999999999</v>
      </c>
      <c r="N422" s="29">
        <v>5.0299999999999997E-2</v>
      </c>
      <c r="O422" s="44" t="s">
        <v>62</v>
      </c>
      <c r="P422" s="15"/>
      <c r="Q422" s="16">
        <f t="shared" si="13"/>
        <v>14.914999999999999</v>
      </c>
    </row>
    <row r="423" spans="1:17" ht="15" customHeight="1" x14ac:dyDescent="0.25">
      <c r="A423" s="15">
        <v>422</v>
      </c>
      <c r="B423" s="15" t="s">
        <v>101</v>
      </c>
      <c r="C423" s="15" t="s">
        <v>102</v>
      </c>
      <c r="D423" s="15" t="s">
        <v>1467</v>
      </c>
      <c r="E423" s="15" t="s">
        <v>87</v>
      </c>
      <c r="F423" s="41">
        <v>1</v>
      </c>
      <c r="G423" s="42">
        <v>15.7</v>
      </c>
      <c r="H423" s="43">
        <v>0.05</v>
      </c>
      <c r="I423" s="41" t="s">
        <v>63</v>
      </c>
      <c r="J423" s="16">
        <f t="shared" si="12"/>
        <v>14.914999999999999</v>
      </c>
      <c r="K423" s="16">
        <f>IF(Q423="",0,IF(SUMPRODUCT(('Returns &amp; Refunds'!$A$6:$A$11=C423)*('Returns &amp; Refunds'!$H$6:$H$11="Confirmed Good — Remove Charge"))&gt;0,0,Q423))</f>
        <v>14.914999999999999</v>
      </c>
      <c r="L423" s="16">
        <v>19.899999999999999</v>
      </c>
      <c r="M423" s="28">
        <v>18.899999999999999</v>
      </c>
      <c r="N423" s="29">
        <v>5.0299999999999997E-2</v>
      </c>
      <c r="O423" s="44" t="s">
        <v>62</v>
      </c>
      <c r="P423" s="15"/>
      <c r="Q423" s="16">
        <f t="shared" si="13"/>
        <v>14.914999999999999</v>
      </c>
    </row>
    <row r="424" spans="1:17" ht="15" customHeight="1" x14ac:dyDescent="0.25">
      <c r="A424" s="15">
        <v>423</v>
      </c>
      <c r="B424" s="15" t="s">
        <v>237</v>
      </c>
      <c r="C424" s="15" t="s">
        <v>238</v>
      </c>
      <c r="D424" s="15" t="s">
        <v>1468</v>
      </c>
      <c r="E424" s="15" t="s">
        <v>233</v>
      </c>
      <c r="F424" s="41">
        <v>2</v>
      </c>
      <c r="G424" s="42">
        <v>10.7</v>
      </c>
      <c r="H424" s="43">
        <v>0.01</v>
      </c>
      <c r="I424" s="46" t="str">
        <f>IF('Pending DSP Entry'!L92="Charge Full DSP Instead","No","Yes")</f>
        <v>Yes</v>
      </c>
      <c r="J424" s="16">
        <f t="shared" si="12"/>
        <v>10.593</v>
      </c>
      <c r="K424" s="16">
        <f>IF(Q424="",0,IF(SUMPRODUCT(('Returns &amp; Refunds'!$A$6:$A$11=C424)*('Returns &amp; Refunds'!$H$6:$H$11="Confirmed Good — Remove Charge"))&gt;0,0,Q424))</f>
        <v>21.186</v>
      </c>
      <c r="L424" s="16">
        <v>15</v>
      </c>
      <c r="M424" s="28">
        <v>14.75</v>
      </c>
      <c r="N424" s="29">
        <v>1.67E-2</v>
      </c>
      <c r="O424" s="38" t="s">
        <v>129</v>
      </c>
      <c r="P424" s="47" t="str">
        <f>"Wrong rate set by reseller — decision at Pending DSP Entry section D, row 92"</f>
        <v>Wrong rate set by reseller — decision at Pending DSP Entry section D, row 92</v>
      </c>
      <c r="Q424" s="16">
        <f t="shared" si="13"/>
        <v>21.186</v>
      </c>
    </row>
    <row r="425" spans="1:17" ht="15" customHeight="1" x14ac:dyDescent="0.25">
      <c r="A425" s="15">
        <v>424</v>
      </c>
      <c r="B425" s="15" t="s">
        <v>237</v>
      </c>
      <c r="C425" s="15" t="s">
        <v>238</v>
      </c>
      <c r="D425" s="15" t="s">
        <v>1468</v>
      </c>
      <c r="E425" s="15" t="s">
        <v>239</v>
      </c>
      <c r="F425" s="41">
        <v>1</v>
      </c>
      <c r="G425" s="42">
        <v>10.6</v>
      </c>
      <c r="H425" s="43">
        <v>0.01</v>
      </c>
      <c r="I425" s="46" t="str">
        <f>IF('Pending DSP Entry'!L93="Charge Full DSP Instead","No","Yes")</f>
        <v>Yes</v>
      </c>
      <c r="J425" s="16">
        <f t="shared" si="12"/>
        <v>10.494</v>
      </c>
      <c r="K425" s="16">
        <f>IF(Q425="",0,IF(SUMPRODUCT(('Returns &amp; Refunds'!$A$6:$A$11=C425)*('Returns &amp; Refunds'!$H$6:$H$11="Confirmed Good — Remove Charge"))&gt;0,0,Q425))</f>
        <v>10.494</v>
      </c>
      <c r="L425" s="16">
        <v>15</v>
      </c>
      <c r="M425" s="28">
        <v>14.75</v>
      </c>
      <c r="N425" s="29">
        <v>1.67E-2</v>
      </c>
      <c r="O425" s="38" t="s">
        <v>129</v>
      </c>
      <c r="P425" s="47" t="str">
        <f>"Wrong rate set by reseller — decision at Pending DSP Entry section D, row 93"</f>
        <v>Wrong rate set by reseller — decision at Pending DSP Entry section D, row 93</v>
      </c>
      <c r="Q425" s="16">
        <f t="shared" si="13"/>
        <v>10.494</v>
      </c>
    </row>
    <row r="426" spans="1:17" ht="15" customHeight="1" x14ac:dyDescent="0.25">
      <c r="A426" s="15">
        <v>425</v>
      </c>
      <c r="B426" s="15" t="s">
        <v>1469</v>
      </c>
      <c r="C426" s="15" t="s">
        <v>1470</v>
      </c>
      <c r="D426" s="15" t="s">
        <v>1471</v>
      </c>
      <c r="E426" s="15" t="s">
        <v>1472</v>
      </c>
      <c r="F426" s="41">
        <v>1</v>
      </c>
      <c r="G426" s="42">
        <v>23.1</v>
      </c>
      <c r="H426" s="43">
        <v>0.15</v>
      </c>
      <c r="I426" s="41" t="s">
        <v>63</v>
      </c>
      <c r="J426" s="16">
        <f t="shared" si="12"/>
        <v>19.635000000000002</v>
      </c>
      <c r="K426" s="16">
        <f>IF(Q426="",0,IF(SUMPRODUCT(('Returns &amp; Refunds'!$A$6:$A$11=C426)*('Returns &amp; Refunds'!$H$6:$H$11="Confirmed Good — Remove Charge"))&gt;0,0,Q426))</f>
        <v>19.635000000000002</v>
      </c>
      <c r="L426" s="16">
        <v>32.9</v>
      </c>
      <c r="M426" s="28">
        <v>28</v>
      </c>
      <c r="N426" s="29">
        <v>0.1489</v>
      </c>
      <c r="O426" s="44" t="s">
        <v>62</v>
      </c>
      <c r="P426" s="15"/>
      <c r="Q426" s="16">
        <f t="shared" si="13"/>
        <v>19.635000000000002</v>
      </c>
    </row>
    <row r="427" spans="1:17" ht="15" customHeight="1" x14ac:dyDescent="0.25">
      <c r="A427" s="15">
        <v>426</v>
      </c>
      <c r="B427" s="15" t="s">
        <v>1473</v>
      </c>
      <c r="C427" s="15" t="s">
        <v>1474</v>
      </c>
      <c r="D427" s="15" t="s">
        <v>1475</v>
      </c>
      <c r="E427" s="15" t="s">
        <v>1476</v>
      </c>
      <c r="F427" s="41">
        <v>1</v>
      </c>
      <c r="G427" s="42">
        <v>13.9</v>
      </c>
      <c r="H427" s="43">
        <v>0.02</v>
      </c>
      <c r="I427" s="41" t="s">
        <v>69</v>
      </c>
      <c r="J427" s="16">
        <f t="shared" si="12"/>
        <v>13.9</v>
      </c>
      <c r="K427" s="16">
        <f>IF(Q427="",0,IF(SUMPRODUCT(('Returns &amp; Refunds'!$A$6:$A$11=C427)*('Returns &amp; Refunds'!$H$6:$H$11="Confirmed Good — Remove Charge"))&gt;0,0,Q427))</f>
        <v>13.9</v>
      </c>
      <c r="L427" s="16">
        <v>19.899999999999999</v>
      </c>
      <c r="M427" s="28">
        <v>19.899999999999999</v>
      </c>
      <c r="N427" s="29">
        <v>0</v>
      </c>
      <c r="O427" s="45" t="s">
        <v>68</v>
      </c>
      <c r="P427" s="15"/>
      <c r="Q427" s="16">
        <f t="shared" si="13"/>
        <v>13.9</v>
      </c>
    </row>
    <row r="428" spans="1:17" ht="15" customHeight="1" x14ac:dyDescent="0.25">
      <c r="A428" s="15">
        <v>427</v>
      </c>
      <c r="B428" s="15" t="s">
        <v>1477</v>
      </c>
      <c r="C428" s="15" t="s">
        <v>1478</v>
      </c>
      <c r="D428" s="15" t="s">
        <v>1479</v>
      </c>
      <c r="E428" s="15" t="s">
        <v>1480</v>
      </c>
      <c r="F428" s="41">
        <v>1</v>
      </c>
      <c r="G428" s="42">
        <v>49.5</v>
      </c>
      <c r="H428" s="43">
        <v>0.02</v>
      </c>
      <c r="I428" s="41" t="s">
        <v>69</v>
      </c>
      <c r="J428" s="16">
        <f t="shared" si="12"/>
        <v>49.5</v>
      </c>
      <c r="K428" s="16">
        <f>IF(Q428="",0,IF(SUMPRODUCT(('Returns &amp; Refunds'!$A$6:$A$11=C428)*('Returns &amp; Refunds'!$H$6:$H$11="Confirmed Good — Remove Charge"))&gt;0,0,Q428))</f>
        <v>49.5</v>
      </c>
      <c r="L428" s="16">
        <v>67.900000000000006</v>
      </c>
      <c r="M428" s="28">
        <v>67.900000000000006</v>
      </c>
      <c r="N428" s="29">
        <v>0</v>
      </c>
      <c r="O428" s="45" t="s">
        <v>68</v>
      </c>
      <c r="P428" s="15"/>
      <c r="Q428" s="16">
        <f t="shared" si="13"/>
        <v>49.5</v>
      </c>
    </row>
    <row r="429" spans="1:17" ht="15" customHeight="1" x14ac:dyDescent="0.25">
      <c r="A429" s="15">
        <v>428</v>
      </c>
      <c r="B429" s="15" t="s">
        <v>1481</v>
      </c>
      <c r="C429" s="15" t="s">
        <v>1482</v>
      </c>
      <c r="D429" s="15" t="s">
        <v>1483</v>
      </c>
      <c r="E429" s="15" t="s">
        <v>186</v>
      </c>
      <c r="F429" s="41">
        <v>1</v>
      </c>
      <c r="G429" s="42">
        <v>12.4</v>
      </c>
      <c r="H429" s="43">
        <v>0.01</v>
      </c>
      <c r="I429" s="41" t="s">
        <v>63</v>
      </c>
      <c r="J429" s="16">
        <f t="shared" si="12"/>
        <v>12.276</v>
      </c>
      <c r="K429" s="16">
        <f>IF(Q429="",0,IF(SUMPRODUCT(('Returns &amp; Refunds'!$A$6:$A$11=C429)*('Returns &amp; Refunds'!$H$6:$H$11="Confirmed Good — Remove Charge"))&gt;0,0,Q429))</f>
        <v>12.276</v>
      </c>
      <c r="L429" s="16">
        <v>17.899999999999999</v>
      </c>
      <c r="M429" s="28">
        <v>17.7</v>
      </c>
      <c r="N429" s="29">
        <v>1.12E-2</v>
      </c>
      <c r="O429" s="44" t="s">
        <v>62</v>
      </c>
      <c r="P429" s="15"/>
      <c r="Q429" s="16">
        <f t="shared" si="13"/>
        <v>12.276</v>
      </c>
    </row>
    <row r="430" spans="1:17" ht="15" customHeight="1" x14ac:dyDescent="0.25">
      <c r="A430" s="15">
        <v>429</v>
      </c>
      <c r="B430" s="15" t="s">
        <v>1481</v>
      </c>
      <c r="C430" s="15" t="s">
        <v>1482</v>
      </c>
      <c r="D430" s="15" t="s">
        <v>1483</v>
      </c>
      <c r="E430" s="15" t="s">
        <v>281</v>
      </c>
      <c r="F430" s="41">
        <v>1</v>
      </c>
      <c r="G430" s="42">
        <v>15</v>
      </c>
      <c r="H430" s="43">
        <v>0.01</v>
      </c>
      <c r="I430" s="41" t="s">
        <v>63</v>
      </c>
      <c r="J430" s="16">
        <f t="shared" si="12"/>
        <v>14.85</v>
      </c>
      <c r="K430" s="16">
        <f>IF(Q430="",0,IF(SUMPRODUCT(('Returns &amp; Refunds'!$A$6:$A$11=C430)*('Returns &amp; Refunds'!$H$6:$H$11="Confirmed Good — Remove Charge"))&gt;0,0,Q430))</f>
        <v>14.85</v>
      </c>
      <c r="L430" s="16">
        <v>20.9</v>
      </c>
      <c r="M430" s="28">
        <v>20.7</v>
      </c>
      <c r="N430" s="29">
        <v>9.5999999999999992E-3</v>
      </c>
      <c r="O430" s="44" t="s">
        <v>62</v>
      </c>
      <c r="P430" s="15"/>
      <c r="Q430" s="16">
        <f t="shared" si="13"/>
        <v>14.85</v>
      </c>
    </row>
    <row r="431" spans="1:17" ht="15" customHeight="1" x14ac:dyDescent="0.25">
      <c r="A431" s="15">
        <v>430</v>
      </c>
      <c r="B431" s="15" t="s">
        <v>1484</v>
      </c>
      <c r="C431" s="15" t="s">
        <v>1485</v>
      </c>
      <c r="D431" s="15" t="s">
        <v>1486</v>
      </c>
      <c r="E431" s="15" t="s">
        <v>547</v>
      </c>
      <c r="F431" s="41">
        <v>1</v>
      </c>
      <c r="G431" s="42">
        <v>13.2</v>
      </c>
      <c r="H431" s="43">
        <v>0.01</v>
      </c>
      <c r="I431" s="41" t="s">
        <v>63</v>
      </c>
      <c r="J431" s="16">
        <f t="shared" si="12"/>
        <v>13.068</v>
      </c>
      <c r="K431" s="16">
        <f>IF(Q431="",0,IF(SUMPRODUCT(('Returns &amp; Refunds'!$A$6:$A$11=C431)*('Returns &amp; Refunds'!$H$6:$H$11="Confirmed Good — Remove Charge"))&gt;0,0,Q431))</f>
        <v>13.068</v>
      </c>
      <c r="L431" s="16">
        <v>17.899999999999999</v>
      </c>
      <c r="M431" s="28">
        <v>17.7</v>
      </c>
      <c r="N431" s="29">
        <v>1.12E-2</v>
      </c>
      <c r="O431" s="44" t="s">
        <v>62</v>
      </c>
      <c r="P431" s="15"/>
      <c r="Q431" s="16">
        <f t="shared" si="13"/>
        <v>13.068</v>
      </c>
    </row>
    <row r="432" spans="1:17" ht="15" customHeight="1" x14ac:dyDescent="0.25">
      <c r="A432" s="15">
        <v>431</v>
      </c>
      <c r="B432" s="15" t="s">
        <v>1487</v>
      </c>
      <c r="C432" s="15" t="s">
        <v>1488</v>
      </c>
      <c r="D432" s="15" t="s">
        <v>1489</v>
      </c>
      <c r="E432" s="15" t="s">
        <v>1490</v>
      </c>
      <c r="F432" s="41">
        <v>2</v>
      </c>
      <c r="G432" s="42">
        <v>22.4</v>
      </c>
      <c r="H432" s="43">
        <v>0.1</v>
      </c>
      <c r="I432" s="41" t="s">
        <v>63</v>
      </c>
      <c r="J432" s="16">
        <f t="shared" si="12"/>
        <v>20.16</v>
      </c>
      <c r="K432" s="16">
        <f>IF(Q432="",0,IF(SUMPRODUCT(('Returns &amp; Refunds'!$A$6:$A$11=C432)*('Returns &amp; Refunds'!$H$6:$H$11="Confirmed Good — Remove Charge"))&gt;0,0,Q432))</f>
        <v>40.32</v>
      </c>
      <c r="L432" s="16">
        <v>30.9</v>
      </c>
      <c r="M432" s="28">
        <v>27.8</v>
      </c>
      <c r="N432" s="29">
        <v>0.1003</v>
      </c>
      <c r="O432" s="44" t="s">
        <v>62</v>
      </c>
      <c r="P432" s="15"/>
      <c r="Q432" s="16">
        <f t="shared" si="13"/>
        <v>40.32</v>
      </c>
    </row>
    <row r="433" spans="1:17" ht="15" customHeight="1" x14ac:dyDescent="0.25">
      <c r="A433" s="15">
        <v>432</v>
      </c>
      <c r="B433" s="15" t="s">
        <v>180</v>
      </c>
      <c r="C433" s="15" t="s">
        <v>181</v>
      </c>
      <c r="D433" s="15" t="s">
        <v>1491</v>
      </c>
      <c r="E433" s="15" t="s">
        <v>179</v>
      </c>
      <c r="F433" s="41">
        <v>3</v>
      </c>
      <c r="G433" s="42">
        <v>11.3</v>
      </c>
      <c r="H433" s="43">
        <v>0.01</v>
      </c>
      <c r="I433" s="46" t="str">
        <f>IF('Pending DSP Entry'!L55="Charge Full DSP Instead","No","Yes")</f>
        <v>Yes</v>
      </c>
      <c r="J433" s="16">
        <f t="shared" si="12"/>
        <v>11.187000000000001</v>
      </c>
      <c r="K433" s="16">
        <f>IF(Q433="",0,IF(SUMPRODUCT(('Returns &amp; Refunds'!$A$6:$A$11=C433)*('Returns &amp; Refunds'!$H$6:$H$11="Confirmed Good — Remove Charge"))&gt;0,0,Q433))</f>
        <v>33.561000000000007</v>
      </c>
      <c r="L433" s="16">
        <v>15.9</v>
      </c>
      <c r="M433" s="28">
        <v>15.54</v>
      </c>
      <c r="N433" s="29">
        <v>2.2599999999999999E-2</v>
      </c>
      <c r="O433" s="38" t="s">
        <v>129</v>
      </c>
      <c r="P433" s="47" t="str">
        <f>"Wrong rate set by reseller — decision at Pending DSP Entry section D, row 55"</f>
        <v>Wrong rate set by reseller — decision at Pending DSP Entry section D, row 55</v>
      </c>
      <c r="Q433" s="16">
        <f t="shared" si="13"/>
        <v>33.561000000000007</v>
      </c>
    </row>
    <row r="434" spans="1:17" ht="15" customHeight="1" x14ac:dyDescent="0.25">
      <c r="A434" s="15">
        <v>433</v>
      </c>
      <c r="B434" s="15" t="s">
        <v>1492</v>
      </c>
      <c r="C434" s="15" t="s">
        <v>1493</v>
      </c>
      <c r="D434" s="15" t="s">
        <v>1494</v>
      </c>
      <c r="E434" s="15" t="s">
        <v>186</v>
      </c>
      <c r="F434" s="41">
        <v>1</v>
      </c>
      <c r="G434" s="42">
        <v>12.4</v>
      </c>
      <c r="H434" s="43">
        <v>0.01</v>
      </c>
      <c r="I434" s="41" t="s">
        <v>63</v>
      </c>
      <c r="J434" s="16">
        <f t="shared" si="12"/>
        <v>12.276</v>
      </c>
      <c r="K434" s="16">
        <f>IF(Q434="",0,IF(SUMPRODUCT(('Returns &amp; Refunds'!$A$6:$A$11=C434)*('Returns &amp; Refunds'!$H$6:$H$11="Confirmed Good — Remove Charge"))&gt;0,0,Q434))</f>
        <v>12.276</v>
      </c>
      <c r="L434" s="16">
        <v>17.899999999999999</v>
      </c>
      <c r="M434" s="28">
        <v>17.7</v>
      </c>
      <c r="N434" s="29">
        <v>1.12E-2</v>
      </c>
      <c r="O434" s="44" t="s">
        <v>62</v>
      </c>
      <c r="P434" s="15"/>
      <c r="Q434" s="16">
        <f t="shared" si="13"/>
        <v>12.276</v>
      </c>
    </row>
    <row r="435" spans="1:17" ht="15" customHeight="1" x14ac:dyDescent="0.25">
      <c r="A435" s="15">
        <v>434</v>
      </c>
      <c r="B435" s="15" t="s">
        <v>1495</v>
      </c>
      <c r="C435" s="15" t="s">
        <v>1496</v>
      </c>
      <c r="D435" s="15" t="s">
        <v>1497</v>
      </c>
      <c r="E435" s="15" t="s">
        <v>429</v>
      </c>
      <c r="F435" s="41">
        <v>1</v>
      </c>
      <c r="G435" s="42">
        <v>13.5</v>
      </c>
      <c r="H435" s="43">
        <v>0.01</v>
      </c>
      <c r="I435" s="41" t="s">
        <v>63</v>
      </c>
      <c r="J435" s="16">
        <f t="shared" si="12"/>
        <v>13.365</v>
      </c>
      <c r="K435" s="16">
        <f>IF(Q435="",0,IF(SUMPRODUCT(('Returns &amp; Refunds'!$A$6:$A$11=C435)*('Returns &amp; Refunds'!$H$6:$H$11="Confirmed Good — Remove Charge"))&gt;0,0,Q435))</f>
        <v>13.365</v>
      </c>
      <c r="L435" s="16">
        <v>17.899999999999999</v>
      </c>
      <c r="M435" s="28">
        <v>17.7</v>
      </c>
      <c r="N435" s="29">
        <v>1.12E-2</v>
      </c>
      <c r="O435" s="44" t="s">
        <v>62</v>
      </c>
      <c r="P435" s="15"/>
      <c r="Q435" s="16">
        <f t="shared" si="13"/>
        <v>13.365</v>
      </c>
    </row>
    <row r="436" spans="1:17" ht="15" customHeight="1" x14ac:dyDescent="0.25">
      <c r="A436" s="15">
        <v>435</v>
      </c>
      <c r="B436" s="15" t="s">
        <v>1498</v>
      </c>
      <c r="C436" s="15" t="s">
        <v>1499</v>
      </c>
      <c r="D436" s="15" t="s">
        <v>1500</v>
      </c>
      <c r="E436" s="15" t="s">
        <v>1501</v>
      </c>
      <c r="F436" s="41">
        <v>1</v>
      </c>
      <c r="G436" s="42">
        <v>49.7</v>
      </c>
      <c r="H436" s="43">
        <v>0.03</v>
      </c>
      <c r="I436" s="41" t="s">
        <v>63</v>
      </c>
      <c r="J436" s="16">
        <f t="shared" si="12"/>
        <v>48.209000000000003</v>
      </c>
      <c r="K436" s="16">
        <f>IF(Q436="",0,IF(SUMPRODUCT(('Returns &amp; Refunds'!$A$6:$A$11=C436)*('Returns &amp; Refunds'!$H$6:$H$11="Confirmed Good — Remove Charge"))&gt;0,0,Q436))</f>
        <v>48.209000000000003</v>
      </c>
      <c r="L436" s="16">
        <v>59.9</v>
      </c>
      <c r="M436" s="28">
        <v>58.1</v>
      </c>
      <c r="N436" s="29">
        <v>3.0099999999999998E-2</v>
      </c>
      <c r="O436" s="44" t="s">
        <v>62</v>
      </c>
      <c r="P436" s="15"/>
      <c r="Q436" s="16">
        <f t="shared" si="13"/>
        <v>48.209000000000003</v>
      </c>
    </row>
    <row r="437" spans="1:17" ht="15" customHeight="1" x14ac:dyDescent="0.25">
      <c r="A437" s="15">
        <v>436</v>
      </c>
      <c r="B437" s="15" t="s">
        <v>1502</v>
      </c>
      <c r="C437" s="15" t="s">
        <v>1503</v>
      </c>
      <c r="D437" s="15" t="s">
        <v>1504</v>
      </c>
      <c r="E437" s="15" t="s">
        <v>239</v>
      </c>
      <c r="F437" s="41">
        <v>1</v>
      </c>
      <c r="G437" s="42">
        <v>10.6</v>
      </c>
      <c r="H437" s="43">
        <v>0.01</v>
      </c>
      <c r="I437" s="41" t="s">
        <v>63</v>
      </c>
      <c r="J437" s="16">
        <f t="shared" si="12"/>
        <v>10.494</v>
      </c>
      <c r="K437" s="16">
        <f>IF(Q437="",0,IF(SUMPRODUCT(('Returns &amp; Refunds'!$A$6:$A$11=C437)*('Returns &amp; Refunds'!$H$6:$H$11="Confirmed Good — Remove Charge"))&gt;0,0,Q437))</f>
        <v>10.494</v>
      </c>
      <c r="L437" s="16">
        <v>15</v>
      </c>
      <c r="M437" s="28">
        <v>14.9</v>
      </c>
      <c r="N437" s="29">
        <v>6.7000000000000002E-3</v>
      </c>
      <c r="O437" s="44" t="s">
        <v>62</v>
      </c>
      <c r="P437" s="15"/>
      <c r="Q437" s="16">
        <f t="shared" si="13"/>
        <v>10.494</v>
      </c>
    </row>
    <row r="438" spans="1:17" ht="15" customHeight="1" x14ac:dyDescent="0.25">
      <c r="A438" s="15">
        <v>437</v>
      </c>
      <c r="B438" s="15" t="s">
        <v>1505</v>
      </c>
      <c r="C438" s="15" t="s">
        <v>1506</v>
      </c>
      <c r="D438" s="15" t="s">
        <v>1507</v>
      </c>
      <c r="E438" s="15" t="s">
        <v>1508</v>
      </c>
      <c r="F438" s="41">
        <v>1</v>
      </c>
      <c r="G438" s="42">
        <v>16.8</v>
      </c>
      <c r="H438" s="43">
        <v>0.15</v>
      </c>
      <c r="I438" s="41" t="s">
        <v>63</v>
      </c>
      <c r="J438" s="16">
        <f t="shared" si="12"/>
        <v>14.28</v>
      </c>
      <c r="K438" s="16">
        <f>IF(Q438="",0,IF(SUMPRODUCT(('Returns &amp; Refunds'!$A$6:$A$11=C438)*('Returns &amp; Refunds'!$H$6:$H$11="Confirmed Good — Remove Charge"))&gt;0,0,Q438))</f>
        <v>14.28</v>
      </c>
      <c r="L438" s="16">
        <v>22.9</v>
      </c>
      <c r="M438" s="28">
        <v>19.5</v>
      </c>
      <c r="N438" s="29">
        <v>0.14849999999999999</v>
      </c>
      <c r="O438" s="44" t="s">
        <v>62</v>
      </c>
      <c r="P438" s="15"/>
      <c r="Q438" s="16">
        <f t="shared" si="13"/>
        <v>14.28</v>
      </c>
    </row>
    <row r="439" spans="1:17" ht="15" customHeight="1" x14ac:dyDescent="0.25">
      <c r="A439" s="15">
        <v>438</v>
      </c>
      <c r="B439" s="15" t="s">
        <v>1505</v>
      </c>
      <c r="C439" s="15" t="s">
        <v>1506</v>
      </c>
      <c r="D439" s="15" t="s">
        <v>1507</v>
      </c>
      <c r="E439" s="15" t="s">
        <v>1509</v>
      </c>
      <c r="F439" s="41">
        <v>1</v>
      </c>
      <c r="G439" s="42">
        <v>24.7</v>
      </c>
      <c r="H439" s="43">
        <v>0.03</v>
      </c>
      <c r="I439" s="41" t="s">
        <v>63</v>
      </c>
      <c r="J439" s="16">
        <f t="shared" si="12"/>
        <v>23.959</v>
      </c>
      <c r="K439" s="16">
        <f>IF(Q439="",0,IF(SUMPRODUCT(('Returns &amp; Refunds'!$A$6:$A$11=C439)*('Returns &amp; Refunds'!$H$6:$H$11="Confirmed Good — Remove Charge"))&gt;0,0,Q439))</f>
        <v>23.959</v>
      </c>
      <c r="L439" s="16">
        <v>34.9</v>
      </c>
      <c r="M439" s="28">
        <v>33.9</v>
      </c>
      <c r="N439" s="29">
        <v>2.87E-2</v>
      </c>
      <c r="O439" s="44" t="s">
        <v>62</v>
      </c>
      <c r="P439" s="15"/>
      <c r="Q439" s="16">
        <f t="shared" si="13"/>
        <v>23.959</v>
      </c>
    </row>
    <row r="440" spans="1:17" ht="15" customHeight="1" x14ac:dyDescent="0.25">
      <c r="A440" s="15">
        <v>439</v>
      </c>
      <c r="B440" s="15" t="s">
        <v>1510</v>
      </c>
      <c r="C440" s="15" t="s">
        <v>1511</v>
      </c>
      <c r="D440" s="15" t="s">
        <v>1512</v>
      </c>
      <c r="E440" s="15" t="s">
        <v>1513</v>
      </c>
      <c r="F440" s="41">
        <v>1</v>
      </c>
      <c r="G440" s="42">
        <v>5.2</v>
      </c>
      <c r="H440" s="43">
        <v>0.01</v>
      </c>
      <c r="I440" s="41" t="s">
        <v>63</v>
      </c>
      <c r="J440" s="16">
        <f t="shared" si="12"/>
        <v>5.1479999999999997</v>
      </c>
      <c r="K440" s="16">
        <f>IF(Q440="",0,IF(SUMPRODUCT(('Returns &amp; Refunds'!$A$6:$A$11=C440)*('Returns &amp; Refunds'!$H$6:$H$11="Confirmed Good — Remove Charge"))&gt;0,0,Q440))</f>
        <v>5.1479999999999997</v>
      </c>
      <c r="L440" s="16">
        <v>7.5</v>
      </c>
      <c r="M440" s="28">
        <v>7.4</v>
      </c>
      <c r="N440" s="29">
        <v>1.3299999999999999E-2</v>
      </c>
      <c r="O440" s="44" t="s">
        <v>62</v>
      </c>
      <c r="P440" s="15"/>
      <c r="Q440" s="16">
        <f t="shared" si="13"/>
        <v>5.1479999999999997</v>
      </c>
    </row>
    <row r="441" spans="1:17" ht="15" customHeight="1" x14ac:dyDescent="0.25">
      <c r="A441" s="15">
        <v>440</v>
      </c>
      <c r="B441" s="15" t="s">
        <v>1510</v>
      </c>
      <c r="C441" s="15" t="s">
        <v>1511</v>
      </c>
      <c r="D441" s="15" t="s">
        <v>1512</v>
      </c>
      <c r="E441" s="15" t="s">
        <v>1514</v>
      </c>
      <c r="F441" s="41">
        <v>1</v>
      </c>
      <c r="G441" s="42">
        <v>5.2</v>
      </c>
      <c r="H441" s="43">
        <v>0.01</v>
      </c>
      <c r="I441" s="41" t="s">
        <v>63</v>
      </c>
      <c r="J441" s="16">
        <f t="shared" si="12"/>
        <v>5.1479999999999997</v>
      </c>
      <c r="K441" s="16">
        <f>IF(Q441="",0,IF(SUMPRODUCT(('Returns &amp; Refunds'!$A$6:$A$11=C441)*('Returns &amp; Refunds'!$H$6:$H$11="Confirmed Good — Remove Charge"))&gt;0,0,Q441))</f>
        <v>5.1479999999999997</v>
      </c>
      <c r="L441" s="16">
        <v>7.5</v>
      </c>
      <c r="M441" s="28">
        <v>7.4</v>
      </c>
      <c r="N441" s="29">
        <v>1.3299999999999999E-2</v>
      </c>
      <c r="O441" s="44" t="s">
        <v>62</v>
      </c>
      <c r="P441" s="15"/>
      <c r="Q441" s="16">
        <f t="shared" si="13"/>
        <v>5.1479999999999997</v>
      </c>
    </row>
    <row r="442" spans="1:17" ht="15" customHeight="1" x14ac:dyDescent="0.25">
      <c r="A442" s="15">
        <v>441</v>
      </c>
      <c r="B442" s="15" t="s">
        <v>1515</v>
      </c>
      <c r="C442" s="15" t="s">
        <v>1516</v>
      </c>
      <c r="D442" s="15" t="s">
        <v>1517</v>
      </c>
      <c r="E442" s="15" t="s">
        <v>206</v>
      </c>
      <c r="F442" s="41">
        <v>1</v>
      </c>
      <c r="G442" s="42">
        <v>14.9</v>
      </c>
      <c r="H442" s="43">
        <v>0.01</v>
      </c>
      <c r="I442" s="41" t="s">
        <v>63</v>
      </c>
      <c r="J442" s="16">
        <f t="shared" si="12"/>
        <v>14.750999999999999</v>
      </c>
      <c r="K442" s="16">
        <f>IF(Q442="",0,IF(SUMPRODUCT(('Returns &amp; Refunds'!$A$6:$A$11=C442)*('Returns &amp; Refunds'!$H$6:$H$11="Confirmed Good — Remove Charge"))&gt;0,0,Q442))</f>
        <v>14.750999999999999</v>
      </c>
      <c r="L442" s="16">
        <v>20.9</v>
      </c>
      <c r="M442" s="28">
        <v>20.7</v>
      </c>
      <c r="N442" s="29">
        <v>9.5999999999999992E-3</v>
      </c>
      <c r="O442" s="44" t="s">
        <v>62</v>
      </c>
      <c r="P442" s="15"/>
      <c r="Q442" s="16">
        <f t="shared" si="13"/>
        <v>14.750999999999999</v>
      </c>
    </row>
    <row r="443" spans="1:17" ht="15" customHeight="1" x14ac:dyDescent="0.25">
      <c r="A443" s="15">
        <v>442</v>
      </c>
      <c r="B443" s="15" t="s">
        <v>1518</v>
      </c>
      <c r="C443" s="15" t="s">
        <v>1519</v>
      </c>
      <c r="D443" s="15" t="s">
        <v>1520</v>
      </c>
      <c r="E443" s="15" t="s">
        <v>1114</v>
      </c>
      <c r="F443" s="41">
        <v>1</v>
      </c>
      <c r="G443" s="42">
        <v>20.3</v>
      </c>
      <c r="H443" s="43">
        <v>0.02</v>
      </c>
      <c r="I443" s="41" t="s">
        <v>63</v>
      </c>
      <c r="J443" s="16">
        <f t="shared" si="12"/>
        <v>19.894000000000002</v>
      </c>
      <c r="K443" s="16">
        <f>IF(Q443="",0,IF(SUMPRODUCT(('Returns &amp; Refunds'!$A$6:$A$11=C443)*('Returns &amp; Refunds'!$H$6:$H$11="Confirmed Good — Remove Charge"))&gt;0,0,Q443))</f>
        <v>19.894000000000002</v>
      </c>
      <c r="L443" s="16">
        <v>27.9</v>
      </c>
      <c r="M443" s="28">
        <v>27.3</v>
      </c>
      <c r="N443" s="29">
        <v>2.1499999999999998E-2</v>
      </c>
      <c r="O443" s="44" t="s">
        <v>62</v>
      </c>
      <c r="P443" s="15"/>
      <c r="Q443" s="16">
        <f t="shared" si="13"/>
        <v>19.894000000000002</v>
      </c>
    </row>
    <row r="444" spans="1:17" ht="15" customHeight="1" x14ac:dyDescent="0.25">
      <c r="A444" s="15">
        <v>443</v>
      </c>
      <c r="B444" s="15" t="s">
        <v>1521</v>
      </c>
      <c r="C444" s="15" t="s">
        <v>1522</v>
      </c>
      <c r="D444" s="15" t="s">
        <v>1523</v>
      </c>
      <c r="E444" s="15" t="s">
        <v>473</v>
      </c>
      <c r="F444" s="41">
        <v>1</v>
      </c>
      <c r="G444" s="42">
        <v>17.3</v>
      </c>
      <c r="H444" s="43">
        <v>0.3</v>
      </c>
      <c r="I444" s="41" t="s">
        <v>63</v>
      </c>
      <c r="J444" s="16">
        <f t="shared" si="12"/>
        <v>12.11</v>
      </c>
      <c r="K444" s="16">
        <f>IF(Q444="",0,IF(SUMPRODUCT(('Returns &amp; Refunds'!$A$6:$A$11=C444)*('Returns &amp; Refunds'!$H$6:$H$11="Confirmed Good — Remove Charge"))&gt;0,0,Q444))</f>
        <v>12.11</v>
      </c>
      <c r="L444" s="16">
        <v>24.9</v>
      </c>
      <c r="M444" s="28">
        <v>17.399999999999999</v>
      </c>
      <c r="N444" s="29">
        <v>0.30120000000000002</v>
      </c>
      <c r="O444" s="44" t="s">
        <v>62</v>
      </c>
      <c r="P444" s="15"/>
      <c r="Q444" s="16">
        <f t="shared" si="13"/>
        <v>12.11</v>
      </c>
    </row>
    <row r="445" spans="1:17" ht="15" customHeight="1" x14ac:dyDescent="0.25">
      <c r="A445" s="15">
        <v>444</v>
      </c>
      <c r="B445" s="15" t="s">
        <v>1524</v>
      </c>
      <c r="C445" s="15" t="s">
        <v>1525</v>
      </c>
      <c r="D445" s="15" t="s">
        <v>1526</v>
      </c>
      <c r="E445" s="15" t="s">
        <v>429</v>
      </c>
      <c r="F445" s="41">
        <v>1</v>
      </c>
      <c r="G445" s="42">
        <v>13.5</v>
      </c>
      <c r="H445" s="43">
        <v>0.01</v>
      </c>
      <c r="I445" s="41" t="s">
        <v>63</v>
      </c>
      <c r="J445" s="16">
        <f t="shared" si="12"/>
        <v>13.365</v>
      </c>
      <c r="K445" s="16">
        <f>IF(Q445="",0,IF(SUMPRODUCT(('Returns &amp; Refunds'!$A$6:$A$11=C445)*('Returns &amp; Refunds'!$H$6:$H$11="Confirmed Good — Remove Charge"))&gt;0,0,Q445))</f>
        <v>13.365</v>
      </c>
      <c r="L445" s="16">
        <v>17.899999999999999</v>
      </c>
      <c r="M445" s="28">
        <v>17.7</v>
      </c>
      <c r="N445" s="29">
        <v>1.12E-2</v>
      </c>
      <c r="O445" s="44" t="s">
        <v>62</v>
      </c>
      <c r="P445" s="15"/>
      <c r="Q445" s="16">
        <f t="shared" si="13"/>
        <v>13.365</v>
      </c>
    </row>
    <row r="446" spans="1:17" ht="15" customHeight="1" x14ac:dyDescent="0.25">
      <c r="A446" s="15">
        <v>445</v>
      </c>
      <c r="B446" s="15" t="s">
        <v>1527</v>
      </c>
      <c r="C446" s="15" t="s">
        <v>1528</v>
      </c>
      <c r="D446" s="15" t="s">
        <v>1529</v>
      </c>
      <c r="E446" s="15" t="s">
        <v>236</v>
      </c>
      <c r="F446" s="41">
        <v>1</v>
      </c>
      <c r="G446" s="42">
        <v>10.7</v>
      </c>
      <c r="H446" s="43">
        <v>0.01</v>
      </c>
      <c r="I446" s="41" t="s">
        <v>63</v>
      </c>
      <c r="J446" s="16">
        <f t="shared" si="12"/>
        <v>10.593</v>
      </c>
      <c r="K446" s="16">
        <f>IF(Q446="",0,IF(SUMPRODUCT(('Returns &amp; Refunds'!$A$6:$A$11=C446)*('Returns &amp; Refunds'!$H$6:$H$11="Confirmed Good — Remove Charge"))&gt;0,0,Q446))</f>
        <v>10.593</v>
      </c>
      <c r="L446" s="16">
        <v>15.9</v>
      </c>
      <c r="M446" s="28">
        <v>15.7</v>
      </c>
      <c r="N446" s="29">
        <v>1.26E-2</v>
      </c>
      <c r="O446" s="44" t="s">
        <v>62</v>
      </c>
      <c r="P446" s="15"/>
      <c r="Q446" s="16">
        <f t="shared" si="13"/>
        <v>10.593</v>
      </c>
    </row>
    <row r="447" spans="1:17" ht="15" customHeight="1" x14ac:dyDescent="0.25">
      <c r="A447" s="15">
        <v>446</v>
      </c>
      <c r="B447" s="15" t="s">
        <v>1530</v>
      </c>
      <c r="C447" s="15" t="s">
        <v>1531</v>
      </c>
      <c r="D447" s="15" t="s">
        <v>1532</v>
      </c>
      <c r="E447" s="15" t="s">
        <v>1316</v>
      </c>
      <c r="F447" s="41">
        <v>1</v>
      </c>
      <c r="G447" s="42">
        <v>22.8</v>
      </c>
      <c r="H447" s="43">
        <v>0.05</v>
      </c>
      <c r="I447" s="41" t="s">
        <v>63</v>
      </c>
      <c r="J447" s="16">
        <f t="shared" si="12"/>
        <v>21.66</v>
      </c>
      <c r="K447" s="16">
        <f>IF(Q447="",0,IF(SUMPRODUCT(('Returns &amp; Refunds'!$A$6:$A$11=C447)*('Returns &amp; Refunds'!$H$6:$H$11="Confirmed Good — Remove Charge"))&gt;0,0,Q447))</f>
        <v>21.66</v>
      </c>
      <c r="L447" s="16">
        <v>32.9</v>
      </c>
      <c r="M447" s="28">
        <v>31.3</v>
      </c>
      <c r="N447" s="29">
        <v>4.8599999999999997E-2</v>
      </c>
      <c r="O447" s="44" t="s">
        <v>62</v>
      </c>
      <c r="P447" s="15"/>
      <c r="Q447" s="16">
        <f t="shared" si="13"/>
        <v>21.66</v>
      </c>
    </row>
    <row r="448" spans="1:17" ht="15" customHeight="1" x14ac:dyDescent="0.25">
      <c r="A448" s="15">
        <v>447</v>
      </c>
      <c r="B448" s="15" t="s">
        <v>1533</v>
      </c>
      <c r="C448" s="15" t="s">
        <v>1534</v>
      </c>
      <c r="D448" s="15" t="s">
        <v>1535</v>
      </c>
      <c r="E448" s="15" t="s">
        <v>1536</v>
      </c>
      <c r="F448" s="41">
        <v>1</v>
      </c>
      <c r="G448" s="42">
        <v>13.9</v>
      </c>
      <c r="H448" s="43">
        <v>0.02</v>
      </c>
      <c r="I448" s="41" t="s">
        <v>63</v>
      </c>
      <c r="J448" s="16">
        <f t="shared" si="12"/>
        <v>13.622</v>
      </c>
      <c r="K448" s="16">
        <f>IF(Q448="",0,IF(SUMPRODUCT(('Returns &amp; Refunds'!$A$6:$A$11=C448)*('Returns &amp; Refunds'!$H$6:$H$11="Confirmed Good — Remove Charge"))&gt;0,0,Q448))</f>
        <v>13.622</v>
      </c>
      <c r="L448" s="16">
        <v>19.899999999999999</v>
      </c>
      <c r="M448" s="28">
        <v>19.5</v>
      </c>
      <c r="N448" s="29">
        <v>2.01E-2</v>
      </c>
      <c r="O448" s="44" t="s">
        <v>62</v>
      </c>
      <c r="P448" s="15"/>
      <c r="Q448" s="16">
        <f t="shared" si="13"/>
        <v>13.622</v>
      </c>
    </row>
    <row r="449" spans="1:17" ht="15" customHeight="1" x14ac:dyDescent="0.25">
      <c r="A449" s="15">
        <v>448</v>
      </c>
      <c r="B449" s="15" t="s">
        <v>199</v>
      </c>
      <c r="C449" s="15" t="s">
        <v>200</v>
      </c>
      <c r="D449" s="15" t="s">
        <v>1537</v>
      </c>
      <c r="E449" s="15" t="s">
        <v>208</v>
      </c>
      <c r="F449" s="41">
        <v>1</v>
      </c>
      <c r="G449" s="42">
        <v>6.5</v>
      </c>
      <c r="H449" s="43">
        <v>0.05</v>
      </c>
      <c r="I449" s="46" t="str">
        <f>IF('Pending DSP Entry'!L71="Charge Full DSP Instead","No","Yes")</f>
        <v>Yes</v>
      </c>
      <c r="J449" s="16">
        <f t="shared" si="12"/>
        <v>6.1749999999999998</v>
      </c>
      <c r="K449" s="16">
        <f>IF(Q449="",0,IF(SUMPRODUCT(('Returns &amp; Refunds'!$A$6:$A$11=C449)*('Returns &amp; Refunds'!$H$6:$H$11="Confirmed Good — Remove Charge"))&gt;0,0,Q449))</f>
        <v>6.1749999999999998</v>
      </c>
      <c r="L449" s="16">
        <v>9.9</v>
      </c>
      <c r="M449" s="28">
        <v>9.31</v>
      </c>
      <c r="N449" s="29">
        <v>5.96E-2</v>
      </c>
      <c r="O449" s="38" t="s">
        <v>129</v>
      </c>
      <c r="P449" s="47" t="str">
        <f>"Wrong rate set by reseller — decision at Pending DSP Entry section D, row 71"</f>
        <v>Wrong rate set by reseller — decision at Pending DSP Entry section D, row 71</v>
      </c>
      <c r="Q449" s="16">
        <f t="shared" si="13"/>
        <v>6.1749999999999998</v>
      </c>
    </row>
    <row r="450" spans="1:17" ht="15" customHeight="1" x14ac:dyDescent="0.25">
      <c r="A450" s="15">
        <v>449</v>
      </c>
      <c r="B450" s="15" t="s">
        <v>199</v>
      </c>
      <c r="C450" s="15" t="s">
        <v>200</v>
      </c>
      <c r="D450" s="15" t="s">
        <v>1537</v>
      </c>
      <c r="E450" s="15" t="s">
        <v>1538</v>
      </c>
      <c r="F450" s="41">
        <v>1</v>
      </c>
      <c r="G450" s="42">
        <v>6.1</v>
      </c>
      <c r="H450" s="43">
        <v>0.05</v>
      </c>
      <c r="I450" s="41" t="s">
        <v>63</v>
      </c>
      <c r="J450" s="16">
        <f t="shared" ref="J450:J513" si="14">IF(G450="","",IF(I450="Yes",G450*(1-H450),G450))</f>
        <v>5.794999999999999</v>
      </c>
      <c r="K450" s="16">
        <f>IF(Q450="",0,IF(SUMPRODUCT(('Returns &amp; Refunds'!$A$6:$A$11=C450)*('Returns &amp; Refunds'!$H$6:$H$11="Confirmed Good — Remove Charge"))&gt;0,0,Q450))</f>
        <v>5.794999999999999</v>
      </c>
      <c r="L450" s="16">
        <v>8.9</v>
      </c>
      <c r="M450" s="28">
        <v>8.42</v>
      </c>
      <c r="N450" s="29">
        <v>5.3900000000000003E-2</v>
      </c>
      <c r="O450" s="44" t="s">
        <v>62</v>
      </c>
      <c r="P450" s="15"/>
      <c r="Q450" s="16">
        <f t="shared" ref="Q450:Q513" si="15">IF(J450="",0,F450*J450)</f>
        <v>5.794999999999999</v>
      </c>
    </row>
    <row r="451" spans="1:17" ht="15" customHeight="1" x14ac:dyDescent="0.25">
      <c r="A451" s="15">
        <v>450</v>
      </c>
      <c r="B451" s="15" t="s">
        <v>199</v>
      </c>
      <c r="C451" s="15" t="s">
        <v>200</v>
      </c>
      <c r="D451" s="15" t="s">
        <v>1537</v>
      </c>
      <c r="E451" s="15" t="s">
        <v>201</v>
      </c>
      <c r="F451" s="41">
        <v>1</v>
      </c>
      <c r="G451" s="42">
        <v>10.3</v>
      </c>
      <c r="H451" s="43">
        <v>0.05</v>
      </c>
      <c r="I451" s="46" t="str">
        <f>IF('Pending DSP Entry'!L63="Charge Full DSP Instead","No","Yes")</f>
        <v>Yes</v>
      </c>
      <c r="J451" s="16">
        <f t="shared" si="14"/>
        <v>9.7850000000000001</v>
      </c>
      <c r="K451" s="16">
        <f>IF(Q451="",0,IF(SUMPRODUCT(('Returns &amp; Refunds'!$A$6:$A$11=C451)*('Returns &amp; Refunds'!$H$6:$H$11="Confirmed Good — Remove Charge"))&gt;0,0,Q451))</f>
        <v>9.7850000000000001</v>
      </c>
      <c r="L451" s="16">
        <v>15.9</v>
      </c>
      <c r="M451" s="28">
        <v>14.95</v>
      </c>
      <c r="N451" s="29">
        <v>5.9700000000000003E-2</v>
      </c>
      <c r="O451" s="38" t="s">
        <v>129</v>
      </c>
      <c r="P451" s="47" t="str">
        <f>"Wrong rate set by reseller — decision at Pending DSP Entry section D, row 63"</f>
        <v>Wrong rate set by reseller — decision at Pending DSP Entry section D, row 63</v>
      </c>
      <c r="Q451" s="16">
        <f t="shared" si="15"/>
        <v>9.7850000000000001</v>
      </c>
    </row>
    <row r="452" spans="1:17" ht="15" customHeight="1" x14ac:dyDescent="0.25">
      <c r="A452" s="15">
        <v>451</v>
      </c>
      <c r="B452" s="15" t="s">
        <v>1539</v>
      </c>
      <c r="C452" s="15" t="s">
        <v>1540</v>
      </c>
      <c r="D452" s="15" t="s">
        <v>1541</v>
      </c>
      <c r="E452" s="15" t="s">
        <v>1542</v>
      </c>
      <c r="F452" s="41">
        <v>1</v>
      </c>
      <c r="G452" s="42">
        <v>51</v>
      </c>
      <c r="H452" s="43">
        <v>0.1</v>
      </c>
      <c r="I452" s="41" t="s">
        <v>63</v>
      </c>
      <c r="J452" s="16">
        <f t="shared" si="14"/>
        <v>45.9</v>
      </c>
      <c r="K452" s="16">
        <f>IF(Q452="",0,IF(SUMPRODUCT(('Returns &amp; Refunds'!$A$6:$A$11=C452)*('Returns &amp; Refunds'!$H$6:$H$11="Confirmed Good — Remove Charge"))&gt;0,0,Q452))</f>
        <v>45.9</v>
      </c>
      <c r="L452" s="16">
        <v>67.900000000000006</v>
      </c>
      <c r="M452" s="28">
        <v>61.1</v>
      </c>
      <c r="N452" s="29">
        <v>0.10009999999999999</v>
      </c>
      <c r="O452" s="44" t="s">
        <v>62</v>
      </c>
      <c r="P452" s="15"/>
      <c r="Q452" s="16">
        <f t="shared" si="15"/>
        <v>45.9</v>
      </c>
    </row>
    <row r="453" spans="1:17" ht="15" customHeight="1" x14ac:dyDescent="0.25">
      <c r="A453" s="15">
        <v>452</v>
      </c>
      <c r="B453" s="15" t="s">
        <v>1543</v>
      </c>
      <c r="C453" s="15" t="s">
        <v>1544</v>
      </c>
      <c r="D453" s="15" t="s">
        <v>1545</v>
      </c>
      <c r="E453" s="15" t="s">
        <v>762</v>
      </c>
      <c r="F453" s="41">
        <v>1</v>
      </c>
      <c r="G453" s="42">
        <v>11.3</v>
      </c>
      <c r="H453" s="43">
        <v>0.01</v>
      </c>
      <c r="I453" s="41" t="s">
        <v>63</v>
      </c>
      <c r="J453" s="16">
        <f t="shared" si="14"/>
        <v>11.187000000000001</v>
      </c>
      <c r="K453" s="16">
        <f>IF(Q453="",0,IF(SUMPRODUCT(('Returns &amp; Refunds'!$A$6:$A$11=C453)*('Returns &amp; Refunds'!$H$6:$H$11="Confirmed Good — Remove Charge"))&gt;0,0,Q453))</f>
        <v>11.187000000000001</v>
      </c>
      <c r="L453" s="16">
        <v>15.9</v>
      </c>
      <c r="M453" s="28">
        <v>15.7</v>
      </c>
      <c r="N453" s="29">
        <v>1.26E-2</v>
      </c>
      <c r="O453" s="44" t="s">
        <v>62</v>
      </c>
      <c r="P453" s="15"/>
      <c r="Q453" s="16">
        <f t="shared" si="15"/>
        <v>11.187000000000001</v>
      </c>
    </row>
    <row r="454" spans="1:17" ht="15" customHeight="1" x14ac:dyDescent="0.25">
      <c r="A454" s="15">
        <v>453</v>
      </c>
      <c r="B454" s="15" t="s">
        <v>1546</v>
      </c>
      <c r="C454" s="15" t="s">
        <v>1547</v>
      </c>
      <c r="D454" s="15" t="s">
        <v>1548</v>
      </c>
      <c r="E454" s="15" t="s">
        <v>191</v>
      </c>
      <c r="F454" s="41">
        <v>1</v>
      </c>
      <c r="G454" s="42">
        <v>31.5</v>
      </c>
      <c r="H454" s="43">
        <v>0.01</v>
      </c>
      <c r="I454" s="41" t="s">
        <v>63</v>
      </c>
      <c r="J454" s="16">
        <f t="shared" si="14"/>
        <v>31.184999999999999</v>
      </c>
      <c r="K454" s="16">
        <f>IF(Q454="",0,IF(SUMPRODUCT(('Returns &amp; Refunds'!$A$6:$A$11=C454)*('Returns &amp; Refunds'!$H$6:$H$11="Confirmed Good — Remove Charge"))&gt;0,0,Q454))</f>
        <v>31.184999999999999</v>
      </c>
      <c r="L454" s="16">
        <v>39.9</v>
      </c>
      <c r="M454" s="28">
        <v>39.5</v>
      </c>
      <c r="N454" s="29">
        <v>0.01</v>
      </c>
      <c r="O454" s="44" t="s">
        <v>62</v>
      </c>
      <c r="P454" s="15"/>
      <c r="Q454" s="16">
        <f t="shared" si="15"/>
        <v>31.184999999999999</v>
      </c>
    </row>
    <row r="455" spans="1:17" ht="15" customHeight="1" x14ac:dyDescent="0.25">
      <c r="A455" s="15">
        <v>454</v>
      </c>
      <c r="B455" s="15" t="s">
        <v>1549</v>
      </c>
      <c r="C455" s="15" t="s">
        <v>1550</v>
      </c>
      <c r="D455" s="15" t="s">
        <v>1551</v>
      </c>
      <c r="E455" s="15" t="s">
        <v>1552</v>
      </c>
      <c r="F455" s="41">
        <v>1</v>
      </c>
      <c r="G455" s="42">
        <v>33.700000000000003</v>
      </c>
      <c r="H455" s="43">
        <v>0.03</v>
      </c>
      <c r="I455" s="41" t="s">
        <v>63</v>
      </c>
      <c r="J455" s="16">
        <f t="shared" si="14"/>
        <v>32.689</v>
      </c>
      <c r="K455" s="16">
        <f>IF(Q455="",0,IF(SUMPRODUCT(('Returns &amp; Refunds'!$A$6:$A$11=C455)*('Returns &amp; Refunds'!$H$6:$H$11="Confirmed Good — Remove Charge"))&gt;0,0,Q455))</f>
        <v>32.689</v>
      </c>
      <c r="L455" s="16">
        <v>47.9</v>
      </c>
      <c r="M455" s="28">
        <v>46.5</v>
      </c>
      <c r="N455" s="29">
        <v>2.92E-2</v>
      </c>
      <c r="O455" s="44" t="s">
        <v>62</v>
      </c>
      <c r="P455" s="15"/>
      <c r="Q455" s="16">
        <f t="shared" si="15"/>
        <v>32.689</v>
      </c>
    </row>
    <row r="456" spans="1:17" ht="15" customHeight="1" x14ac:dyDescent="0.25">
      <c r="A456" s="15">
        <v>455</v>
      </c>
      <c r="B456" s="15" t="s">
        <v>1553</v>
      </c>
      <c r="C456" s="15" t="s">
        <v>1554</v>
      </c>
      <c r="D456" s="15" t="s">
        <v>1555</v>
      </c>
      <c r="E456" s="15" t="s">
        <v>903</v>
      </c>
      <c r="F456" s="41">
        <v>1</v>
      </c>
      <c r="G456" s="42">
        <v>13.1</v>
      </c>
      <c r="H456" s="43">
        <v>0.01</v>
      </c>
      <c r="I456" s="41" t="s">
        <v>69</v>
      </c>
      <c r="J456" s="16">
        <f t="shared" si="14"/>
        <v>13.1</v>
      </c>
      <c r="K456" s="16">
        <f>IF(Q456="",0,IF(SUMPRODUCT(('Returns &amp; Refunds'!$A$6:$A$11=C456)*('Returns &amp; Refunds'!$H$6:$H$11="Confirmed Good — Remove Charge"))&gt;0,0,Q456))</f>
        <v>13.1</v>
      </c>
      <c r="L456" s="16">
        <v>17.899999999999999</v>
      </c>
      <c r="M456" s="28">
        <v>17.899999999999999</v>
      </c>
      <c r="N456" s="29">
        <v>0</v>
      </c>
      <c r="O456" s="45" t="s">
        <v>68</v>
      </c>
      <c r="P456" s="15"/>
      <c r="Q456" s="16">
        <f t="shared" si="15"/>
        <v>13.1</v>
      </c>
    </row>
    <row r="457" spans="1:17" ht="15" customHeight="1" x14ac:dyDescent="0.25">
      <c r="A457" s="15">
        <v>456</v>
      </c>
      <c r="B457" s="15" t="s">
        <v>1556</v>
      </c>
      <c r="C457" s="15" t="s">
        <v>1557</v>
      </c>
      <c r="D457" s="15" t="s">
        <v>1558</v>
      </c>
      <c r="E457" s="15" t="s">
        <v>727</v>
      </c>
      <c r="F457" s="41">
        <v>1</v>
      </c>
      <c r="G457" s="42">
        <v>18.8</v>
      </c>
      <c r="H457" s="43">
        <v>0.01</v>
      </c>
      <c r="I457" s="41" t="s">
        <v>63</v>
      </c>
      <c r="J457" s="16">
        <f t="shared" si="14"/>
        <v>18.612000000000002</v>
      </c>
      <c r="K457" s="16">
        <f>IF(Q457="",0,IF(SUMPRODUCT(('Returns &amp; Refunds'!$A$6:$A$11=C457)*('Returns &amp; Refunds'!$H$6:$H$11="Confirmed Good — Remove Charge"))&gt;0,0,Q457))</f>
        <v>18.612000000000002</v>
      </c>
      <c r="L457" s="16">
        <v>24.9</v>
      </c>
      <c r="M457" s="28">
        <v>24.7</v>
      </c>
      <c r="N457" s="29">
        <v>8.0000000000000002E-3</v>
      </c>
      <c r="O457" s="44" t="s">
        <v>62</v>
      </c>
      <c r="P457" s="15"/>
      <c r="Q457" s="16">
        <f t="shared" si="15"/>
        <v>18.612000000000002</v>
      </c>
    </row>
    <row r="458" spans="1:17" ht="15" customHeight="1" x14ac:dyDescent="0.25">
      <c r="A458" s="15">
        <v>457</v>
      </c>
      <c r="B458" s="15" t="s">
        <v>1559</v>
      </c>
      <c r="C458" s="15" t="s">
        <v>1560</v>
      </c>
      <c r="D458" s="15" t="s">
        <v>1561</v>
      </c>
      <c r="E458" s="15" t="s">
        <v>413</v>
      </c>
      <c r="F458" s="41">
        <v>1</v>
      </c>
      <c r="G458" s="42">
        <v>10.5</v>
      </c>
      <c r="H458" s="43">
        <v>0.01</v>
      </c>
      <c r="I458" s="41" t="s">
        <v>63</v>
      </c>
      <c r="J458" s="16">
        <f t="shared" si="14"/>
        <v>10.395</v>
      </c>
      <c r="K458" s="16">
        <f>IF(Q458="",0,IF(SUMPRODUCT(('Returns &amp; Refunds'!$A$6:$A$11=C458)*('Returns &amp; Refunds'!$H$6:$H$11="Confirmed Good — Remove Charge"))&gt;0,0,Q458))</f>
        <v>10.395</v>
      </c>
      <c r="L458" s="16">
        <v>15</v>
      </c>
      <c r="M458" s="28">
        <v>14.9</v>
      </c>
      <c r="N458" s="29">
        <v>6.7000000000000002E-3</v>
      </c>
      <c r="O458" s="44" t="s">
        <v>62</v>
      </c>
      <c r="P458" s="15"/>
      <c r="Q458" s="16">
        <f t="shared" si="15"/>
        <v>10.395</v>
      </c>
    </row>
    <row r="459" spans="1:17" ht="15" customHeight="1" x14ac:dyDescent="0.25">
      <c r="A459" s="15">
        <v>458</v>
      </c>
      <c r="B459" s="15" t="s">
        <v>162</v>
      </c>
      <c r="C459" s="15" t="s">
        <v>163</v>
      </c>
      <c r="D459" s="15" t="s">
        <v>1562</v>
      </c>
      <c r="E459" s="15" t="s">
        <v>159</v>
      </c>
      <c r="F459" s="41">
        <v>1</v>
      </c>
      <c r="G459" s="42">
        <v>15</v>
      </c>
      <c r="H459" s="43">
        <v>0.01</v>
      </c>
      <c r="I459" s="46" t="str">
        <f>IF('Pending DSP Entry'!L48="Charge Full DSP Instead","No","Yes")</f>
        <v>Yes</v>
      </c>
      <c r="J459" s="16">
        <f t="shared" si="14"/>
        <v>14.85</v>
      </c>
      <c r="K459" s="16">
        <f>IF(Q459="",0,IF(SUMPRODUCT(('Returns &amp; Refunds'!$A$6:$A$11=C459)*('Returns &amp; Refunds'!$H$6:$H$11="Confirmed Good — Remove Charge"))&gt;0,0,Q459))</f>
        <v>14.85</v>
      </c>
      <c r="L459" s="16">
        <v>20.9</v>
      </c>
      <c r="M459" s="28">
        <v>19.89</v>
      </c>
      <c r="N459" s="29">
        <v>4.8300000000000003E-2</v>
      </c>
      <c r="O459" s="38" t="s">
        <v>129</v>
      </c>
      <c r="P459" s="47" t="str">
        <f>"Wrong rate set by reseller — decision at Pending DSP Entry section D, row 48"</f>
        <v>Wrong rate set by reseller — decision at Pending DSP Entry section D, row 48</v>
      </c>
      <c r="Q459" s="16">
        <f t="shared" si="15"/>
        <v>14.85</v>
      </c>
    </row>
    <row r="460" spans="1:17" ht="15" customHeight="1" x14ac:dyDescent="0.25">
      <c r="A460" s="15">
        <v>459</v>
      </c>
      <c r="B460" s="15" t="s">
        <v>162</v>
      </c>
      <c r="C460" s="15" t="s">
        <v>163</v>
      </c>
      <c r="D460" s="15" t="s">
        <v>1562</v>
      </c>
      <c r="E460" s="15" t="s">
        <v>1563</v>
      </c>
      <c r="F460" s="41">
        <v>1</v>
      </c>
      <c r="G460" s="42">
        <v>14.9</v>
      </c>
      <c r="H460" s="43">
        <v>0.01</v>
      </c>
      <c r="I460" s="41" t="s">
        <v>63</v>
      </c>
      <c r="J460" s="16">
        <f t="shared" si="14"/>
        <v>14.750999999999999</v>
      </c>
      <c r="K460" s="16">
        <f>IF(Q460="",0,IF(SUMPRODUCT(('Returns &amp; Refunds'!$A$6:$A$11=C460)*('Returns &amp; Refunds'!$H$6:$H$11="Confirmed Good — Remove Charge"))&gt;0,0,Q460))</f>
        <v>14.750999999999999</v>
      </c>
      <c r="L460" s="16">
        <v>19.899999999999999</v>
      </c>
      <c r="M460" s="28">
        <v>19.7</v>
      </c>
      <c r="N460" s="29">
        <v>1.01E-2</v>
      </c>
      <c r="O460" s="44" t="s">
        <v>62</v>
      </c>
      <c r="P460" s="15"/>
      <c r="Q460" s="16">
        <f t="shared" si="15"/>
        <v>14.750999999999999</v>
      </c>
    </row>
    <row r="461" spans="1:17" ht="15" customHeight="1" x14ac:dyDescent="0.25">
      <c r="A461" s="15">
        <v>460</v>
      </c>
      <c r="B461" s="15" t="s">
        <v>1564</v>
      </c>
      <c r="C461" s="15" t="s">
        <v>1565</v>
      </c>
      <c r="D461" s="15" t="s">
        <v>1566</v>
      </c>
      <c r="E461" s="15" t="s">
        <v>501</v>
      </c>
      <c r="F461" s="41">
        <v>1</v>
      </c>
      <c r="G461" s="42">
        <v>48.7</v>
      </c>
      <c r="H461" s="43">
        <v>0.02</v>
      </c>
      <c r="I461" s="41" t="s">
        <v>69</v>
      </c>
      <c r="J461" s="16">
        <f t="shared" si="14"/>
        <v>48.7</v>
      </c>
      <c r="K461" s="16">
        <f>IF(Q461="",0,IF(SUMPRODUCT(('Returns &amp; Refunds'!$A$6:$A$11=C461)*('Returns &amp; Refunds'!$H$6:$H$11="Confirmed Good — Remove Charge"))&gt;0,0,Q461))</f>
        <v>48.7</v>
      </c>
      <c r="L461" s="16">
        <v>67.900000000000006</v>
      </c>
      <c r="M461" s="28">
        <v>67.900000000000006</v>
      </c>
      <c r="N461" s="29">
        <v>0</v>
      </c>
      <c r="O461" s="45" t="s">
        <v>68</v>
      </c>
      <c r="P461" s="15"/>
      <c r="Q461" s="16">
        <f t="shared" si="15"/>
        <v>48.7</v>
      </c>
    </row>
    <row r="462" spans="1:17" ht="15" customHeight="1" x14ac:dyDescent="0.25">
      <c r="A462" s="15">
        <v>461</v>
      </c>
      <c r="B462" s="15" t="s">
        <v>1567</v>
      </c>
      <c r="C462" s="15" t="s">
        <v>1568</v>
      </c>
      <c r="D462" s="15" t="s">
        <v>1569</v>
      </c>
      <c r="E462" s="15" t="s">
        <v>242</v>
      </c>
      <c r="F462" s="41">
        <v>1</v>
      </c>
      <c r="G462" s="42">
        <v>10.5</v>
      </c>
      <c r="H462" s="43">
        <v>0.01</v>
      </c>
      <c r="I462" s="41" t="s">
        <v>63</v>
      </c>
      <c r="J462" s="16">
        <f t="shared" si="14"/>
        <v>10.395</v>
      </c>
      <c r="K462" s="16">
        <f>IF(Q462="",0,IF(SUMPRODUCT(('Returns &amp; Refunds'!$A$6:$A$11=C462)*('Returns &amp; Refunds'!$H$6:$H$11="Confirmed Good — Remove Charge"))&gt;0,0,Q462))</f>
        <v>10.395</v>
      </c>
      <c r="L462" s="16">
        <v>15</v>
      </c>
      <c r="M462" s="28">
        <v>14.9</v>
      </c>
      <c r="N462" s="29">
        <v>6.7000000000000002E-3</v>
      </c>
      <c r="O462" s="44" t="s">
        <v>62</v>
      </c>
      <c r="P462" s="15"/>
      <c r="Q462" s="16">
        <f t="shared" si="15"/>
        <v>10.395</v>
      </c>
    </row>
    <row r="463" spans="1:17" ht="15" customHeight="1" x14ac:dyDescent="0.25">
      <c r="A463" s="15">
        <v>462</v>
      </c>
      <c r="B463" s="15" t="s">
        <v>1570</v>
      </c>
      <c r="C463" s="15" t="s">
        <v>1571</v>
      </c>
      <c r="D463" s="15" t="s">
        <v>1572</v>
      </c>
      <c r="E463" s="15" t="s">
        <v>281</v>
      </c>
      <c r="F463" s="41">
        <v>1</v>
      </c>
      <c r="G463" s="42">
        <v>15</v>
      </c>
      <c r="H463" s="43">
        <v>0.01</v>
      </c>
      <c r="I463" s="41" t="s">
        <v>63</v>
      </c>
      <c r="J463" s="16">
        <f t="shared" si="14"/>
        <v>14.85</v>
      </c>
      <c r="K463" s="16">
        <f>IF(Q463="",0,IF(SUMPRODUCT(('Returns &amp; Refunds'!$A$6:$A$11=C463)*('Returns &amp; Refunds'!$H$6:$H$11="Confirmed Good — Remove Charge"))&gt;0,0,Q463))</f>
        <v>14.85</v>
      </c>
      <c r="L463" s="16">
        <v>20.9</v>
      </c>
      <c r="M463" s="28">
        <v>20.7</v>
      </c>
      <c r="N463" s="29">
        <v>9.5999999999999992E-3</v>
      </c>
      <c r="O463" s="44" t="s">
        <v>62</v>
      </c>
      <c r="P463" s="15"/>
      <c r="Q463" s="16">
        <f t="shared" si="15"/>
        <v>14.85</v>
      </c>
    </row>
    <row r="464" spans="1:17" ht="15" customHeight="1" x14ac:dyDescent="0.25">
      <c r="A464" s="15">
        <v>463</v>
      </c>
      <c r="B464" s="15" t="s">
        <v>1573</v>
      </c>
      <c r="C464" s="15" t="s">
        <v>1574</v>
      </c>
      <c r="D464" s="15" t="s">
        <v>1575</v>
      </c>
      <c r="E464" s="15" t="s">
        <v>320</v>
      </c>
      <c r="F464" s="41">
        <v>1</v>
      </c>
      <c r="G464" s="42">
        <v>10.5</v>
      </c>
      <c r="H464" s="43">
        <v>0.01</v>
      </c>
      <c r="I464" s="41" t="s">
        <v>63</v>
      </c>
      <c r="J464" s="16">
        <f t="shared" si="14"/>
        <v>10.395</v>
      </c>
      <c r="K464" s="16">
        <f>IF(Q464="",0,IF(SUMPRODUCT(('Returns &amp; Refunds'!$A$6:$A$11=C464)*('Returns &amp; Refunds'!$H$6:$H$11="Confirmed Good — Remove Charge"))&gt;0,0,Q464))</f>
        <v>10.395</v>
      </c>
      <c r="L464" s="16">
        <v>15</v>
      </c>
      <c r="M464" s="28">
        <v>14.9</v>
      </c>
      <c r="N464" s="29">
        <v>6.7000000000000002E-3</v>
      </c>
      <c r="O464" s="44" t="s">
        <v>62</v>
      </c>
      <c r="P464" s="15"/>
      <c r="Q464" s="16">
        <f t="shared" si="15"/>
        <v>10.395</v>
      </c>
    </row>
    <row r="465" spans="1:17" ht="15" customHeight="1" x14ac:dyDescent="0.25">
      <c r="A465" s="15">
        <v>464</v>
      </c>
      <c r="B465" s="15" t="s">
        <v>1576</v>
      </c>
      <c r="C465" s="15" t="s">
        <v>1577</v>
      </c>
      <c r="D465" s="15" t="s">
        <v>1578</v>
      </c>
      <c r="E465" s="15" t="s">
        <v>1579</v>
      </c>
      <c r="F465" s="41">
        <v>1</v>
      </c>
      <c r="G465" s="42">
        <v>20.3</v>
      </c>
      <c r="H465" s="43">
        <v>0.1</v>
      </c>
      <c r="I465" s="41" t="s">
        <v>63</v>
      </c>
      <c r="J465" s="16">
        <f t="shared" si="14"/>
        <v>18.27</v>
      </c>
      <c r="K465" s="16">
        <f>IF(Q465="",0,IF(SUMPRODUCT(('Returns &amp; Refunds'!$A$6:$A$11=C465)*('Returns &amp; Refunds'!$H$6:$H$11="Confirmed Good — Remove Charge"))&gt;0,0,Q465))</f>
        <v>18.27</v>
      </c>
      <c r="L465" s="16">
        <v>27.9</v>
      </c>
      <c r="M465" s="28">
        <v>25.1</v>
      </c>
      <c r="N465" s="29">
        <v>0.1004</v>
      </c>
      <c r="O465" s="44" t="s">
        <v>62</v>
      </c>
      <c r="P465" s="15"/>
      <c r="Q465" s="16">
        <f t="shared" si="15"/>
        <v>18.27</v>
      </c>
    </row>
    <row r="466" spans="1:17" ht="15" customHeight="1" x14ac:dyDescent="0.25">
      <c r="A466" s="15">
        <v>465</v>
      </c>
      <c r="B466" s="15" t="s">
        <v>1580</v>
      </c>
      <c r="C466" s="15" t="s">
        <v>1581</v>
      </c>
      <c r="D466" s="15" t="s">
        <v>1582</v>
      </c>
      <c r="E466" s="15" t="s">
        <v>766</v>
      </c>
      <c r="F466" s="41">
        <v>1</v>
      </c>
      <c r="G466" s="42">
        <v>10.6</v>
      </c>
      <c r="H466" s="43">
        <v>0.01</v>
      </c>
      <c r="I466" s="41" t="s">
        <v>63</v>
      </c>
      <c r="J466" s="16">
        <f t="shared" si="14"/>
        <v>10.494</v>
      </c>
      <c r="K466" s="16">
        <f>IF(Q466="",0,IF(SUMPRODUCT(('Returns &amp; Refunds'!$A$6:$A$11=C466)*('Returns &amp; Refunds'!$H$6:$H$11="Confirmed Good — Remove Charge"))&gt;0,0,Q466))</f>
        <v>10.494</v>
      </c>
      <c r="L466" s="16">
        <v>15</v>
      </c>
      <c r="M466" s="28">
        <v>14.9</v>
      </c>
      <c r="N466" s="29">
        <v>6.7000000000000002E-3</v>
      </c>
      <c r="O466" s="44" t="s">
        <v>62</v>
      </c>
      <c r="P466" s="15"/>
      <c r="Q466" s="16">
        <f t="shared" si="15"/>
        <v>10.494</v>
      </c>
    </row>
    <row r="467" spans="1:17" ht="15" customHeight="1" x14ac:dyDescent="0.25">
      <c r="A467" s="15">
        <v>466</v>
      </c>
      <c r="B467" s="15" t="s">
        <v>1583</v>
      </c>
      <c r="C467" s="15" t="s">
        <v>1584</v>
      </c>
      <c r="D467" s="15" t="s">
        <v>1585</v>
      </c>
      <c r="E467" s="15" t="s">
        <v>159</v>
      </c>
      <c r="F467" s="41">
        <v>2</v>
      </c>
      <c r="G467" s="42">
        <v>15</v>
      </c>
      <c r="H467" s="43">
        <v>0.01</v>
      </c>
      <c r="I467" s="41" t="s">
        <v>63</v>
      </c>
      <c r="J467" s="16">
        <f t="shared" si="14"/>
        <v>14.85</v>
      </c>
      <c r="K467" s="16">
        <f>IF(Q467="",0,IF(SUMPRODUCT(('Returns &amp; Refunds'!$A$6:$A$11=C467)*('Returns &amp; Refunds'!$H$6:$H$11="Confirmed Good — Remove Charge"))&gt;0,0,Q467))</f>
        <v>29.7</v>
      </c>
      <c r="L467" s="16">
        <v>20.9</v>
      </c>
      <c r="M467" s="28">
        <v>20.7</v>
      </c>
      <c r="N467" s="29">
        <v>9.5999999999999992E-3</v>
      </c>
      <c r="O467" s="44" t="s">
        <v>62</v>
      </c>
      <c r="P467" s="15"/>
      <c r="Q467" s="16">
        <f t="shared" si="15"/>
        <v>29.7</v>
      </c>
    </row>
    <row r="468" spans="1:17" ht="15" customHeight="1" x14ac:dyDescent="0.25">
      <c r="A468" s="15">
        <v>467</v>
      </c>
      <c r="B468" s="15" t="s">
        <v>1586</v>
      </c>
      <c r="C468" s="15" t="s">
        <v>1587</v>
      </c>
      <c r="D468" s="15" t="s">
        <v>1588</v>
      </c>
      <c r="E468" s="15" t="s">
        <v>1589</v>
      </c>
      <c r="F468" s="41">
        <v>1</v>
      </c>
      <c r="G468" s="42">
        <v>12.4</v>
      </c>
      <c r="H468" s="43">
        <v>0.02</v>
      </c>
      <c r="I468" s="41" t="s">
        <v>63</v>
      </c>
      <c r="J468" s="16">
        <f t="shared" si="14"/>
        <v>12.151999999999999</v>
      </c>
      <c r="K468" s="16">
        <f>IF(Q468="",0,IF(SUMPRODUCT(('Returns &amp; Refunds'!$A$6:$A$11=C468)*('Returns &amp; Refunds'!$H$6:$H$11="Confirmed Good — Remove Charge"))&gt;0,0,Q468))</f>
        <v>12.151999999999999</v>
      </c>
      <c r="L468" s="16">
        <v>17.899999999999999</v>
      </c>
      <c r="M468" s="28">
        <v>17.5</v>
      </c>
      <c r="N468" s="29">
        <v>2.23E-2</v>
      </c>
      <c r="O468" s="44" t="s">
        <v>62</v>
      </c>
      <c r="P468" s="15"/>
      <c r="Q468" s="16">
        <f t="shared" si="15"/>
        <v>12.151999999999999</v>
      </c>
    </row>
    <row r="469" spans="1:17" ht="15" customHeight="1" x14ac:dyDescent="0.25">
      <c r="A469" s="15">
        <v>468</v>
      </c>
      <c r="B469" s="15" t="s">
        <v>1590</v>
      </c>
      <c r="C469" s="15" t="s">
        <v>1591</v>
      </c>
      <c r="D469" s="15" t="s">
        <v>1592</v>
      </c>
      <c r="E469" s="15" t="s">
        <v>1593</v>
      </c>
      <c r="F469" s="41">
        <v>1</v>
      </c>
      <c r="G469" s="42">
        <v>20.3</v>
      </c>
      <c r="H469" s="43">
        <v>0.02</v>
      </c>
      <c r="I469" s="41" t="s">
        <v>69</v>
      </c>
      <c r="J469" s="16">
        <f t="shared" si="14"/>
        <v>20.3</v>
      </c>
      <c r="K469" s="16">
        <f>IF(Q469="",0,IF(SUMPRODUCT(('Returns &amp; Refunds'!$A$6:$A$11=C469)*('Returns &amp; Refunds'!$H$6:$H$11="Confirmed Good — Remove Charge"))&gt;0,0,Q469))</f>
        <v>20.3</v>
      </c>
      <c r="L469" s="16">
        <v>27.9</v>
      </c>
      <c r="M469" s="28">
        <v>27.9</v>
      </c>
      <c r="N469" s="29">
        <v>0</v>
      </c>
      <c r="O469" s="45" t="s">
        <v>68</v>
      </c>
      <c r="P469" s="15"/>
      <c r="Q469" s="16">
        <f t="shared" si="15"/>
        <v>20.3</v>
      </c>
    </row>
    <row r="470" spans="1:17" ht="15" customHeight="1" x14ac:dyDescent="0.25">
      <c r="A470" s="15">
        <v>469</v>
      </c>
      <c r="B470" s="15" t="s">
        <v>1594</v>
      </c>
      <c r="C470" s="15" t="s">
        <v>1595</v>
      </c>
      <c r="D470" s="15" t="s">
        <v>1596</v>
      </c>
      <c r="E470" s="15" t="s">
        <v>413</v>
      </c>
      <c r="F470" s="41">
        <v>2</v>
      </c>
      <c r="G470" s="42">
        <v>10.5</v>
      </c>
      <c r="H470" s="43">
        <v>0.01</v>
      </c>
      <c r="I470" s="41" t="s">
        <v>63</v>
      </c>
      <c r="J470" s="16">
        <f t="shared" si="14"/>
        <v>10.395</v>
      </c>
      <c r="K470" s="16">
        <f>IF(Q470="",0,IF(SUMPRODUCT(('Returns &amp; Refunds'!$A$6:$A$11=C470)*('Returns &amp; Refunds'!$H$6:$H$11="Confirmed Good — Remove Charge"))&gt;0,0,Q470))</f>
        <v>20.79</v>
      </c>
      <c r="L470" s="16">
        <v>15</v>
      </c>
      <c r="M470" s="28">
        <v>14.9</v>
      </c>
      <c r="N470" s="29">
        <v>6.7000000000000002E-3</v>
      </c>
      <c r="O470" s="44" t="s">
        <v>62</v>
      </c>
      <c r="P470" s="15"/>
      <c r="Q470" s="16">
        <f t="shared" si="15"/>
        <v>20.79</v>
      </c>
    </row>
    <row r="471" spans="1:17" ht="15" customHeight="1" x14ac:dyDescent="0.25">
      <c r="A471" s="15">
        <v>470</v>
      </c>
      <c r="B471" s="15" t="s">
        <v>1597</v>
      </c>
      <c r="C471" s="15" t="s">
        <v>1598</v>
      </c>
      <c r="D471" s="15" t="s">
        <v>1599</v>
      </c>
      <c r="E471" s="15" t="s">
        <v>320</v>
      </c>
      <c r="F471" s="41">
        <v>1</v>
      </c>
      <c r="G471" s="42">
        <v>10.5</v>
      </c>
      <c r="H471" s="43">
        <v>0.01</v>
      </c>
      <c r="I471" s="41" t="s">
        <v>63</v>
      </c>
      <c r="J471" s="16">
        <f t="shared" si="14"/>
        <v>10.395</v>
      </c>
      <c r="K471" s="16">
        <f>IF(Q471="",0,IF(SUMPRODUCT(('Returns &amp; Refunds'!$A$6:$A$11=C471)*('Returns &amp; Refunds'!$H$6:$H$11="Confirmed Good — Remove Charge"))&gt;0,0,Q471))</f>
        <v>10.395</v>
      </c>
      <c r="L471" s="16">
        <v>15</v>
      </c>
      <c r="M471" s="28">
        <v>14.9</v>
      </c>
      <c r="N471" s="29">
        <v>6.7000000000000002E-3</v>
      </c>
      <c r="O471" s="44" t="s">
        <v>62</v>
      </c>
      <c r="P471" s="15"/>
      <c r="Q471" s="16">
        <f t="shared" si="15"/>
        <v>10.395</v>
      </c>
    </row>
    <row r="472" spans="1:17" ht="15" customHeight="1" x14ac:dyDescent="0.25">
      <c r="A472" s="15">
        <v>471</v>
      </c>
      <c r="B472" s="15" t="s">
        <v>1600</v>
      </c>
      <c r="C472" s="15" t="s">
        <v>1601</v>
      </c>
      <c r="D472" s="15" t="s">
        <v>1602</v>
      </c>
      <c r="E472" s="15" t="s">
        <v>309</v>
      </c>
      <c r="F472" s="41">
        <v>1</v>
      </c>
      <c r="G472" s="42">
        <v>13.2</v>
      </c>
      <c r="H472" s="43">
        <v>0.01</v>
      </c>
      <c r="I472" s="41" t="s">
        <v>63</v>
      </c>
      <c r="J472" s="16">
        <f t="shared" si="14"/>
        <v>13.068</v>
      </c>
      <c r="K472" s="16">
        <f>IF(Q472="",0,IF(SUMPRODUCT(('Returns &amp; Refunds'!$A$6:$A$11=C472)*('Returns &amp; Refunds'!$H$6:$H$11="Confirmed Good — Remove Charge"))&gt;0,0,Q472))</f>
        <v>13.068</v>
      </c>
      <c r="L472" s="16">
        <v>17.899999999999999</v>
      </c>
      <c r="M472" s="28">
        <v>17.7</v>
      </c>
      <c r="N472" s="29">
        <v>1.12E-2</v>
      </c>
      <c r="O472" s="44" t="s">
        <v>62</v>
      </c>
      <c r="P472" s="15"/>
      <c r="Q472" s="16">
        <f t="shared" si="15"/>
        <v>13.068</v>
      </c>
    </row>
    <row r="473" spans="1:17" ht="15" customHeight="1" x14ac:dyDescent="0.25">
      <c r="A473" s="15">
        <v>472</v>
      </c>
      <c r="B473" s="15" t="s">
        <v>182</v>
      </c>
      <c r="C473" s="15" t="s">
        <v>183</v>
      </c>
      <c r="D473" s="15" t="s">
        <v>1603</v>
      </c>
      <c r="E473" s="15" t="s">
        <v>179</v>
      </c>
      <c r="F473" s="41">
        <v>3</v>
      </c>
      <c r="G473" s="42">
        <v>11.3</v>
      </c>
      <c r="H473" s="43">
        <v>0.01</v>
      </c>
      <c r="I473" s="46" t="str">
        <f>IF('Pending DSP Entry'!L56="Charge Full DSP Instead","No","Yes")</f>
        <v>Yes</v>
      </c>
      <c r="J473" s="16">
        <f t="shared" si="14"/>
        <v>11.187000000000001</v>
      </c>
      <c r="K473" s="16">
        <f>IF(Q473="",0,IF(SUMPRODUCT(('Returns &amp; Refunds'!$A$6:$A$11=C473)*('Returns &amp; Refunds'!$H$6:$H$11="Confirmed Good — Remove Charge"))&gt;0,0,Q473))</f>
        <v>33.561000000000007</v>
      </c>
      <c r="L473" s="16">
        <v>15.9</v>
      </c>
      <c r="M473" s="28">
        <v>15.54</v>
      </c>
      <c r="N473" s="29">
        <v>2.2599999999999999E-2</v>
      </c>
      <c r="O473" s="38" t="s">
        <v>129</v>
      </c>
      <c r="P473" s="47" t="str">
        <f>"Wrong rate set by reseller — decision at Pending DSP Entry section D, row 56"</f>
        <v>Wrong rate set by reseller — decision at Pending DSP Entry section D, row 56</v>
      </c>
      <c r="Q473" s="16">
        <f t="shared" si="15"/>
        <v>33.561000000000007</v>
      </c>
    </row>
    <row r="474" spans="1:17" ht="15" customHeight="1" x14ac:dyDescent="0.25">
      <c r="A474" s="15">
        <v>473</v>
      </c>
      <c r="B474" s="15" t="s">
        <v>1604</v>
      </c>
      <c r="C474" s="15" t="s">
        <v>1605</v>
      </c>
      <c r="D474" s="15" t="s">
        <v>1606</v>
      </c>
      <c r="E474" s="15" t="s">
        <v>361</v>
      </c>
      <c r="F474" s="41">
        <v>1</v>
      </c>
      <c r="G474" s="42">
        <v>13.1</v>
      </c>
      <c r="H474" s="43">
        <v>0.01</v>
      </c>
      <c r="I474" s="41" t="s">
        <v>63</v>
      </c>
      <c r="J474" s="16">
        <f t="shared" si="14"/>
        <v>12.968999999999999</v>
      </c>
      <c r="K474" s="16">
        <f>IF(Q474="",0,IF(SUMPRODUCT(('Returns &amp; Refunds'!$A$6:$A$11=C474)*('Returns &amp; Refunds'!$H$6:$H$11="Confirmed Good — Remove Charge"))&gt;0,0,Q474))</f>
        <v>12.968999999999999</v>
      </c>
      <c r="L474" s="16">
        <v>17.899999999999999</v>
      </c>
      <c r="M474" s="28">
        <v>17.7</v>
      </c>
      <c r="N474" s="29">
        <v>1.12E-2</v>
      </c>
      <c r="O474" s="44" t="s">
        <v>62</v>
      </c>
      <c r="P474" s="15"/>
      <c r="Q474" s="16">
        <f t="shared" si="15"/>
        <v>12.968999999999999</v>
      </c>
    </row>
    <row r="475" spans="1:17" ht="15" customHeight="1" x14ac:dyDescent="0.25">
      <c r="A475" s="15">
        <v>474</v>
      </c>
      <c r="B475" s="15" t="s">
        <v>1607</v>
      </c>
      <c r="C475" s="15" t="s">
        <v>1608</v>
      </c>
      <c r="D475" s="15" t="s">
        <v>1609</v>
      </c>
      <c r="E475" s="15" t="s">
        <v>289</v>
      </c>
      <c r="F475" s="41">
        <v>1</v>
      </c>
      <c r="G475" s="42">
        <v>13.1</v>
      </c>
      <c r="H475" s="43">
        <v>0.01</v>
      </c>
      <c r="I475" s="41" t="s">
        <v>63</v>
      </c>
      <c r="J475" s="16">
        <f t="shared" si="14"/>
        <v>12.968999999999999</v>
      </c>
      <c r="K475" s="16">
        <f>IF(Q475="",0,IF(SUMPRODUCT(('Returns &amp; Refunds'!$A$6:$A$11=C475)*('Returns &amp; Refunds'!$H$6:$H$11="Confirmed Good — Remove Charge"))&gt;0,0,Q475))</f>
        <v>12.968999999999999</v>
      </c>
      <c r="L475" s="16">
        <v>17.899999999999999</v>
      </c>
      <c r="M475" s="28">
        <v>17.7</v>
      </c>
      <c r="N475" s="29">
        <v>1.12E-2</v>
      </c>
      <c r="O475" s="44" t="s">
        <v>62</v>
      </c>
      <c r="P475" s="15"/>
      <c r="Q475" s="16">
        <f t="shared" si="15"/>
        <v>12.968999999999999</v>
      </c>
    </row>
    <row r="476" spans="1:17" ht="15" customHeight="1" x14ac:dyDescent="0.25">
      <c r="A476" s="15">
        <v>475</v>
      </c>
      <c r="B476" s="15" t="s">
        <v>1610</v>
      </c>
      <c r="C476" s="15" t="s">
        <v>1611</v>
      </c>
      <c r="D476" s="15" t="s">
        <v>1612</v>
      </c>
      <c r="E476" s="15" t="s">
        <v>505</v>
      </c>
      <c r="F476" s="41">
        <v>1</v>
      </c>
      <c r="G476" s="42">
        <v>13.1</v>
      </c>
      <c r="H476" s="43">
        <v>0.01</v>
      </c>
      <c r="I476" s="41" t="s">
        <v>63</v>
      </c>
      <c r="J476" s="16">
        <f t="shared" si="14"/>
        <v>12.968999999999999</v>
      </c>
      <c r="K476" s="16">
        <f>IF(Q476="",0,IF(SUMPRODUCT(('Returns &amp; Refunds'!$A$6:$A$11=C476)*('Returns &amp; Refunds'!$H$6:$H$11="Confirmed Good — Remove Charge"))&gt;0,0,Q476))</f>
        <v>12.968999999999999</v>
      </c>
      <c r="L476" s="16">
        <v>17.899999999999999</v>
      </c>
      <c r="M476" s="28">
        <v>17.7</v>
      </c>
      <c r="N476" s="29">
        <v>1.12E-2</v>
      </c>
      <c r="O476" s="44" t="s">
        <v>62</v>
      </c>
      <c r="P476" s="15"/>
      <c r="Q476" s="16">
        <f t="shared" si="15"/>
        <v>12.968999999999999</v>
      </c>
    </row>
    <row r="477" spans="1:17" ht="15" customHeight="1" x14ac:dyDescent="0.25">
      <c r="A477" s="15">
        <v>476</v>
      </c>
      <c r="B477" s="15" t="s">
        <v>1613</v>
      </c>
      <c r="C477" s="15" t="s">
        <v>1614</v>
      </c>
      <c r="D477" s="15" t="s">
        <v>1615</v>
      </c>
      <c r="E477" s="15" t="s">
        <v>179</v>
      </c>
      <c r="F477" s="41">
        <v>1</v>
      </c>
      <c r="G477" s="42">
        <v>11.3</v>
      </c>
      <c r="H477" s="43">
        <v>0.01</v>
      </c>
      <c r="I477" s="41" t="s">
        <v>63</v>
      </c>
      <c r="J477" s="16">
        <f t="shared" si="14"/>
        <v>11.187000000000001</v>
      </c>
      <c r="K477" s="16">
        <f>IF(Q477="",0,IF(SUMPRODUCT(('Returns &amp; Refunds'!$A$6:$A$11=C477)*('Returns &amp; Refunds'!$H$6:$H$11="Confirmed Good — Remove Charge"))&gt;0,0,Q477))</f>
        <v>11.187000000000001</v>
      </c>
      <c r="L477" s="16">
        <v>15.9</v>
      </c>
      <c r="M477" s="28">
        <v>15.7</v>
      </c>
      <c r="N477" s="29">
        <v>1.26E-2</v>
      </c>
      <c r="O477" s="44" t="s">
        <v>62</v>
      </c>
      <c r="P477" s="15"/>
      <c r="Q477" s="16">
        <f t="shared" si="15"/>
        <v>11.187000000000001</v>
      </c>
    </row>
    <row r="478" spans="1:17" ht="15" customHeight="1" x14ac:dyDescent="0.25">
      <c r="A478" s="15">
        <v>477</v>
      </c>
      <c r="B478" s="15" t="s">
        <v>1616</v>
      </c>
      <c r="C478" s="15" t="s">
        <v>1617</v>
      </c>
      <c r="D478" s="15" t="s">
        <v>1618</v>
      </c>
      <c r="E478" s="15" t="s">
        <v>209</v>
      </c>
      <c r="F478" s="41">
        <v>1</v>
      </c>
      <c r="G478" s="42">
        <v>6.5</v>
      </c>
      <c r="H478" s="43">
        <v>0.05</v>
      </c>
      <c r="I478" s="41" t="s">
        <v>63</v>
      </c>
      <c r="J478" s="16">
        <f t="shared" si="14"/>
        <v>6.1749999999999998</v>
      </c>
      <c r="K478" s="16">
        <f>IF(Q478="",0,IF(SUMPRODUCT(('Returns &amp; Refunds'!$A$6:$A$11=C478)*('Returns &amp; Refunds'!$H$6:$H$11="Confirmed Good — Remove Charge"))&gt;0,0,Q478))</f>
        <v>6.1749999999999998</v>
      </c>
      <c r="L478" s="16">
        <v>9.9</v>
      </c>
      <c r="M478" s="28">
        <v>9.4</v>
      </c>
      <c r="N478" s="29">
        <v>5.0500000000000003E-2</v>
      </c>
      <c r="O478" s="44" t="s">
        <v>62</v>
      </c>
      <c r="P478" s="15"/>
      <c r="Q478" s="16">
        <f t="shared" si="15"/>
        <v>6.1749999999999998</v>
      </c>
    </row>
    <row r="479" spans="1:17" ht="15" customHeight="1" x14ac:dyDescent="0.25">
      <c r="A479" s="15">
        <v>478</v>
      </c>
      <c r="B479" s="15" t="s">
        <v>1619</v>
      </c>
      <c r="C479" s="15" t="s">
        <v>1620</v>
      </c>
      <c r="D479" s="15" t="s">
        <v>1621</v>
      </c>
      <c r="E479" s="15" t="s">
        <v>896</v>
      </c>
      <c r="F479" s="41">
        <v>1</v>
      </c>
      <c r="G479" s="42">
        <v>12.4</v>
      </c>
      <c r="H479" s="43">
        <v>0.08</v>
      </c>
      <c r="I479" s="41" t="s">
        <v>63</v>
      </c>
      <c r="J479" s="16">
        <f t="shared" si="14"/>
        <v>11.408000000000001</v>
      </c>
      <c r="K479" s="16">
        <f>IF(Q479="",0,IF(SUMPRODUCT(('Returns &amp; Refunds'!$A$6:$A$11=C479)*('Returns &amp; Refunds'!$H$6:$H$11="Confirmed Good — Remove Charge"))&gt;0,0,Q479))</f>
        <v>11.408000000000001</v>
      </c>
      <c r="L479" s="16">
        <v>19.899999999999999</v>
      </c>
      <c r="M479" s="28">
        <v>18.3</v>
      </c>
      <c r="N479" s="29">
        <v>8.0399999999999999E-2</v>
      </c>
      <c r="O479" s="44" t="s">
        <v>62</v>
      </c>
      <c r="P479" s="15"/>
      <c r="Q479" s="16">
        <f t="shared" si="15"/>
        <v>11.408000000000001</v>
      </c>
    </row>
    <row r="480" spans="1:17" ht="15" customHeight="1" x14ac:dyDescent="0.25">
      <c r="A480" s="15">
        <v>479</v>
      </c>
      <c r="B480" s="15" t="s">
        <v>1622</v>
      </c>
      <c r="C480" s="15" t="s">
        <v>1623</v>
      </c>
      <c r="D480" s="15" t="s">
        <v>1624</v>
      </c>
      <c r="E480" s="15" t="s">
        <v>433</v>
      </c>
      <c r="F480" s="41">
        <v>1</v>
      </c>
      <c r="G480" s="42">
        <v>41.5</v>
      </c>
      <c r="H480" s="43">
        <v>0.01</v>
      </c>
      <c r="I480" s="41" t="s">
        <v>63</v>
      </c>
      <c r="J480" s="16">
        <f t="shared" si="14"/>
        <v>41.085000000000001</v>
      </c>
      <c r="K480" s="16">
        <f>IF(Q480="",0,IF(SUMPRODUCT(('Returns &amp; Refunds'!$A$6:$A$11=C480)*('Returns &amp; Refunds'!$H$6:$H$11="Confirmed Good — Remove Charge"))&gt;0,0,Q480))</f>
        <v>41.085000000000001</v>
      </c>
      <c r="L480" s="16">
        <v>54.9</v>
      </c>
      <c r="M480" s="28">
        <v>54.4</v>
      </c>
      <c r="N480" s="29">
        <v>9.1000000000000004E-3</v>
      </c>
      <c r="O480" s="44" t="s">
        <v>62</v>
      </c>
      <c r="P480" s="15"/>
      <c r="Q480" s="16">
        <f t="shared" si="15"/>
        <v>41.085000000000001</v>
      </c>
    </row>
    <row r="481" spans="1:17" ht="15" customHeight="1" x14ac:dyDescent="0.25">
      <c r="A481" s="15">
        <v>480</v>
      </c>
      <c r="B481" s="15" t="s">
        <v>1622</v>
      </c>
      <c r="C481" s="15" t="s">
        <v>1623</v>
      </c>
      <c r="D481" s="15" t="s">
        <v>1624</v>
      </c>
      <c r="E481" s="15" t="s">
        <v>1625</v>
      </c>
      <c r="F481" s="41">
        <v>1</v>
      </c>
      <c r="G481" s="42">
        <v>32.200000000000003</v>
      </c>
      <c r="H481" s="43">
        <v>0.3</v>
      </c>
      <c r="I481" s="41" t="s">
        <v>63</v>
      </c>
      <c r="J481" s="16">
        <f t="shared" si="14"/>
        <v>22.54</v>
      </c>
      <c r="K481" s="16">
        <f>IF(Q481="",0,IF(SUMPRODUCT(('Returns &amp; Refunds'!$A$6:$A$11=C481)*('Returns &amp; Refunds'!$H$6:$H$11="Confirmed Good — Remove Charge"))&gt;0,0,Q481))</f>
        <v>22.54</v>
      </c>
      <c r="L481" s="16">
        <v>47.9</v>
      </c>
      <c r="M481" s="28">
        <v>33.5</v>
      </c>
      <c r="N481" s="29">
        <v>0.30059999999999998</v>
      </c>
      <c r="O481" s="44" t="s">
        <v>62</v>
      </c>
      <c r="P481" s="15"/>
      <c r="Q481" s="16">
        <f t="shared" si="15"/>
        <v>22.54</v>
      </c>
    </row>
    <row r="482" spans="1:17" ht="15" customHeight="1" x14ac:dyDescent="0.25">
      <c r="A482" s="15">
        <v>481</v>
      </c>
      <c r="B482" s="15" t="s">
        <v>1626</v>
      </c>
      <c r="C482" s="15" t="s">
        <v>1627</v>
      </c>
      <c r="D482" s="15" t="s">
        <v>1628</v>
      </c>
      <c r="E482" s="15" t="s">
        <v>1629</v>
      </c>
      <c r="F482" s="41">
        <v>1</v>
      </c>
      <c r="G482" s="42">
        <v>38.200000000000003</v>
      </c>
      <c r="H482" s="43">
        <v>0.8</v>
      </c>
      <c r="I482" s="41" t="s">
        <v>63</v>
      </c>
      <c r="J482" s="16">
        <f t="shared" si="14"/>
        <v>7.6399999999999988</v>
      </c>
      <c r="K482" s="16">
        <f>IF(Q482="",0,IF(SUMPRODUCT(('Returns &amp; Refunds'!$A$6:$A$11=C482)*('Returns &amp; Refunds'!$H$6:$H$11="Confirmed Good — Remove Charge"))&gt;0,0,Q482))</f>
        <v>7.6399999999999988</v>
      </c>
      <c r="L482" s="16">
        <v>47.9</v>
      </c>
      <c r="M482" s="28">
        <v>9.6</v>
      </c>
      <c r="N482" s="29">
        <v>0.79959999999999998</v>
      </c>
      <c r="O482" s="44" t="s">
        <v>62</v>
      </c>
      <c r="P482" s="15"/>
      <c r="Q482" s="16">
        <f t="shared" si="15"/>
        <v>7.6399999999999988</v>
      </c>
    </row>
    <row r="483" spans="1:17" ht="15" customHeight="1" x14ac:dyDescent="0.25">
      <c r="A483" s="15">
        <v>482</v>
      </c>
      <c r="B483" s="15" t="s">
        <v>103</v>
      </c>
      <c r="C483" s="15" t="s">
        <v>104</v>
      </c>
      <c r="D483" s="15" t="s">
        <v>1630</v>
      </c>
      <c r="E483" s="15" t="s">
        <v>1631</v>
      </c>
      <c r="F483" s="41">
        <v>1</v>
      </c>
      <c r="G483" s="42">
        <v>39.5</v>
      </c>
      <c r="H483" s="43">
        <v>0.03</v>
      </c>
      <c r="I483" s="41" t="s">
        <v>69</v>
      </c>
      <c r="J483" s="16">
        <f t="shared" si="14"/>
        <v>39.5</v>
      </c>
      <c r="K483" s="16">
        <f>IF(Q483="",0,IF(SUMPRODUCT(('Returns &amp; Refunds'!$A$6:$A$11=C483)*('Returns &amp; Refunds'!$H$6:$H$11="Confirmed Good — Remove Charge"))&gt;0,0,Q483))</f>
        <v>39.5</v>
      </c>
      <c r="L483" s="16">
        <v>59.9</v>
      </c>
      <c r="M483" s="28">
        <v>59.9</v>
      </c>
      <c r="N483" s="29">
        <v>0</v>
      </c>
      <c r="O483" s="45" t="s">
        <v>68</v>
      </c>
      <c r="P483" s="15"/>
      <c r="Q483" s="16">
        <f t="shared" si="15"/>
        <v>39.5</v>
      </c>
    </row>
    <row r="484" spans="1:17" ht="15" customHeight="1" x14ac:dyDescent="0.25">
      <c r="A484" s="15">
        <v>483</v>
      </c>
      <c r="B484" s="15" t="s">
        <v>103</v>
      </c>
      <c r="C484" s="15" t="s">
        <v>104</v>
      </c>
      <c r="D484" s="15" t="s">
        <v>1630</v>
      </c>
      <c r="E484" s="15" t="s">
        <v>105</v>
      </c>
      <c r="F484" s="41">
        <v>1</v>
      </c>
      <c r="G484" s="42">
        <v>35.299999999999997</v>
      </c>
      <c r="H484" s="43">
        <v>0.08</v>
      </c>
      <c r="I484" s="41" t="s">
        <v>63</v>
      </c>
      <c r="J484" s="16">
        <f t="shared" si="14"/>
        <v>32.475999999999999</v>
      </c>
      <c r="K484" s="16">
        <f>IF(Q484="",0,IF(SUMPRODUCT(('Returns &amp; Refunds'!$A$6:$A$11=C484)*('Returns &amp; Refunds'!$H$6:$H$11="Confirmed Good — Remove Charge"))&gt;0,0,Q484))</f>
        <v>32.475999999999999</v>
      </c>
      <c r="L484" s="16">
        <v>44.9</v>
      </c>
      <c r="M484" s="28">
        <v>41.3</v>
      </c>
      <c r="N484" s="29">
        <v>8.0199999999999994E-2</v>
      </c>
      <c r="O484" s="44" t="s">
        <v>62</v>
      </c>
      <c r="P484" s="15"/>
      <c r="Q484" s="16">
        <f t="shared" si="15"/>
        <v>32.475999999999999</v>
      </c>
    </row>
    <row r="485" spans="1:17" ht="15" customHeight="1" x14ac:dyDescent="0.25">
      <c r="A485" s="15">
        <v>484</v>
      </c>
      <c r="B485" s="15" t="s">
        <v>1632</v>
      </c>
      <c r="C485" s="15" t="s">
        <v>1633</v>
      </c>
      <c r="D485" s="15" t="s">
        <v>1634</v>
      </c>
      <c r="E485" s="15" t="s">
        <v>505</v>
      </c>
      <c r="F485" s="41">
        <v>1</v>
      </c>
      <c r="G485" s="42">
        <v>13.1</v>
      </c>
      <c r="H485" s="43">
        <v>0.01</v>
      </c>
      <c r="I485" s="41" t="s">
        <v>63</v>
      </c>
      <c r="J485" s="16">
        <f t="shared" si="14"/>
        <v>12.968999999999999</v>
      </c>
      <c r="K485" s="16">
        <f>IF(Q485="",0,IF(SUMPRODUCT(('Returns &amp; Refunds'!$A$6:$A$11=C485)*('Returns &amp; Refunds'!$H$6:$H$11="Confirmed Good — Remove Charge"))&gt;0,0,Q485))</f>
        <v>12.968999999999999</v>
      </c>
      <c r="L485" s="16">
        <v>17.899999999999999</v>
      </c>
      <c r="M485" s="28">
        <v>17.7</v>
      </c>
      <c r="N485" s="29">
        <v>1.12E-2</v>
      </c>
      <c r="O485" s="44" t="s">
        <v>62</v>
      </c>
      <c r="P485" s="15"/>
      <c r="Q485" s="16">
        <f t="shared" si="15"/>
        <v>12.968999999999999</v>
      </c>
    </row>
    <row r="486" spans="1:17" ht="15" customHeight="1" x14ac:dyDescent="0.25">
      <c r="A486" s="15">
        <v>485</v>
      </c>
      <c r="B486" s="15" t="s">
        <v>1635</v>
      </c>
      <c r="C486" s="15" t="s">
        <v>1636</v>
      </c>
      <c r="D486" s="15" t="s">
        <v>1637</v>
      </c>
      <c r="E486" s="15" t="s">
        <v>1638</v>
      </c>
      <c r="F486" s="41">
        <v>1</v>
      </c>
      <c r="G486" s="42">
        <v>13.6</v>
      </c>
      <c r="H486" s="43">
        <v>0.01</v>
      </c>
      <c r="I486" s="41" t="s">
        <v>63</v>
      </c>
      <c r="J486" s="16">
        <f t="shared" si="14"/>
        <v>13.464</v>
      </c>
      <c r="K486" s="16">
        <f>IF(Q486="",0,IF(SUMPRODUCT(('Returns &amp; Refunds'!$A$6:$A$11=C486)*('Returns &amp; Refunds'!$H$6:$H$11="Confirmed Good — Remove Charge"))&gt;0,0,Q486))</f>
        <v>13.464</v>
      </c>
      <c r="L486" s="16">
        <v>17.899999999999999</v>
      </c>
      <c r="M486" s="28">
        <v>17.7</v>
      </c>
      <c r="N486" s="29">
        <v>1.12E-2</v>
      </c>
      <c r="O486" s="44" t="s">
        <v>62</v>
      </c>
      <c r="P486" s="15"/>
      <c r="Q486" s="16">
        <f t="shared" si="15"/>
        <v>13.464</v>
      </c>
    </row>
    <row r="487" spans="1:17" ht="15" customHeight="1" x14ac:dyDescent="0.25">
      <c r="A487" s="15">
        <v>486</v>
      </c>
      <c r="B487" s="15" t="s">
        <v>1639</v>
      </c>
      <c r="C487" s="15" t="s">
        <v>1640</v>
      </c>
      <c r="D487" s="15" t="s">
        <v>1641</v>
      </c>
      <c r="E487" s="15" t="s">
        <v>1642</v>
      </c>
      <c r="F487" s="41">
        <v>1</v>
      </c>
      <c r="G487" s="42">
        <v>19.899999999999999</v>
      </c>
      <c r="H487" s="43">
        <v>0.02</v>
      </c>
      <c r="I487" s="41" t="s">
        <v>69</v>
      </c>
      <c r="J487" s="16">
        <f t="shared" si="14"/>
        <v>19.899999999999999</v>
      </c>
      <c r="K487" s="16">
        <f>IF(Q487="",0,IF(SUMPRODUCT(('Returns &amp; Refunds'!$A$6:$A$11=C487)*('Returns &amp; Refunds'!$H$6:$H$11="Confirmed Good — Remove Charge"))&gt;0,0,Q487))</f>
        <v>19.899999999999999</v>
      </c>
      <c r="L487" s="16">
        <v>27.9</v>
      </c>
      <c r="M487" s="28">
        <v>27.9</v>
      </c>
      <c r="N487" s="29">
        <v>0</v>
      </c>
      <c r="O487" s="45" t="s">
        <v>68</v>
      </c>
      <c r="P487" s="15"/>
      <c r="Q487" s="16">
        <f t="shared" si="15"/>
        <v>19.899999999999999</v>
      </c>
    </row>
    <row r="488" spans="1:17" ht="15" customHeight="1" x14ac:dyDescent="0.25">
      <c r="A488" s="15">
        <v>487</v>
      </c>
      <c r="B488" s="15" t="s">
        <v>1643</v>
      </c>
      <c r="C488" s="15" t="s">
        <v>1644</v>
      </c>
      <c r="D488" s="15" t="s">
        <v>1645</v>
      </c>
      <c r="E488" s="15" t="s">
        <v>413</v>
      </c>
      <c r="F488" s="41">
        <v>2</v>
      </c>
      <c r="G488" s="42">
        <v>10.5</v>
      </c>
      <c r="H488" s="43">
        <v>0.01</v>
      </c>
      <c r="I488" s="41" t="s">
        <v>63</v>
      </c>
      <c r="J488" s="16">
        <f t="shared" si="14"/>
        <v>10.395</v>
      </c>
      <c r="K488" s="16">
        <f>IF(Q488="",0,IF(SUMPRODUCT(('Returns &amp; Refunds'!$A$6:$A$11=C488)*('Returns &amp; Refunds'!$H$6:$H$11="Confirmed Good — Remove Charge"))&gt;0,0,Q488))</f>
        <v>20.79</v>
      </c>
      <c r="L488" s="16">
        <v>15</v>
      </c>
      <c r="M488" s="28">
        <v>14.9</v>
      </c>
      <c r="N488" s="29">
        <v>6.7000000000000002E-3</v>
      </c>
      <c r="O488" s="44" t="s">
        <v>62</v>
      </c>
      <c r="P488" s="15"/>
      <c r="Q488" s="16">
        <f t="shared" si="15"/>
        <v>20.79</v>
      </c>
    </row>
    <row r="489" spans="1:17" ht="15" customHeight="1" x14ac:dyDescent="0.25">
      <c r="A489" s="15">
        <v>488</v>
      </c>
      <c r="B489" s="15" t="s">
        <v>1646</v>
      </c>
      <c r="C489" s="15" t="s">
        <v>1647</v>
      </c>
      <c r="D489" s="15" t="s">
        <v>1648</v>
      </c>
      <c r="E489" s="15" t="s">
        <v>233</v>
      </c>
      <c r="F489" s="41">
        <v>1</v>
      </c>
      <c r="G489" s="42">
        <v>10.7</v>
      </c>
      <c r="H489" s="43">
        <v>0.01</v>
      </c>
      <c r="I489" s="41" t="s">
        <v>63</v>
      </c>
      <c r="J489" s="16">
        <f t="shared" si="14"/>
        <v>10.593</v>
      </c>
      <c r="K489" s="16">
        <f>IF(Q489="",0,IF(SUMPRODUCT(('Returns &amp; Refunds'!$A$6:$A$11=C489)*('Returns &amp; Refunds'!$H$6:$H$11="Confirmed Good — Remove Charge"))&gt;0,0,Q489))</f>
        <v>10.593</v>
      </c>
      <c r="L489" s="16">
        <v>15</v>
      </c>
      <c r="M489" s="28">
        <v>14.9</v>
      </c>
      <c r="N489" s="29">
        <v>6.7000000000000002E-3</v>
      </c>
      <c r="O489" s="44" t="s">
        <v>62</v>
      </c>
      <c r="P489" s="15"/>
      <c r="Q489" s="16">
        <f t="shared" si="15"/>
        <v>10.593</v>
      </c>
    </row>
    <row r="490" spans="1:17" ht="15" customHeight="1" x14ac:dyDescent="0.25">
      <c r="A490" s="15">
        <v>489</v>
      </c>
      <c r="B490" s="15" t="s">
        <v>1649</v>
      </c>
      <c r="C490" s="15" t="s">
        <v>1650</v>
      </c>
      <c r="D490" s="15" t="s">
        <v>1651</v>
      </c>
      <c r="E490" s="15" t="s">
        <v>1652</v>
      </c>
      <c r="F490" s="41">
        <v>1</v>
      </c>
      <c r="G490" s="42">
        <v>19</v>
      </c>
      <c r="H490" s="43">
        <v>0.05</v>
      </c>
      <c r="I490" s="41" t="s">
        <v>63</v>
      </c>
      <c r="J490" s="16">
        <f t="shared" si="14"/>
        <v>18.05</v>
      </c>
      <c r="K490" s="16">
        <f>IF(Q490="",0,IF(SUMPRODUCT(('Returns &amp; Refunds'!$A$6:$A$11=C490)*('Returns &amp; Refunds'!$H$6:$H$11="Confirmed Good — Remove Charge"))&gt;0,0,Q490))</f>
        <v>18.05</v>
      </c>
      <c r="L490" s="16">
        <v>26.9</v>
      </c>
      <c r="M490" s="28">
        <v>25.6</v>
      </c>
      <c r="N490" s="29">
        <v>4.8300000000000003E-2</v>
      </c>
      <c r="O490" s="44" t="s">
        <v>62</v>
      </c>
      <c r="P490" s="15"/>
      <c r="Q490" s="16">
        <f t="shared" si="15"/>
        <v>18.05</v>
      </c>
    </row>
    <row r="491" spans="1:17" ht="15" customHeight="1" x14ac:dyDescent="0.25">
      <c r="A491" s="15">
        <v>490</v>
      </c>
      <c r="B491" s="15" t="s">
        <v>1653</v>
      </c>
      <c r="C491" s="15" t="s">
        <v>1654</v>
      </c>
      <c r="D491" s="15" t="s">
        <v>1655</v>
      </c>
      <c r="E491" s="15" t="s">
        <v>383</v>
      </c>
      <c r="F491" s="41">
        <v>1</v>
      </c>
      <c r="G491" s="42">
        <v>14.8</v>
      </c>
      <c r="H491" s="43">
        <v>0.01</v>
      </c>
      <c r="I491" s="41" t="s">
        <v>63</v>
      </c>
      <c r="J491" s="16">
        <f t="shared" si="14"/>
        <v>14.652000000000001</v>
      </c>
      <c r="K491" s="16">
        <f>IF(Q491="",0,IF(SUMPRODUCT(('Returns &amp; Refunds'!$A$6:$A$11=C491)*('Returns &amp; Refunds'!$H$6:$H$11="Confirmed Good — Remove Charge"))&gt;0,0,Q491))</f>
        <v>14.652000000000001</v>
      </c>
      <c r="L491" s="16">
        <v>20.9</v>
      </c>
      <c r="M491" s="28">
        <v>20.7</v>
      </c>
      <c r="N491" s="29">
        <v>9.5999999999999992E-3</v>
      </c>
      <c r="O491" s="44" t="s">
        <v>62</v>
      </c>
      <c r="P491" s="15"/>
      <c r="Q491" s="16">
        <f t="shared" si="15"/>
        <v>14.652000000000001</v>
      </c>
    </row>
    <row r="492" spans="1:17" ht="15" customHeight="1" x14ac:dyDescent="0.25">
      <c r="A492" s="15">
        <v>491</v>
      </c>
      <c r="B492" s="15" t="s">
        <v>1656</v>
      </c>
      <c r="C492" s="15" t="s">
        <v>1657</v>
      </c>
      <c r="D492" s="15" t="s">
        <v>1658</v>
      </c>
      <c r="E492" s="15" t="s">
        <v>236</v>
      </c>
      <c r="F492" s="41">
        <v>10</v>
      </c>
      <c r="G492" s="42">
        <v>10.7</v>
      </c>
      <c r="H492" s="43">
        <v>0.01</v>
      </c>
      <c r="I492" s="41" t="s">
        <v>63</v>
      </c>
      <c r="J492" s="16">
        <f t="shared" si="14"/>
        <v>10.593</v>
      </c>
      <c r="K492" s="16">
        <f>IF(Q492="",0,IF(SUMPRODUCT(('Returns &amp; Refunds'!$A$6:$A$11=C492)*('Returns &amp; Refunds'!$H$6:$H$11="Confirmed Good — Remove Charge"))&gt;0,0,Q492))</f>
        <v>105.93</v>
      </c>
      <c r="L492" s="16">
        <v>15.45</v>
      </c>
      <c r="M492" s="28">
        <v>15.3</v>
      </c>
      <c r="N492" s="29">
        <v>9.7000000000000003E-3</v>
      </c>
      <c r="O492" s="44" t="s">
        <v>62</v>
      </c>
      <c r="P492" s="15"/>
      <c r="Q492" s="16">
        <f t="shared" si="15"/>
        <v>105.93</v>
      </c>
    </row>
    <row r="493" spans="1:17" ht="15" customHeight="1" x14ac:dyDescent="0.25">
      <c r="A493" s="15">
        <v>492</v>
      </c>
      <c r="B493" s="15" t="s">
        <v>1656</v>
      </c>
      <c r="C493" s="15" t="s">
        <v>1657</v>
      </c>
      <c r="D493" s="15" t="s">
        <v>1658</v>
      </c>
      <c r="E493" s="15" t="s">
        <v>762</v>
      </c>
      <c r="F493" s="41">
        <v>10</v>
      </c>
      <c r="G493" s="42">
        <v>11.3</v>
      </c>
      <c r="H493" s="43">
        <v>0.01</v>
      </c>
      <c r="I493" s="41" t="s">
        <v>63</v>
      </c>
      <c r="J493" s="16">
        <f t="shared" si="14"/>
        <v>11.187000000000001</v>
      </c>
      <c r="K493" s="16">
        <f>IF(Q493="",0,IF(SUMPRODUCT(('Returns &amp; Refunds'!$A$6:$A$11=C493)*('Returns &amp; Refunds'!$H$6:$H$11="Confirmed Good — Remove Charge"))&gt;0,0,Q493))</f>
        <v>111.87</v>
      </c>
      <c r="L493" s="16">
        <v>15.9</v>
      </c>
      <c r="M493" s="28">
        <v>15.7</v>
      </c>
      <c r="N493" s="29">
        <v>1.26E-2</v>
      </c>
      <c r="O493" s="44" t="s">
        <v>62</v>
      </c>
      <c r="P493" s="15"/>
      <c r="Q493" s="16">
        <f t="shared" si="15"/>
        <v>111.87</v>
      </c>
    </row>
    <row r="494" spans="1:17" ht="15" customHeight="1" x14ac:dyDescent="0.25">
      <c r="A494" s="15">
        <v>493</v>
      </c>
      <c r="B494" s="15" t="s">
        <v>1656</v>
      </c>
      <c r="C494" s="15" t="s">
        <v>1657</v>
      </c>
      <c r="D494" s="15" t="s">
        <v>1658</v>
      </c>
      <c r="E494" s="15" t="s">
        <v>179</v>
      </c>
      <c r="F494" s="41">
        <v>10</v>
      </c>
      <c r="G494" s="42">
        <v>11.3</v>
      </c>
      <c r="H494" s="43">
        <v>0.01</v>
      </c>
      <c r="I494" s="41" t="s">
        <v>63</v>
      </c>
      <c r="J494" s="16">
        <f t="shared" si="14"/>
        <v>11.187000000000001</v>
      </c>
      <c r="K494" s="16">
        <f>IF(Q494="",0,IF(SUMPRODUCT(('Returns &amp; Refunds'!$A$6:$A$11=C494)*('Returns &amp; Refunds'!$H$6:$H$11="Confirmed Good — Remove Charge"))&gt;0,0,Q494))</f>
        <v>111.87</v>
      </c>
      <c r="L494" s="16">
        <v>15.9</v>
      </c>
      <c r="M494" s="28">
        <v>15.7</v>
      </c>
      <c r="N494" s="29">
        <v>1.26E-2</v>
      </c>
      <c r="O494" s="44" t="s">
        <v>62</v>
      </c>
      <c r="P494" s="15"/>
      <c r="Q494" s="16">
        <f t="shared" si="15"/>
        <v>111.87</v>
      </c>
    </row>
    <row r="495" spans="1:17" ht="15" customHeight="1" x14ac:dyDescent="0.25">
      <c r="A495" s="15">
        <v>494</v>
      </c>
      <c r="B495" s="15" t="s">
        <v>1656</v>
      </c>
      <c r="C495" s="15" t="s">
        <v>1657</v>
      </c>
      <c r="D495" s="15" t="s">
        <v>1658</v>
      </c>
      <c r="E495" s="15" t="s">
        <v>565</v>
      </c>
      <c r="F495" s="41">
        <v>10</v>
      </c>
      <c r="G495" s="42">
        <v>10.6</v>
      </c>
      <c r="H495" s="43">
        <v>0.01</v>
      </c>
      <c r="I495" s="41" t="s">
        <v>63</v>
      </c>
      <c r="J495" s="16">
        <f t="shared" si="14"/>
        <v>10.494</v>
      </c>
      <c r="K495" s="16">
        <f>IF(Q495="",0,IF(SUMPRODUCT(('Returns &amp; Refunds'!$A$6:$A$11=C495)*('Returns &amp; Refunds'!$H$6:$H$11="Confirmed Good — Remove Charge"))&gt;0,0,Q495))</f>
        <v>104.94</v>
      </c>
      <c r="L495" s="16">
        <v>15</v>
      </c>
      <c r="M495" s="28">
        <v>14.9</v>
      </c>
      <c r="N495" s="29">
        <v>6.7000000000000002E-3</v>
      </c>
      <c r="O495" s="44" t="s">
        <v>62</v>
      </c>
      <c r="P495" s="15"/>
      <c r="Q495" s="16">
        <f t="shared" si="15"/>
        <v>104.94</v>
      </c>
    </row>
    <row r="496" spans="1:17" ht="15" customHeight="1" x14ac:dyDescent="0.25">
      <c r="A496" s="15">
        <v>495</v>
      </c>
      <c r="B496" s="15" t="s">
        <v>1656</v>
      </c>
      <c r="C496" s="15" t="s">
        <v>1657</v>
      </c>
      <c r="D496" s="15" t="s">
        <v>1658</v>
      </c>
      <c r="E496" s="15" t="s">
        <v>766</v>
      </c>
      <c r="F496" s="41">
        <v>10</v>
      </c>
      <c r="G496" s="42">
        <v>10.6</v>
      </c>
      <c r="H496" s="43">
        <v>0.01</v>
      </c>
      <c r="I496" s="41" t="s">
        <v>63</v>
      </c>
      <c r="J496" s="16">
        <f t="shared" si="14"/>
        <v>10.494</v>
      </c>
      <c r="K496" s="16">
        <f>IF(Q496="",0,IF(SUMPRODUCT(('Returns &amp; Refunds'!$A$6:$A$11=C496)*('Returns &amp; Refunds'!$H$6:$H$11="Confirmed Good — Remove Charge"))&gt;0,0,Q496))</f>
        <v>104.94</v>
      </c>
      <c r="L496" s="16">
        <v>15</v>
      </c>
      <c r="M496" s="28">
        <v>14.9</v>
      </c>
      <c r="N496" s="29">
        <v>6.7000000000000002E-3</v>
      </c>
      <c r="O496" s="44" t="s">
        <v>62</v>
      </c>
      <c r="P496" s="15"/>
      <c r="Q496" s="16">
        <f t="shared" si="15"/>
        <v>104.94</v>
      </c>
    </row>
    <row r="497" spans="1:17" ht="15" customHeight="1" x14ac:dyDescent="0.25">
      <c r="A497" s="15">
        <v>496</v>
      </c>
      <c r="B497" s="15" t="s">
        <v>1656</v>
      </c>
      <c r="C497" s="15" t="s">
        <v>1657</v>
      </c>
      <c r="D497" s="15" t="s">
        <v>1658</v>
      </c>
      <c r="E497" s="15" t="s">
        <v>236</v>
      </c>
      <c r="F497" s="41">
        <v>10</v>
      </c>
      <c r="G497" s="42">
        <v>10.7</v>
      </c>
      <c r="H497" s="43">
        <v>0.01</v>
      </c>
      <c r="I497" s="41" t="s">
        <v>63</v>
      </c>
      <c r="J497" s="16">
        <f t="shared" si="14"/>
        <v>10.593</v>
      </c>
      <c r="K497" s="16">
        <f>IF(Q497="",0,IF(SUMPRODUCT(('Returns &amp; Refunds'!$A$6:$A$11=C497)*('Returns &amp; Refunds'!$H$6:$H$11="Confirmed Good — Remove Charge"))&gt;0,0,Q497))</f>
        <v>105.93</v>
      </c>
      <c r="L497" s="16">
        <v>15.45</v>
      </c>
      <c r="M497" s="28">
        <v>15.3</v>
      </c>
      <c r="N497" s="29">
        <v>9.7000000000000003E-3</v>
      </c>
      <c r="O497" s="44" t="s">
        <v>62</v>
      </c>
      <c r="P497" s="15"/>
      <c r="Q497" s="16">
        <f t="shared" si="15"/>
        <v>105.93</v>
      </c>
    </row>
    <row r="498" spans="1:17" ht="15" customHeight="1" x14ac:dyDescent="0.25">
      <c r="A498" s="15">
        <v>497</v>
      </c>
      <c r="B498" s="15" t="s">
        <v>1656</v>
      </c>
      <c r="C498" s="15" t="s">
        <v>1657</v>
      </c>
      <c r="D498" s="15" t="s">
        <v>1658</v>
      </c>
      <c r="E498" s="15" t="s">
        <v>233</v>
      </c>
      <c r="F498" s="41">
        <v>10</v>
      </c>
      <c r="G498" s="42">
        <v>10.7</v>
      </c>
      <c r="H498" s="43">
        <v>0.01</v>
      </c>
      <c r="I498" s="41" t="s">
        <v>63</v>
      </c>
      <c r="J498" s="16">
        <f t="shared" si="14"/>
        <v>10.593</v>
      </c>
      <c r="K498" s="16">
        <f>IF(Q498="",0,IF(SUMPRODUCT(('Returns &amp; Refunds'!$A$6:$A$11=C498)*('Returns &amp; Refunds'!$H$6:$H$11="Confirmed Good — Remove Charge"))&gt;0,0,Q498))</f>
        <v>105.93</v>
      </c>
      <c r="L498" s="16">
        <v>15</v>
      </c>
      <c r="M498" s="28">
        <v>14.9</v>
      </c>
      <c r="N498" s="29">
        <v>6.7000000000000002E-3</v>
      </c>
      <c r="O498" s="44" t="s">
        <v>62</v>
      </c>
      <c r="P498" s="15"/>
      <c r="Q498" s="16">
        <f t="shared" si="15"/>
        <v>105.93</v>
      </c>
    </row>
    <row r="499" spans="1:17" ht="15" customHeight="1" x14ac:dyDescent="0.25">
      <c r="A499" s="15">
        <v>498</v>
      </c>
      <c r="B499" s="15" t="s">
        <v>1659</v>
      </c>
      <c r="C499" s="15" t="s">
        <v>1660</v>
      </c>
      <c r="D499" s="15" t="s">
        <v>1661</v>
      </c>
      <c r="E499" s="15" t="s">
        <v>1662</v>
      </c>
      <c r="F499" s="41">
        <v>1</v>
      </c>
      <c r="G499" s="42">
        <v>30.6</v>
      </c>
      <c r="H499" s="43">
        <v>0.05</v>
      </c>
      <c r="I499" s="41" t="s">
        <v>69</v>
      </c>
      <c r="J499" s="16">
        <f t="shared" si="14"/>
        <v>30.6</v>
      </c>
      <c r="K499" s="16">
        <f>IF(Q499="",0,IF(SUMPRODUCT(('Returns &amp; Refunds'!$A$6:$A$11=C499)*('Returns &amp; Refunds'!$H$6:$H$11="Confirmed Good — Remove Charge"))&gt;0,0,Q499))</f>
        <v>30.6</v>
      </c>
      <c r="L499" s="16">
        <v>44.9</v>
      </c>
      <c r="M499" s="28">
        <v>44.9</v>
      </c>
      <c r="N499" s="29">
        <v>0</v>
      </c>
      <c r="O499" s="45" t="s">
        <v>68</v>
      </c>
      <c r="P499" s="15"/>
      <c r="Q499" s="16">
        <f t="shared" si="15"/>
        <v>30.6</v>
      </c>
    </row>
    <row r="500" spans="1:17" ht="15" customHeight="1" x14ac:dyDescent="0.25">
      <c r="A500" s="15">
        <v>499</v>
      </c>
      <c r="B500" s="15" t="s">
        <v>1663</v>
      </c>
      <c r="C500" s="15" t="s">
        <v>1664</v>
      </c>
      <c r="D500" s="15" t="s">
        <v>1665</v>
      </c>
      <c r="E500" s="15" t="s">
        <v>233</v>
      </c>
      <c r="F500" s="41">
        <v>1</v>
      </c>
      <c r="G500" s="42">
        <v>10.7</v>
      </c>
      <c r="H500" s="43">
        <v>0.01</v>
      </c>
      <c r="I500" s="41" t="s">
        <v>63</v>
      </c>
      <c r="J500" s="16">
        <f t="shared" si="14"/>
        <v>10.593</v>
      </c>
      <c r="K500" s="16">
        <f>IF(Q500="",0,IF(SUMPRODUCT(('Returns &amp; Refunds'!$A$6:$A$11=C500)*('Returns &amp; Refunds'!$H$6:$H$11="Confirmed Good — Remove Charge"))&gt;0,0,Q500))</f>
        <v>10.593</v>
      </c>
      <c r="L500" s="16">
        <v>15</v>
      </c>
      <c r="M500" s="28">
        <v>14.9</v>
      </c>
      <c r="N500" s="29">
        <v>6.7000000000000002E-3</v>
      </c>
      <c r="O500" s="44" t="s">
        <v>62</v>
      </c>
      <c r="P500" s="15"/>
      <c r="Q500" s="16">
        <f t="shared" si="15"/>
        <v>10.593</v>
      </c>
    </row>
    <row r="501" spans="1:17" ht="15" customHeight="1" x14ac:dyDescent="0.25">
      <c r="A501" s="15">
        <v>500</v>
      </c>
      <c r="B501" s="15" t="s">
        <v>1666</v>
      </c>
      <c r="C501" s="15" t="s">
        <v>1667</v>
      </c>
      <c r="D501" s="15" t="s">
        <v>1668</v>
      </c>
      <c r="E501" s="15" t="s">
        <v>1669</v>
      </c>
      <c r="F501" s="41">
        <v>1</v>
      </c>
      <c r="G501" s="42">
        <v>10.5</v>
      </c>
      <c r="H501" s="43">
        <v>0.01</v>
      </c>
      <c r="I501" s="41" t="s">
        <v>63</v>
      </c>
      <c r="J501" s="16">
        <f t="shared" si="14"/>
        <v>10.395</v>
      </c>
      <c r="K501" s="16">
        <f>IF(Q501="",0,IF(SUMPRODUCT(('Returns &amp; Refunds'!$A$6:$A$11=C501)*('Returns &amp; Refunds'!$H$6:$H$11="Confirmed Good — Remove Charge"))&gt;0,0,Q501))</f>
        <v>10.395</v>
      </c>
      <c r="L501" s="16">
        <v>15</v>
      </c>
      <c r="M501" s="28">
        <v>14.9</v>
      </c>
      <c r="N501" s="29">
        <v>6.7000000000000002E-3</v>
      </c>
      <c r="O501" s="44" t="s">
        <v>62</v>
      </c>
      <c r="P501" s="15"/>
      <c r="Q501" s="16">
        <f t="shared" si="15"/>
        <v>10.395</v>
      </c>
    </row>
    <row r="502" spans="1:17" ht="15" customHeight="1" x14ac:dyDescent="0.25">
      <c r="A502" s="15">
        <v>501</v>
      </c>
      <c r="B502" s="15" t="s">
        <v>1670</v>
      </c>
      <c r="C502" s="15" t="s">
        <v>1671</v>
      </c>
      <c r="D502" s="15" t="s">
        <v>1672</v>
      </c>
      <c r="E502" s="15" t="s">
        <v>1411</v>
      </c>
      <c r="F502" s="41">
        <v>1</v>
      </c>
      <c r="G502" s="42">
        <v>25.6</v>
      </c>
      <c r="H502" s="43">
        <v>0.05</v>
      </c>
      <c r="I502" s="41" t="s">
        <v>63</v>
      </c>
      <c r="J502" s="16">
        <f t="shared" si="14"/>
        <v>24.32</v>
      </c>
      <c r="K502" s="16">
        <f>IF(Q502="",0,IF(SUMPRODUCT(('Returns &amp; Refunds'!$A$6:$A$11=C502)*('Returns &amp; Refunds'!$H$6:$H$11="Confirmed Good — Remove Charge"))&gt;0,0,Q502))</f>
        <v>24.32</v>
      </c>
      <c r="L502" s="16">
        <v>35.9</v>
      </c>
      <c r="M502" s="28">
        <v>34.1</v>
      </c>
      <c r="N502" s="29">
        <v>5.0099999999999999E-2</v>
      </c>
      <c r="O502" s="44" t="s">
        <v>62</v>
      </c>
      <c r="P502" s="15"/>
      <c r="Q502" s="16">
        <f t="shared" si="15"/>
        <v>24.32</v>
      </c>
    </row>
    <row r="503" spans="1:17" ht="15" customHeight="1" x14ac:dyDescent="0.25">
      <c r="A503" s="15">
        <v>502</v>
      </c>
      <c r="B503" s="15" t="s">
        <v>1673</v>
      </c>
      <c r="C503" s="15" t="s">
        <v>1674</v>
      </c>
      <c r="D503" s="15" t="s">
        <v>1675</v>
      </c>
      <c r="E503" s="15" t="s">
        <v>186</v>
      </c>
      <c r="F503" s="41">
        <v>1</v>
      </c>
      <c r="G503" s="42">
        <v>12.4</v>
      </c>
      <c r="H503" s="43">
        <v>0.01</v>
      </c>
      <c r="I503" s="41" t="s">
        <v>63</v>
      </c>
      <c r="J503" s="16">
        <f t="shared" si="14"/>
        <v>12.276</v>
      </c>
      <c r="K503" s="16">
        <f>IF(Q503="",0,IF(SUMPRODUCT(('Returns &amp; Refunds'!$A$6:$A$11=C503)*('Returns &amp; Refunds'!$H$6:$H$11="Confirmed Good — Remove Charge"))&gt;0,0,Q503))</f>
        <v>12.276</v>
      </c>
      <c r="L503" s="16">
        <v>17.899999999999999</v>
      </c>
      <c r="M503" s="28">
        <v>17.7</v>
      </c>
      <c r="N503" s="29">
        <v>1.12E-2</v>
      </c>
      <c r="O503" s="44" t="s">
        <v>62</v>
      </c>
      <c r="P503" s="15"/>
      <c r="Q503" s="16">
        <f t="shared" si="15"/>
        <v>12.276</v>
      </c>
    </row>
    <row r="504" spans="1:17" ht="15" customHeight="1" x14ac:dyDescent="0.25">
      <c r="A504" s="15">
        <v>503</v>
      </c>
      <c r="B504" s="15" t="s">
        <v>1676</v>
      </c>
      <c r="C504" s="15" t="s">
        <v>1677</v>
      </c>
      <c r="D504" s="15" t="s">
        <v>1678</v>
      </c>
      <c r="E504" s="15" t="s">
        <v>1679</v>
      </c>
      <c r="F504" s="41">
        <v>1</v>
      </c>
      <c r="G504" s="42">
        <v>41.9</v>
      </c>
      <c r="H504" s="43">
        <v>0.05</v>
      </c>
      <c r="I504" s="41" t="s">
        <v>63</v>
      </c>
      <c r="J504" s="16">
        <f t="shared" si="14"/>
        <v>39.805</v>
      </c>
      <c r="K504" s="16">
        <f>IF(Q504="",0,IF(SUMPRODUCT(('Returns &amp; Refunds'!$A$6:$A$11=C504)*('Returns &amp; Refunds'!$H$6:$H$11="Confirmed Good — Remove Charge"))&gt;0,0,Q504))</f>
        <v>39.805</v>
      </c>
      <c r="L504" s="16">
        <v>54.9</v>
      </c>
      <c r="M504" s="28">
        <v>52.2</v>
      </c>
      <c r="N504" s="29">
        <v>4.9200000000000001E-2</v>
      </c>
      <c r="O504" s="44" t="s">
        <v>62</v>
      </c>
      <c r="P504" s="15"/>
      <c r="Q504" s="16">
        <f t="shared" si="15"/>
        <v>39.805</v>
      </c>
    </row>
    <row r="505" spans="1:17" ht="15" customHeight="1" x14ac:dyDescent="0.25">
      <c r="A505" s="15">
        <v>504</v>
      </c>
      <c r="B505" s="15" t="s">
        <v>145</v>
      </c>
      <c r="C505" s="15" t="s">
        <v>146</v>
      </c>
      <c r="D505" s="15" t="s">
        <v>1680</v>
      </c>
      <c r="E505" s="15" t="s">
        <v>136</v>
      </c>
      <c r="F505" s="41">
        <v>1</v>
      </c>
      <c r="G505" s="42">
        <v>15</v>
      </c>
      <c r="H505" s="43">
        <v>0.01</v>
      </c>
      <c r="I505" s="46" t="str">
        <f>IF('Pending DSP Entry'!L41="Charge Full DSP Instead","No","Yes")</f>
        <v>Yes</v>
      </c>
      <c r="J505" s="16">
        <f t="shared" si="14"/>
        <v>14.85</v>
      </c>
      <c r="K505" s="16">
        <f>IF(Q505="",0,IF(SUMPRODUCT(('Returns &amp; Refunds'!$A$6:$A$11=C505)*('Returns &amp; Refunds'!$H$6:$H$11="Confirmed Good — Remove Charge"))&gt;0,0,Q505))</f>
        <v>14.85</v>
      </c>
      <c r="L505" s="16">
        <v>20.9</v>
      </c>
      <c r="M505" s="28">
        <v>19.84</v>
      </c>
      <c r="N505" s="29">
        <v>5.0700000000000002E-2</v>
      </c>
      <c r="O505" s="38" t="s">
        <v>129</v>
      </c>
      <c r="P505" s="47" t="str">
        <f>"Wrong rate set by reseller — decision at Pending DSP Entry section D, row 41"</f>
        <v>Wrong rate set by reseller — decision at Pending DSP Entry section D, row 41</v>
      </c>
      <c r="Q505" s="16">
        <f t="shared" si="15"/>
        <v>14.85</v>
      </c>
    </row>
    <row r="506" spans="1:17" ht="15" customHeight="1" x14ac:dyDescent="0.25">
      <c r="A506" s="15">
        <v>505</v>
      </c>
      <c r="B506" s="15" t="s">
        <v>145</v>
      </c>
      <c r="C506" s="15" t="s">
        <v>146</v>
      </c>
      <c r="D506" s="15" t="s">
        <v>1680</v>
      </c>
      <c r="E506" s="15" t="s">
        <v>777</v>
      </c>
      <c r="F506" s="41">
        <v>1</v>
      </c>
      <c r="G506" s="42">
        <v>14.8</v>
      </c>
      <c r="H506" s="43">
        <v>0.01</v>
      </c>
      <c r="I506" s="41" t="s">
        <v>63</v>
      </c>
      <c r="J506" s="16">
        <f t="shared" si="14"/>
        <v>14.652000000000001</v>
      </c>
      <c r="K506" s="16">
        <f>IF(Q506="",0,IF(SUMPRODUCT(('Returns &amp; Refunds'!$A$6:$A$11=C506)*('Returns &amp; Refunds'!$H$6:$H$11="Confirmed Good — Remove Charge"))&gt;0,0,Q506))</f>
        <v>14.652000000000001</v>
      </c>
      <c r="L506" s="16">
        <v>20.9</v>
      </c>
      <c r="M506" s="28">
        <v>20.7</v>
      </c>
      <c r="N506" s="29">
        <v>9.5999999999999992E-3</v>
      </c>
      <c r="O506" s="44" t="s">
        <v>62</v>
      </c>
      <c r="P506" s="15"/>
      <c r="Q506" s="16">
        <f t="shared" si="15"/>
        <v>14.652000000000001</v>
      </c>
    </row>
    <row r="507" spans="1:17" ht="15" customHeight="1" x14ac:dyDescent="0.25">
      <c r="A507" s="15">
        <v>506</v>
      </c>
      <c r="B507" s="15" t="s">
        <v>1681</v>
      </c>
      <c r="C507" s="15" t="s">
        <v>1682</v>
      </c>
      <c r="D507" s="15" t="s">
        <v>1683</v>
      </c>
      <c r="E507" s="15" t="s">
        <v>1684</v>
      </c>
      <c r="F507" s="41">
        <v>1</v>
      </c>
      <c r="G507" s="42">
        <v>19</v>
      </c>
      <c r="H507" s="43">
        <v>0.05</v>
      </c>
      <c r="I507" s="41" t="s">
        <v>63</v>
      </c>
      <c r="J507" s="16">
        <f t="shared" si="14"/>
        <v>18.05</v>
      </c>
      <c r="K507" s="16">
        <f>IF(Q507="",0,IF(SUMPRODUCT(('Returns &amp; Refunds'!$A$6:$A$11=C507)*('Returns &amp; Refunds'!$H$6:$H$11="Confirmed Good — Remove Charge"))&gt;0,0,Q507))</f>
        <v>18.05</v>
      </c>
      <c r="L507" s="16">
        <v>26.9</v>
      </c>
      <c r="M507" s="28">
        <v>25.6</v>
      </c>
      <c r="N507" s="29">
        <v>4.8300000000000003E-2</v>
      </c>
      <c r="O507" s="44" t="s">
        <v>62</v>
      </c>
      <c r="P507" s="15"/>
      <c r="Q507" s="16">
        <f t="shared" si="15"/>
        <v>18.05</v>
      </c>
    </row>
    <row r="508" spans="1:17" ht="15" customHeight="1" x14ac:dyDescent="0.25">
      <c r="A508" s="15">
        <v>507</v>
      </c>
      <c r="B508" s="15" t="s">
        <v>1685</v>
      </c>
      <c r="C508" s="15" t="s">
        <v>1686</v>
      </c>
      <c r="D508" s="15" t="s">
        <v>1687</v>
      </c>
      <c r="E508" s="15" t="s">
        <v>547</v>
      </c>
      <c r="F508" s="41">
        <v>1</v>
      </c>
      <c r="G508" s="42">
        <v>13.2</v>
      </c>
      <c r="H508" s="43">
        <v>0.01</v>
      </c>
      <c r="I508" s="41" t="s">
        <v>63</v>
      </c>
      <c r="J508" s="16">
        <f t="shared" si="14"/>
        <v>13.068</v>
      </c>
      <c r="K508" s="16">
        <f>IF(Q508="",0,IF(SUMPRODUCT(('Returns &amp; Refunds'!$A$6:$A$11=C508)*('Returns &amp; Refunds'!$H$6:$H$11="Confirmed Good — Remove Charge"))&gt;0,0,Q508))</f>
        <v>13.068</v>
      </c>
      <c r="L508" s="16">
        <v>17.899999999999999</v>
      </c>
      <c r="M508" s="28">
        <v>17.7</v>
      </c>
      <c r="N508" s="29">
        <v>1.12E-2</v>
      </c>
      <c r="O508" s="44" t="s">
        <v>62</v>
      </c>
      <c r="P508" s="15"/>
      <c r="Q508" s="16">
        <f t="shared" si="15"/>
        <v>13.068</v>
      </c>
    </row>
    <row r="509" spans="1:17" ht="15" customHeight="1" x14ac:dyDescent="0.25">
      <c r="A509" s="15">
        <v>508</v>
      </c>
      <c r="B509" s="15" t="s">
        <v>1688</v>
      </c>
      <c r="C509" s="15" t="s">
        <v>1689</v>
      </c>
      <c r="D509" s="15" t="s">
        <v>1690</v>
      </c>
      <c r="E509" s="15" t="s">
        <v>179</v>
      </c>
      <c r="F509" s="41">
        <v>1</v>
      </c>
      <c r="G509" s="42">
        <v>11.3</v>
      </c>
      <c r="H509" s="43">
        <v>0.01</v>
      </c>
      <c r="I509" s="41" t="s">
        <v>63</v>
      </c>
      <c r="J509" s="16">
        <f t="shared" si="14"/>
        <v>11.187000000000001</v>
      </c>
      <c r="K509" s="16">
        <f>IF(Q509="",0,IF(SUMPRODUCT(('Returns &amp; Refunds'!$A$6:$A$11=C509)*('Returns &amp; Refunds'!$H$6:$H$11="Confirmed Good — Remove Charge"))&gt;0,0,Q509))</f>
        <v>11.187000000000001</v>
      </c>
      <c r="L509" s="16">
        <v>15.9</v>
      </c>
      <c r="M509" s="28">
        <v>15.7</v>
      </c>
      <c r="N509" s="29">
        <v>1.26E-2</v>
      </c>
      <c r="O509" s="44" t="s">
        <v>62</v>
      </c>
      <c r="P509" s="15"/>
      <c r="Q509" s="16">
        <f t="shared" si="15"/>
        <v>11.187000000000001</v>
      </c>
    </row>
    <row r="510" spans="1:17" ht="15" customHeight="1" x14ac:dyDescent="0.25">
      <c r="A510" s="15">
        <v>509</v>
      </c>
      <c r="B510" s="15" t="s">
        <v>1691</v>
      </c>
      <c r="C510" s="15" t="s">
        <v>1692</v>
      </c>
      <c r="D510" s="15" t="s">
        <v>1693</v>
      </c>
      <c r="E510" s="15" t="s">
        <v>1694</v>
      </c>
      <c r="F510" s="41">
        <v>1</v>
      </c>
      <c r="G510" s="42">
        <v>15.8</v>
      </c>
      <c r="H510" s="43">
        <v>0.1</v>
      </c>
      <c r="I510" s="41" t="s">
        <v>63</v>
      </c>
      <c r="J510" s="16">
        <f t="shared" si="14"/>
        <v>14.22</v>
      </c>
      <c r="K510" s="16">
        <f>IF(Q510="",0,IF(SUMPRODUCT(('Returns &amp; Refunds'!$A$6:$A$11=C510)*('Returns &amp; Refunds'!$H$6:$H$11="Confirmed Good — Remove Charge"))&gt;0,0,Q510))</f>
        <v>14.22</v>
      </c>
      <c r="L510" s="16">
        <v>24.9</v>
      </c>
      <c r="M510" s="28">
        <v>22.4</v>
      </c>
      <c r="N510" s="29">
        <v>0.1004</v>
      </c>
      <c r="O510" s="44" t="s">
        <v>62</v>
      </c>
      <c r="P510" s="15"/>
      <c r="Q510" s="16">
        <f t="shared" si="15"/>
        <v>14.22</v>
      </c>
    </row>
    <row r="511" spans="1:17" ht="15" customHeight="1" x14ac:dyDescent="0.25">
      <c r="A511" s="15">
        <v>510</v>
      </c>
      <c r="B511" s="15" t="s">
        <v>1695</v>
      </c>
      <c r="C511" s="15" t="s">
        <v>1696</v>
      </c>
      <c r="D511" s="15" t="s">
        <v>1697</v>
      </c>
      <c r="E511" s="15" t="s">
        <v>1426</v>
      </c>
      <c r="F511" s="41">
        <v>1</v>
      </c>
      <c r="G511" s="42">
        <v>13.2</v>
      </c>
      <c r="H511" s="43">
        <v>0.01</v>
      </c>
      <c r="I511" s="41" t="s">
        <v>63</v>
      </c>
      <c r="J511" s="16">
        <f t="shared" si="14"/>
        <v>13.068</v>
      </c>
      <c r="K511" s="16">
        <f>IF(Q511="",0,IF(SUMPRODUCT(('Returns &amp; Refunds'!$A$6:$A$11=C511)*('Returns &amp; Refunds'!$H$6:$H$11="Confirmed Good — Remove Charge"))&gt;0,0,Q511))</f>
        <v>13.068</v>
      </c>
      <c r="L511" s="16">
        <v>17.899999999999999</v>
      </c>
      <c r="M511" s="28">
        <v>17.7</v>
      </c>
      <c r="N511" s="29">
        <v>1.12E-2</v>
      </c>
      <c r="O511" s="44" t="s">
        <v>62</v>
      </c>
      <c r="P511" s="15"/>
      <c r="Q511" s="16">
        <f t="shared" si="15"/>
        <v>13.068</v>
      </c>
    </row>
    <row r="512" spans="1:17" ht="15" customHeight="1" x14ac:dyDescent="0.25">
      <c r="A512" s="15">
        <v>511</v>
      </c>
      <c r="B512" s="15" t="s">
        <v>1698</v>
      </c>
      <c r="C512" s="15" t="s">
        <v>1699</v>
      </c>
      <c r="D512" s="15" t="s">
        <v>1700</v>
      </c>
      <c r="E512" s="15" t="s">
        <v>179</v>
      </c>
      <c r="F512" s="41">
        <v>1</v>
      </c>
      <c r="G512" s="42">
        <v>11.3</v>
      </c>
      <c r="H512" s="43">
        <v>0.01</v>
      </c>
      <c r="I512" s="41" t="s">
        <v>63</v>
      </c>
      <c r="J512" s="16">
        <f t="shared" si="14"/>
        <v>11.187000000000001</v>
      </c>
      <c r="K512" s="16">
        <f>IF(Q512="",0,IF(SUMPRODUCT(('Returns &amp; Refunds'!$A$6:$A$11=C512)*('Returns &amp; Refunds'!$H$6:$H$11="Confirmed Good — Remove Charge"))&gt;0,0,Q512))</f>
        <v>11.187000000000001</v>
      </c>
      <c r="L512" s="16">
        <v>15.9</v>
      </c>
      <c r="M512" s="28">
        <v>15.7</v>
      </c>
      <c r="N512" s="29">
        <v>1.26E-2</v>
      </c>
      <c r="O512" s="44" t="s">
        <v>62</v>
      </c>
      <c r="P512" s="15"/>
      <c r="Q512" s="16">
        <f t="shared" si="15"/>
        <v>11.187000000000001</v>
      </c>
    </row>
    <row r="513" spans="1:17" ht="15" customHeight="1" x14ac:dyDescent="0.25">
      <c r="A513" s="15">
        <v>512</v>
      </c>
      <c r="B513" s="15" t="s">
        <v>1701</v>
      </c>
      <c r="C513" s="15" t="s">
        <v>1702</v>
      </c>
      <c r="D513" s="15" t="s">
        <v>1703</v>
      </c>
      <c r="E513" s="15" t="s">
        <v>429</v>
      </c>
      <c r="F513" s="41">
        <v>1</v>
      </c>
      <c r="G513" s="42">
        <v>13.5</v>
      </c>
      <c r="H513" s="43">
        <v>0.01</v>
      </c>
      <c r="I513" s="41" t="s">
        <v>63</v>
      </c>
      <c r="J513" s="16">
        <f t="shared" si="14"/>
        <v>13.365</v>
      </c>
      <c r="K513" s="16">
        <f>IF(Q513="",0,IF(SUMPRODUCT(('Returns &amp; Refunds'!$A$6:$A$11=C513)*('Returns &amp; Refunds'!$H$6:$H$11="Confirmed Good — Remove Charge"))&gt;0,0,Q513))</f>
        <v>13.365</v>
      </c>
      <c r="L513" s="16">
        <v>17.899999999999999</v>
      </c>
      <c r="M513" s="28">
        <v>17.7</v>
      </c>
      <c r="N513" s="29">
        <v>1.12E-2</v>
      </c>
      <c r="O513" s="44" t="s">
        <v>62</v>
      </c>
      <c r="P513" s="15"/>
      <c r="Q513" s="16">
        <f t="shared" si="15"/>
        <v>13.365</v>
      </c>
    </row>
    <row r="514" spans="1:17" ht="15" customHeight="1" x14ac:dyDescent="0.25">
      <c r="A514" s="15">
        <v>513</v>
      </c>
      <c r="B514" s="15" t="s">
        <v>1704</v>
      </c>
      <c r="C514" s="15" t="s">
        <v>1705</v>
      </c>
      <c r="D514" s="15" t="s">
        <v>1706</v>
      </c>
      <c r="E514" s="15" t="s">
        <v>191</v>
      </c>
      <c r="F514" s="41">
        <v>1</v>
      </c>
      <c r="G514" s="42">
        <v>31.5</v>
      </c>
      <c r="H514" s="43">
        <v>0.01</v>
      </c>
      <c r="I514" s="41" t="s">
        <v>63</v>
      </c>
      <c r="J514" s="16">
        <f t="shared" ref="J514:J577" si="16">IF(G514="","",IF(I514="Yes",G514*(1-H514),G514))</f>
        <v>31.184999999999999</v>
      </c>
      <c r="K514" s="16">
        <f>IF(Q514="",0,IF(SUMPRODUCT(('Returns &amp; Refunds'!$A$6:$A$11=C514)*('Returns &amp; Refunds'!$H$6:$H$11="Confirmed Good — Remove Charge"))&gt;0,0,Q514))</f>
        <v>31.184999999999999</v>
      </c>
      <c r="L514" s="16">
        <v>39.9</v>
      </c>
      <c r="M514" s="28">
        <v>39.5</v>
      </c>
      <c r="N514" s="29">
        <v>0.01</v>
      </c>
      <c r="O514" s="44" t="s">
        <v>62</v>
      </c>
      <c r="P514" s="15"/>
      <c r="Q514" s="16">
        <f t="shared" ref="Q514:Q577" si="17">IF(J514="",0,F514*J514)</f>
        <v>31.184999999999999</v>
      </c>
    </row>
    <row r="515" spans="1:17" ht="15" customHeight="1" x14ac:dyDescent="0.25">
      <c r="A515" s="15">
        <v>514</v>
      </c>
      <c r="B515" s="15" t="s">
        <v>1707</v>
      </c>
      <c r="C515" s="15" t="s">
        <v>1708</v>
      </c>
      <c r="D515" s="15" t="s">
        <v>1709</v>
      </c>
      <c r="E515" s="15" t="s">
        <v>179</v>
      </c>
      <c r="F515" s="41">
        <v>1</v>
      </c>
      <c r="G515" s="42">
        <v>11.3</v>
      </c>
      <c r="H515" s="43">
        <v>0.01</v>
      </c>
      <c r="I515" s="41" t="s">
        <v>63</v>
      </c>
      <c r="J515" s="16">
        <f t="shared" si="16"/>
        <v>11.187000000000001</v>
      </c>
      <c r="K515" s="16">
        <f>IF(Q515="",0,IF(SUMPRODUCT(('Returns &amp; Refunds'!$A$6:$A$11=C515)*('Returns &amp; Refunds'!$H$6:$H$11="Confirmed Good — Remove Charge"))&gt;0,0,Q515))</f>
        <v>11.187000000000001</v>
      </c>
      <c r="L515" s="16">
        <v>15.9</v>
      </c>
      <c r="M515" s="28">
        <v>15.7</v>
      </c>
      <c r="N515" s="29">
        <v>1.26E-2</v>
      </c>
      <c r="O515" s="44" t="s">
        <v>62</v>
      </c>
      <c r="P515" s="15"/>
      <c r="Q515" s="16">
        <f t="shared" si="17"/>
        <v>11.187000000000001</v>
      </c>
    </row>
    <row r="516" spans="1:17" ht="15" customHeight="1" x14ac:dyDescent="0.25">
      <c r="A516" s="15">
        <v>515</v>
      </c>
      <c r="B516" s="15" t="s">
        <v>1707</v>
      </c>
      <c r="C516" s="15" t="s">
        <v>1708</v>
      </c>
      <c r="D516" s="15" t="s">
        <v>1709</v>
      </c>
      <c r="E516" s="15" t="s">
        <v>1710</v>
      </c>
      <c r="F516" s="41">
        <v>1</v>
      </c>
      <c r="G516" s="42">
        <v>12.4</v>
      </c>
      <c r="H516" s="43">
        <v>0.08</v>
      </c>
      <c r="I516" s="41" t="s">
        <v>63</v>
      </c>
      <c r="J516" s="16">
        <f t="shared" si="16"/>
        <v>11.408000000000001</v>
      </c>
      <c r="K516" s="16">
        <f>IF(Q516="",0,IF(SUMPRODUCT(('Returns &amp; Refunds'!$A$6:$A$11=C516)*('Returns &amp; Refunds'!$H$6:$H$11="Confirmed Good — Remove Charge"))&gt;0,0,Q516))</f>
        <v>11.408000000000001</v>
      </c>
      <c r="L516" s="16">
        <v>19.899999999999999</v>
      </c>
      <c r="M516" s="28">
        <v>18.3</v>
      </c>
      <c r="N516" s="29">
        <v>8.0399999999999999E-2</v>
      </c>
      <c r="O516" s="44" t="s">
        <v>62</v>
      </c>
      <c r="P516" s="15"/>
      <c r="Q516" s="16">
        <f t="shared" si="17"/>
        <v>11.408000000000001</v>
      </c>
    </row>
    <row r="517" spans="1:17" ht="15" customHeight="1" x14ac:dyDescent="0.25">
      <c r="A517" s="15">
        <v>516</v>
      </c>
      <c r="B517" s="15" t="s">
        <v>1711</v>
      </c>
      <c r="C517" s="15" t="s">
        <v>1712</v>
      </c>
      <c r="D517" s="15" t="s">
        <v>1713</v>
      </c>
      <c r="E517" s="15" t="s">
        <v>320</v>
      </c>
      <c r="F517" s="41">
        <v>1</v>
      </c>
      <c r="G517" s="42">
        <v>10.5</v>
      </c>
      <c r="H517" s="43">
        <v>0.01</v>
      </c>
      <c r="I517" s="41" t="s">
        <v>63</v>
      </c>
      <c r="J517" s="16">
        <f t="shared" si="16"/>
        <v>10.395</v>
      </c>
      <c r="K517" s="16">
        <f>IF(Q517="",0,IF(SUMPRODUCT(('Returns &amp; Refunds'!$A$6:$A$11=C517)*('Returns &amp; Refunds'!$H$6:$H$11="Confirmed Good — Remove Charge"))&gt;0,0,Q517))</f>
        <v>10.395</v>
      </c>
      <c r="L517" s="16">
        <v>15</v>
      </c>
      <c r="M517" s="28">
        <v>14.9</v>
      </c>
      <c r="N517" s="29">
        <v>6.7000000000000002E-3</v>
      </c>
      <c r="O517" s="44" t="s">
        <v>62</v>
      </c>
      <c r="P517" s="15"/>
      <c r="Q517" s="16">
        <f t="shared" si="17"/>
        <v>10.395</v>
      </c>
    </row>
    <row r="518" spans="1:17" ht="15" customHeight="1" x14ac:dyDescent="0.25">
      <c r="A518" s="15">
        <v>517</v>
      </c>
      <c r="B518" s="15" t="s">
        <v>1714</v>
      </c>
      <c r="C518" s="15" t="s">
        <v>1715</v>
      </c>
      <c r="D518" s="15" t="s">
        <v>1716</v>
      </c>
      <c r="E518" s="15" t="s">
        <v>274</v>
      </c>
      <c r="F518" s="41">
        <v>2</v>
      </c>
      <c r="G518" s="42">
        <v>13.1</v>
      </c>
      <c r="H518" s="43">
        <v>0.01</v>
      </c>
      <c r="I518" s="41" t="s">
        <v>63</v>
      </c>
      <c r="J518" s="16">
        <f t="shared" si="16"/>
        <v>12.968999999999999</v>
      </c>
      <c r="K518" s="16">
        <f>IF(Q518="",0,IF(SUMPRODUCT(('Returns &amp; Refunds'!$A$6:$A$11=C518)*('Returns &amp; Refunds'!$H$6:$H$11="Confirmed Good — Remove Charge"))&gt;0,0,Q518))</f>
        <v>25.937999999999999</v>
      </c>
      <c r="L518" s="16">
        <v>17.899999999999999</v>
      </c>
      <c r="M518" s="28">
        <v>17.7</v>
      </c>
      <c r="N518" s="29">
        <v>1.12E-2</v>
      </c>
      <c r="O518" s="44" t="s">
        <v>62</v>
      </c>
      <c r="P518" s="15"/>
      <c r="Q518" s="16">
        <f t="shared" si="17"/>
        <v>25.937999999999999</v>
      </c>
    </row>
    <row r="519" spans="1:17" ht="15" customHeight="1" x14ac:dyDescent="0.25">
      <c r="A519" s="15">
        <v>518</v>
      </c>
      <c r="B519" s="15" t="s">
        <v>1717</v>
      </c>
      <c r="C519" s="15" t="s">
        <v>1718</v>
      </c>
      <c r="D519" s="15" t="s">
        <v>1719</v>
      </c>
      <c r="E519" s="15" t="s">
        <v>1720</v>
      </c>
      <c r="F519" s="41">
        <v>1</v>
      </c>
      <c r="G519" s="42">
        <v>34.5</v>
      </c>
      <c r="H519" s="43">
        <v>0.03</v>
      </c>
      <c r="I519" s="41" t="s">
        <v>63</v>
      </c>
      <c r="J519" s="16">
        <f t="shared" si="16"/>
        <v>33.464999999999996</v>
      </c>
      <c r="K519" s="16">
        <f>IF(Q519="",0,IF(SUMPRODUCT(('Returns &amp; Refunds'!$A$6:$A$11=C519)*('Returns &amp; Refunds'!$H$6:$H$11="Confirmed Good — Remove Charge"))&gt;0,0,Q519))</f>
        <v>33.464999999999996</v>
      </c>
      <c r="L519" s="16">
        <v>45.9</v>
      </c>
      <c r="M519" s="28">
        <v>44.5</v>
      </c>
      <c r="N519" s="29">
        <v>3.0499999999999999E-2</v>
      </c>
      <c r="O519" s="44" t="s">
        <v>62</v>
      </c>
      <c r="P519" s="15"/>
      <c r="Q519" s="16">
        <f t="shared" si="17"/>
        <v>33.464999999999996</v>
      </c>
    </row>
    <row r="520" spans="1:17" ht="15" customHeight="1" x14ac:dyDescent="0.25">
      <c r="A520" s="15">
        <v>519</v>
      </c>
      <c r="B520" s="15" t="s">
        <v>1721</v>
      </c>
      <c r="C520" s="15" t="s">
        <v>1722</v>
      </c>
      <c r="D520" s="15" t="s">
        <v>1723</v>
      </c>
      <c r="E520" s="15" t="s">
        <v>413</v>
      </c>
      <c r="F520" s="41">
        <v>1</v>
      </c>
      <c r="G520" s="42">
        <v>10.5</v>
      </c>
      <c r="H520" s="43">
        <v>0.01</v>
      </c>
      <c r="I520" s="41" t="s">
        <v>63</v>
      </c>
      <c r="J520" s="16">
        <f t="shared" si="16"/>
        <v>10.395</v>
      </c>
      <c r="K520" s="16">
        <f>IF(Q520="",0,IF(SUMPRODUCT(('Returns &amp; Refunds'!$A$6:$A$11=C520)*('Returns &amp; Refunds'!$H$6:$H$11="Confirmed Good — Remove Charge"))&gt;0,0,Q520))</f>
        <v>10.395</v>
      </c>
      <c r="L520" s="16">
        <v>15</v>
      </c>
      <c r="M520" s="28">
        <v>14.9</v>
      </c>
      <c r="N520" s="29">
        <v>6.7000000000000002E-3</v>
      </c>
      <c r="O520" s="44" t="s">
        <v>62</v>
      </c>
      <c r="P520" s="15"/>
      <c r="Q520" s="16">
        <f t="shared" si="17"/>
        <v>10.395</v>
      </c>
    </row>
    <row r="521" spans="1:17" ht="15" customHeight="1" x14ac:dyDescent="0.25">
      <c r="A521" s="15">
        <v>520</v>
      </c>
      <c r="B521" s="15" t="s">
        <v>1724</v>
      </c>
      <c r="C521" s="15" t="s">
        <v>1725</v>
      </c>
      <c r="D521" s="15" t="s">
        <v>1726</v>
      </c>
      <c r="E521" s="15" t="s">
        <v>1727</v>
      </c>
      <c r="F521" s="41">
        <v>1</v>
      </c>
      <c r="G521" s="42">
        <v>19.3</v>
      </c>
      <c r="H521" s="43">
        <v>0.03</v>
      </c>
      <c r="I521" s="41" t="s">
        <v>69</v>
      </c>
      <c r="J521" s="16">
        <f t="shared" si="16"/>
        <v>19.3</v>
      </c>
      <c r="K521" s="16">
        <f>IF(Q521="",0,IF(SUMPRODUCT(('Returns &amp; Refunds'!$A$6:$A$11=C521)*('Returns &amp; Refunds'!$H$6:$H$11="Confirmed Good — Remove Charge"))&gt;0,0,Q521))</f>
        <v>19.3</v>
      </c>
      <c r="L521" s="16">
        <v>27.9</v>
      </c>
      <c r="M521" s="28">
        <v>27.9</v>
      </c>
      <c r="N521" s="29">
        <v>0</v>
      </c>
      <c r="O521" s="45" t="s">
        <v>68</v>
      </c>
      <c r="P521" s="15"/>
      <c r="Q521" s="16">
        <f t="shared" si="17"/>
        <v>19.3</v>
      </c>
    </row>
    <row r="522" spans="1:17" ht="15" customHeight="1" x14ac:dyDescent="0.25">
      <c r="A522" s="15">
        <v>521</v>
      </c>
      <c r="B522" s="15" t="s">
        <v>1728</v>
      </c>
      <c r="C522" s="15" t="s">
        <v>1729</v>
      </c>
      <c r="D522" s="15" t="s">
        <v>1730</v>
      </c>
      <c r="E522" s="15" t="s">
        <v>1731</v>
      </c>
      <c r="F522" s="41">
        <v>1</v>
      </c>
      <c r="G522" s="42">
        <v>53.3</v>
      </c>
      <c r="H522" s="43">
        <v>0.03</v>
      </c>
      <c r="I522" s="41" t="s">
        <v>69</v>
      </c>
      <c r="J522" s="16">
        <f t="shared" si="16"/>
        <v>53.3</v>
      </c>
      <c r="K522" s="16">
        <f>IF(Q522="",0,IF(SUMPRODUCT(('Returns &amp; Refunds'!$A$6:$A$11=C522)*('Returns &amp; Refunds'!$H$6:$H$11="Confirmed Good — Remove Charge"))&gt;0,0,Q522))</f>
        <v>53.3</v>
      </c>
      <c r="L522" s="16">
        <v>69.900000000000006</v>
      </c>
      <c r="M522" s="28">
        <v>69.900000000000006</v>
      </c>
      <c r="N522" s="29">
        <v>0</v>
      </c>
      <c r="O522" s="45" t="s">
        <v>68</v>
      </c>
      <c r="P522" s="15"/>
      <c r="Q522" s="16">
        <f t="shared" si="17"/>
        <v>53.3</v>
      </c>
    </row>
    <row r="523" spans="1:17" ht="15" customHeight="1" x14ac:dyDescent="0.25">
      <c r="A523" s="15">
        <v>522</v>
      </c>
      <c r="B523" s="15" t="s">
        <v>153</v>
      </c>
      <c r="C523" s="15" t="s">
        <v>154</v>
      </c>
      <c r="D523" s="15" t="s">
        <v>1732</v>
      </c>
      <c r="E523" s="15" t="s">
        <v>152</v>
      </c>
      <c r="F523" s="41">
        <v>1</v>
      </c>
      <c r="G523" s="42">
        <v>31.5</v>
      </c>
      <c r="H523" s="43">
        <v>0.01</v>
      </c>
      <c r="I523" s="46" t="str">
        <f>IF('Pending DSP Entry'!L44="Charge Full DSP Instead","No","Yes")</f>
        <v>Yes</v>
      </c>
      <c r="J523" s="16">
        <f t="shared" si="16"/>
        <v>31.184999999999999</v>
      </c>
      <c r="K523" s="16">
        <f>IF(Q523="",0,IF(SUMPRODUCT(('Returns &amp; Refunds'!$A$6:$A$11=C523)*('Returns &amp; Refunds'!$H$6:$H$11="Confirmed Good — Remove Charge"))&gt;0,0,Q523))</f>
        <v>31.184999999999999</v>
      </c>
      <c r="L523" s="16">
        <v>39.9</v>
      </c>
      <c r="M523" s="28">
        <v>37.89</v>
      </c>
      <c r="N523" s="29">
        <v>5.04E-2</v>
      </c>
      <c r="O523" s="38" t="s">
        <v>129</v>
      </c>
      <c r="P523" s="47" t="str">
        <f>"Wrong rate set by reseller — decision at Pending DSP Entry section D, row 44"</f>
        <v>Wrong rate set by reseller — decision at Pending DSP Entry section D, row 44</v>
      </c>
      <c r="Q523" s="16">
        <f t="shared" si="17"/>
        <v>31.184999999999999</v>
      </c>
    </row>
    <row r="524" spans="1:17" ht="15" customHeight="1" x14ac:dyDescent="0.25">
      <c r="A524" s="15">
        <v>523</v>
      </c>
      <c r="B524" s="15" t="s">
        <v>1733</v>
      </c>
      <c r="C524" s="15" t="s">
        <v>1734</v>
      </c>
      <c r="D524" s="15" t="s">
        <v>1735</v>
      </c>
      <c r="E524" s="15" t="s">
        <v>1736</v>
      </c>
      <c r="F524" s="41">
        <v>1</v>
      </c>
      <c r="G524" s="42">
        <v>7.1</v>
      </c>
      <c r="H524" s="43">
        <v>0.4</v>
      </c>
      <c r="I524" s="41" t="s">
        <v>63</v>
      </c>
      <c r="J524" s="16">
        <f t="shared" si="16"/>
        <v>4.26</v>
      </c>
      <c r="K524" s="16">
        <f>IF(Q524="",0,IF(SUMPRODUCT(('Returns &amp; Refunds'!$A$6:$A$11=C524)*('Returns &amp; Refunds'!$H$6:$H$11="Confirmed Good — Remove Charge"))&gt;0,0,Q524))</f>
        <v>4.26</v>
      </c>
      <c r="L524" s="16">
        <v>9.9</v>
      </c>
      <c r="M524" s="28">
        <v>5.9</v>
      </c>
      <c r="N524" s="29">
        <v>0.40400000000000003</v>
      </c>
      <c r="O524" s="44" t="s">
        <v>62</v>
      </c>
      <c r="P524" s="15"/>
      <c r="Q524" s="16">
        <f t="shared" si="17"/>
        <v>4.26</v>
      </c>
    </row>
    <row r="525" spans="1:17" ht="15" customHeight="1" x14ac:dyDescent="0.25">
      <c r="A525" s="15">
        <v>524</v>
      </c>
      <c r="B525" s="15" t="s">
        <v>1733</v>
      </c>
      <c r="C525" s="15" t="s">
        <v>1734</v>
      </c>
      <c r="D525" s="15" t="s">
        <v>1735</v>
      </c>
      <c r="E525" s="15" t="s">
        <v>242</v>
      </c>
      <c r="F525" s="41">
        <v>1</v>
      </c>
      <c r="G525" s="42">
        <v>10.5</v>
      </c>
      <c r="H525" s="43">
        <v>0.01</v>
      </c>
      <c r="I525" s="41" t="s">
        <v>63</v>
      </c>
      <c r="J525" s="16">
        <f t="shared" si="16"/>
        <v>10.395</v>
      </c>
      <c r="K525" s="16">
        <f>IF(Q525="",0,IF(SUMPRODUCT(('Returns &amp; Refunds'!$A$6:$A$11=C525)*('Returns &amp; Refunds'!$H$6:$H$11="Confirmed Good — Remove Charge"))&gt;0,0,Q525))</f>
        <v>10.395</v>
      </c>
      <c r="L525" s="16">
        <v>15</v>
      </c>
      <c r="M525" s="28">
        <v>14.9</v>
      </c>
      <c r="N525" s="29">
        <v>6.7000000000000002E-3</v>
      </c>
      <c r="O525" s="44" t="s">
        <v>62</v>
      </c>
      <c r="P525" s="15"/>
      <c r="Q525" s="16">
        <f t="shared" si="17"/>
        <v>10.395</v>
      </c>
    </row>
    <row r="526" spans="1:17" ht="15" customHeight="1" x14ac:dyDescent="0.25">
      <c r="A526" s="15">
        <v>525</v>
      </c>
      <c r="B526" s="15" t="s">
        <v>1737</v>
      </c>
      <c r="C526" s="15" t="s">
        <v>1738</v>
      </c>
      <c r="D526" s="15" t="s">
        <v>1739</v>
      </c>
      <c r="E526" s="15" t="s">
        <v>1740</v>
      </c>
      <c r="F526" s="41">
        <v>1</v>
      </c>
      <c r="G526" s="42">
        <v>19</v>
      </c>
      <c r="H526" s="43">
        <v>0.1</v>
      </c>
      <c r="I526" s="41" t="s">
        <v>63</v>
      </c>
      <c r="J526" s="16">
        <f t="shared" si="16"/>
        <v>17.100000000000001</v>
      </c>
      <c r="K526" s="16">
        <f>IF(Q526="",0,IF(SUMPRODUCT(('Returns &amp; Refunds'!$A$6:$A$11=C526)*('Returns &amp; Refunds'!$H$6:$H$11="Confirmed Good — Remove Charge"))&gt;0,0,Q526))</f>
        <v>17.100000000000001</v>
      </c>
      <c r="L526" s="16">
        <v>26.9</v>
      </c>
      <c r="M526" s="28">
        <v>24.2</v>
      </c>
      <c r="N526" s="29">
        <v>0.1004</v>
      </c>
      <c r="O526" s="44" t="s">
        <v>62</v>
      </c>
      <c r="P526" s="15"/>
      <c r="Q526" s="16">
        <f t="shared" si="17"/>
        <v>17.100000000000001</v>
      </c>
    </row>
    <row r="527" spans="1:17" ht="15" customHeight="1" x14ac:dyDescent="0.25">
      <c r="A527" s="15">
        <v>526</v>
      </c>
      <c r="B527" s="15" t="s">
        <v>1741</v>
      </c>
      <c r="C527" s="15" t="s">
        <v>1742</v>
      </c>
      <c r="D527" s="15" t="s">
        <v>1743</v>
      </c>
      <c r="E527" s="15" t="s">
        <v>766</v>
      </c>
      <c r="F527" s="41">
        <v>2</v>
      </c>
      <c r="G527" s="42">
        <v>10.6</v>
      </c>
      <c r="H527" s="43">
        <v>0.01</v>
      </c>
      <c r="I527" s="41" t="s">
        <v>63</v>
      </c>
      <c r="J527" s="16">
        <f t="shared" si="16"/>
        <v>10.494</v>
      </c>
      <c r="K527" s="16">
        <f>IF(Q527="",0,IF(SUMPRODUCT(('Returns &amp; Refunds'!$A$6:$A$11=C527)*('Returns &amp; Refunds'!$H$6:$H$11="Confirmed Good — Remove Charge"))&gt;0,0,Q527))</f>
        <v>20.988</v>
      </c>
      <c r="L527" s="16">
        <v>15</v>
      </c>
      <c r="M527" s="28">
        <v>14.9</v>
      </c>
      <c r="N527" s="29">
        <v>6.7000000000000002E-3</v>
      </c>
      <c r="O527" s="44" t="s">
        <v>62</v>
      </c>
      <c r="P527" s="15"/>
      <c r="Q527" s="16">
        <f t="shared" si="17"/>
        <v>20.988</v>
      </c>
    </row>
    <row r="528" spans="1:17" ht="15" customHeight="1" x14ac:dyDescent="0.25">
      <c r="A528" s="15">
        <v>527</v>
      </c>
      <c r="B528" s="15" t="s">
        <v>1744</v>
      </c>
      <c r="C528" s="15" t="s">
        <v>1745</v>
      </c>
      <c r="D528" s="15" t="s">
        <v>1746</v>
      </c>
      <c r="E528" s="15" t="s">
        <v>242</v>
      </c>
      <c r="F528" s="41">
        <v>1</v>
      </c>
      <c r="G528" s="42">
        <v>10.5</v>
      </c>
      <c r="H528" s="43">
        <v>0.01</v>
      </c>
      <c r="I528" s="41" t="s">
        <v>63</v>
      </c>
      <c r="J528" s="16">
        <f t="shared" si="16"/>
        <v>10.395</v>
      </c>
      <c r="K528" s="16">
        <f>IF(Q528="",0,IF(SUMPRODUCT(('Returns &amp; Refunds'!$A$6:$A$11=C528)*('Returns &amp; Refunds'!$H$6:$H$11="Confirmed Good — Remove Charge"))&gt;0,0,Q528))</f>
        <v>10.395</v>
      </c>
      <c r="L528" s="16">
        <v>15</v>
      </c>
      <c r="M528" s="28">
        <v>14.9</v>
      </c>
      <c r="N528" s="29">
        <v>6.7000000000000002E-3</v>
      </c>
      <c r="O528" s="44" t="s">
        <v>62</v>
      </c>
      <c r="P528" s="15"/>
      <c r="Q528" s="16">
        <f t="shared" si="17"/>
        <v>10.395</v>
      </c>
    </row>
    <row r="529" spans="1:17" ht="15" customHeight="1" x14ac:dyDescent="0.25">
      <c r="A529" s="15">
        <v>528</v>
      </c>
      <c r="B529" s="15" t="s">
        <v>1747</v>
      </c>
      <c r="C529" s="15" t="s">
        <v>1748</v>
      </c>
      <c r="D529" s="15" t="s">
        <v>1749</v>
      </c>
      <c r="E529" s="15" t="s">
        <v>233</v>
      </c>
      <c r="F529" s="41">
        <v>1</v>
      </c>
      <c r="G529" s="42">
        <v>10.7</v>
      </c>
      <c r="H529" s="43">
        <v>0.01</v>
      </c>
      <c r="I529" s="41" t="s">
        <v>63</v>
      </c>
      <c r="J529" s="16">
        <f t="shared" si="16"/>
        <v>10.593</v>
      </c>
      <c r="K529" s="16">
        <f>IF(Q529="",0,IF(SUMPRODUCT(('Returns &amp; Refunds'!$A$6:$A$11=C529)*('Returns &amp; Refunds'!$H$6:$H$11="Confirmed Good — Remove Charge"))&gt;0,0,Q529))</f>
        <v>10.593</v>
      </c>
      <c r="L529" s="16">
        <v>15</v>
      </c>
      <c r="M529" s="28">
        <v>14.9</v>
      </c>
      <c r="N529" s="29">
        <v>6.7000000000000002E-3</v>
      </c>
      <c r="O529" s="44" t="s">
        <v>62</v>
      </c>
      <c r="P529" s="15"/>
      <c r="Q529" s="16">
        <f t="shared" si="17"/>
        <v>10.593</v>
      </c>
    </row>
    <row r="530" spans="1:17" ht="15" customHeight="1" x14ac:dyDescent="0.25">
      <c r="A530" s="15">
        <v>529</v>
      </c>
      <c r="B530" s="15" t="s">
        <v>1747</v>
      </c>
      <c r="C530" s="15" t="s">
        <v>1748</v>
      </c>
      <c r="D530" s="15" t="s">
        <v>1749</v>
      </c>
      <c r="E530" s="15" t="s">
        <v>239</v>
      </c>
      <c r="F530" s="41">
        <v>1</v>
      </c>
      <c r="G530" s="42">
        <v>10.6</v>
      </c>
      <c r="H530" s="43">
        <v>0.01</v>
      </c>
      <c r="I530" s="41" t="s">
        <v>63</v>
      </c>
      <c r="J530" s="16">
        <f t="shared" si="16"/>
        <v>10.494</v>
      </c>
      <c r="K530" s="16">
        <f>IF(Q530="",0,IF(SUMPRODUCT(('Returns &amp; Refunds'!$A$6:$A$11=C530)*('Returns &amp; Refunds'!$H$6:$H$11="Confirmed Good — Remove Charge"))&gt;0,0,Q530))</f>
        <v>10.494</v>
      </c>
      <c r="L530" s="16">
        <v>15</v>
      </c>
      <c r="M530" s="28">
        <v>14.9</v>
      </c>
      <c r="N530" s="29">
        <v>6.7000000000000002E-3</v>
      </c>
      <c r="O530" s="44" t="s">
        <v>62</v>
      </c>
      <c r="P530" s="15"/>
      <c r="Q530" s="16">
        <f t="shared" si="17"/>
        <v>10.494</v>
      </c>
    </row>
    <row r="531" spans="1:17" ht="15" customHeight="1" x14ac:dyDescent="0.25">
      <c r="A531" s="15">
        <v>530</v>
      </c>
      <c r="B531" s="15" t="s">
        <v>1750</v>
      </c>
      <c r="C531" s="15" t="s">
        <v>1751</v>
      </c>
      <c r="D531" s="15" t="s">
        <v>1752</v>
      </c>
      <c r="E531" s="15" t="s">
        <v>598</v>
      </c>
      <c r="F531" s="41">
        <v>1</v>
      </c>
      <c r="G531" s="42">
        <v>16.3</v>
      </c>
      <c r="H531" s="43">
        <v>0.05</v>
      </c>
      <c r="I531" s="41" t="s">
        <v>63</v>
      </c>
      <c r="J531" s="16">
        <f t="shared" si="16"/>
        <v>15.484999999999999</v>
      </c>
      <c r="K531" s="16">
        <f>IF(Q531="",0,IF(SUMPRODUCT(('Returns &amp; Refunds'!$A$6:$A$11=C531)*('Returns &amp; Refunds'!$H$6:$H$11="Confirmed Good — Remove Charge"))&gt;0,0,Q531))</f>
        <v>15.484999999999999</v>
      </c>
      <c r="L531" s="16">
        <v>21.9</v>
      </c>
      <c r="M531" s="28">
        <v>20.8</v>
      </c>
      <c r="N531" s="29">
        <v>5.0200000000000002E-2</v>
      </c>
      <c r="O531" s="44" t="s">
        <v>62</v>
      </c>
      <c r="P531" s="15"/>
      <c r="Q531" s="16">
        <f t="shared" si="17"/>
        <v>15.484999999999999</v>
      </c>
    </row>
    <row r="532" spans="1:17" ht="15" customHeight="1" x14ac:dyDescent="0.25">
      <c r="A532" s="15">
        <v>531</v>
      </c>
      <c r="B532" s="15" t="s">
        <v>1753</v>
      </c>
      <c r="C532" s="15" t="s">
        <v>1754</v>
      </c>
      <c r="D532" s="15" t="s">
        <v>1755</v>
      </c>
      <c r="E532" s="15" t="s">
        <v>766</v>
      </c>
      <c r="F532" s="41">
        <v>2</v>
      </c>
      <c r="G532" s="42">
        <v>10.6</v>
      </c>
      <c r="H532" s="43">
        <v>0.01</v>
      </c>
      <c r="I532" s="41" t="s">
        <v>63</v>
      </c>
      <c r="J532" s="16">
        <f t="shared" si="16"/>
        <v>10.494</v>
      </c>
      <c r="K532" s="16">
        <f>IF(Q532="",0,IF(SUMPRODUCT(('Returns &amp; Refunds'!$A$6:$A$11=C532)*('Returns &amp; Refunds'!$H$6:$H$11="Confirmed Good — Remove Charge"))&gt;0,0,Q532))</f>
        <v>20.988</v>
      </c>
      <c r="L532" s="16">
        <v>15</v>
      </c>
      <c r="M532" s="28">
        <v>14.9</v>
      </c>
      <c r="N532" s="29">
        <v>6.7000000000000002E-3</v>
      </c>
      <c r="O532" s="44" t="s">
        <v>62</v>
      </c>
      <c r="P532" s="15"/>
      <c r="Q532" s="16">
        <f t="shared" si="17"/>
        <v>20.988</v>
      </c>
    </row>
    <row r="533" spans="1:17" ht="15" customHeight="1" x14ac:dyDescent="0.25">
      <c r="A533" s="15">
        <v>532</v>
      </c>
      <c r="B533" s="15" t="s">
        <v>1756</v>
      </c>
      <c r="C533" s="15" t="s">
        <v>1757</v>
      </c>
      <c r="D533" s="15" t="s">
        <v>1758</v>
      </c>
      <c r="E533" s="15" t="s">
        <v>1759</v>
      </c>
      <c r="F533" s="41">
        <v>1</v>
      </c>
      <c r="G533" s="42">
        <v>15.8</v>
      </c>
      <c r="H533" s="43">
        <v>0.3</v>
      </c>
      <c r="I533" s="41" t="s">
        <v>63</v>
      </c>
      <c r="J533" s="16">
        <f t="shared" si="16"/>
        <v>11.06</v>
      </c>
      <c r="K533" s="16">
        <f>IF(Q533="",0,IF(SUMPRODUCT(('Returns &amp; Refunds'!$A$6:$A$11=C533)*('Returns &amp; Refunds'!$H$6:$H$11="Confirmed Good — Remove Charge"))&gt;0,0,Q533))</f>
        <v>11.06</v>
      </c>
      <c r="L533" s="16">
        <v>24.9</v>
      </c>
      <c r="M533" s="28">
        <v>17.399999999999999</v>
      </c>
      <c r="N533" s="29">
        <v>0.30120000000000002</v>
      </c>
      <c r="O533" s="44" t="s">
        <v>62</v>
      </c>
      <c r="P533" s="15"/>
      <c r="Q533" s="16">
        <f t="shared" si="17"/>
        <v>11.06</v>
      </c>
    </row>
    <row r="534" spans="1:17" ht="15" customHeight="1" x14ac:dyDescent="0.25">
      <c r="A534" s="15">
        <v>533</v>
      </c>
      <c r="B534" s="15" t="s">
        <v>1760</v>
      </c>
      <c r="C534" s="15" t="s">
        <v>1761</v>
      </c>
      <c r="D534" s="15" t="s">
        <v>1762</v>
      </c>
      <c r="E534" s="15" t="s">
        <v>429</v>
      </c>
      <c r="F534" s="41">
        <v>1</v>
      </c>
      <c r="G534" s="42">
        <v>13.5</v>
      </c>
      <c r="H534" s="43">
        <v>0.01</v>
      </c>
      <c r="I534" s="41" t="s">
        <v>63</v>
      </c>
      <c r="J534" s="16">
        <f t="shared" si="16"/>
        <v>13.365</v>
      </c>
      <c r="K534" s="16">
        <f>IF(Q534="",0,IF(SUMPRODUCT(('Returns &amp; Refunds'!$A$6:$A$11=C534)*('Returns &amp; Refunds'!$H$6:$H$11="Confirmed Good — Remove Charge"))&gt;0,0,Q534))</f>
        <v>13.365</v>
      </c>
      <c r="L534" s="16">
        <v>17.899999999999999</v>
      </c>
      <c r="M534" s="28">
        <v>17.7</v>
      </c>
      <c r="N534" s="29">
        <v>1.12E-2</v>
      </c>
      <c r="O534" s="44" t="s">
        <v>62</v>
      </c>
      <c r="P534" s="15"/>
      <c r="Q534" s="16">
        <f t="shared" si="17"/>
        <v>13.365</v>
      </c>
    </row>
    <row r="535" spans="1:17" ht="15" customHeight="1" x14ac:dyDescent="0.25">
      <c r="A535" s="15">
        <v>534</v>
      </c>
      <c r="B535" s="15" t="s">
        <v>1763</v>
      </c>
      <c r="C535" s="15" t="s">
        <v>1764</v>
      </c>
      <c r="D535" s="15" t="s">
        <v>1765</v>
      </c>
      <c r="E535" s="15" t="s">
        <v>320</v>
      </c>
      <c r="F535" s="41">
        <v>1</v>
      </c>
      <c r="G535" s="42">
        <v>10.5</v>
      </c>
      <c r="H535" s="43">
        <v>0.01</v>
      </c>
      <c r="I535" s="41" t="s">
        <v>63</v>
      </c>
      <c r="J535" s="16">
        <f t="shared" si="16"/>
        <v>10.395</v>
      </c>
      <c r="K535" s="16">
        <f>IF(Q535="",0,IF(SUMPRODUCT(('Returns &amp; Refunds'!$A$6:$A$11=C535)*('Returns &amp; Refunds'!$H$6:$H$11="Confirmed Good — Remove Charge"))&gt;0,0,Q535))</f>
        <v>10.395</v>
      </c>
      <c r="L535" s="16">
        <v>15</v>
      </c>
      <c r="M535" s="28">
        <v>14.9</v>
      </c>
      <c r="N535" s="29">
        <v>6.7000000000000002E-3</v>
      </c>
      <c r="O535" s="44" t="s">
        <v>62</v>
      </c>
      <c r="P535" s="15"/>
      <c r="Q535" s="16">
        <f t="shared" si="17"/>
        <v>10.395</v>
      </c>
    </row>
    <row r="536" spans="1:17" ht="15" customHeight="1" x14ac:dyDescent="0.25">
      <c r="A536" s="15">
        <v>535</v>
      </c>
      <c r="B536" s="15" t="s">
        <v>1763</v>
      </c>
      <c r="C536" s="15" t="s">
        <v>1764</v>
      </c>
      <c r="D536" s="15" t="s">
        <v>1765</v>
      </c>
      <c r="E536" s="15" t="s">
        <v>1766</v>
      </c>
      <c r="F536" s="41">
        <v>1</v>
      </c>
      <c r="G536" s="42">
        <v>10.5</v>
      </c>
      <c r="H536" s="43">
        <v>0.01</v>
      </c>
      <c r="I536" s="41" t="s">
        <v>63</v>
      </c>
      <c r="J536" s="16">
        <f t="shared" si="16"/>
        <v>10.395</v>
      </c>
      <c r="K536" s="16">
        <f>IF(Q536="",0,IF(SUMPRODUCT(('Returns &amp; Refunds'!$A$6:$A$11=C536)*('Returns &amp; Refunds'!$H$6:$H$11="Confirmed Good — Remove Charge"))&gt;0,0,Q536))</f>
        <v>10.395</v>
      </c>
      <c r="L536" s="16">
        <v>15</v>
      </c>
      <c r="M536" s="28">
        <v>14.9</v>
      </c>
      <c r="N536" s="29">
        <v>6.7000000000000002E-3</v>
      </c>
      <c r="O536" s="44" t="s">
        <v>62</v>
      </c>
      <c r="P536" s="15"/>
      <c r="Q536" s="16">
        <f t="shared" si="17"/>
        <v>10.395</v>
      </c>
    </row>
    <row r="537" spans="1:17" ht="15" customHeight="1" x14ac:dyDescent="0.25">
      <c r="A537" s="15">
        <v>536</v>
      </c>
      <c r="B537" s="15" t="s">
        <v>1767</v>
      </c>
      <c r="C537" s="15" t="s">
        <v>1768</v>
      </c>
      <c r="D537" s="15" t="s">
        <v>1769</v>
      </c>
      <c r="E537" s="15" t="s">
        <v>243</v>
      </c>
      <c r="F537" s="41">
        <v>1</v>
      </c>
      <c r="G537" s="42">
        <v>10.5</v>
      </c>
      <c r="H537" s="43">
        <v>0.01</v>
      </c>
      <c r="I537" s="41" t="s">
        <v>63</v>
      </c>
      <c r="J537" s="16">
        <f t="shared" si="16"/>
        <v>10.395</v>
      </c>
      <c r="K537" s="16">
        <f>IF(Q537="",0,IF(SUMPRODUCT(('Returns &amp; Refunds'!$A$6:$A$11=C537)*('Returns &amp; Refunds'!$H$6:$H$11="Confirmed Good — Remove Charge"))&gt;0,0,Q537))</f>
        <v>10.395</v>
      </c>
      <c r="L537" s="16">
        <v>15</v>
      </c>
      <c r="M537" s="28">
        <v>14.9</v>
      </c>
      <c r="N537" s="29">
        <v>6.7000000000000002E-3</v>
      </c>
      <c r="O537" s="44" t="s">
        <v>62</v>
      </c>
      <c r="P537" s="15"/>
      <c r="Q537" s="16">
        <f t="shared" si="17"/>
        <v>10.395</v>
      </c>
    </row>
    <row r="538" spans="1:17" ht="15" customHeight="1" x14ac:dyDescent="0.25">
      <c r="A538" s="15">
        <v>537</v>
      </c>
      <c r="B538" s="15" t="s">
        <v>155</v>
      </c>
      <c r="C538" s="15" t="s">
        <v>156</v>
      </c>
      <c r="D538" s="15" t="s">
        <v>1770</v>
      </c>
      <c r="E538" s="15" t="s">
        <v>149</v>
      </c>
      <c r="F538" s="41">
        <v>1</v>
      </c>
      <c r="G538" s="42">
        <v>31.5</v>
      </c>
      <c r="H538" s="43">
        <v>0.01</v>
      </c>
      <c r="I538" s="46" t="str">
        <f>IF('Pending DSP Entry'!L45="Charge Full DSP Instead","No","Yes")</f>
        <v>Yes</v>
      </c>
      <c r="J538" s="16">
        <f t="shared" si="16"/>
        <v>31.184999999999999</v>
      </c>
      <c r="K538" s="16">
        <f>IF(Q538="",0,IF(SUMPRODUCT(('Returns &amp; Refunds'!$A$6:$A$11=C538)*('Returns &amp; Refunds'!$H$6:$H$11="Confirmed Good — Remove Charge"))&gt;0,0,Q538))</f>
        <v>31.184999999999999</v>
      </c>
      <c r="L538" s="16">
        <v>39.9</v>
      </c>
      <c r="M538" s="28">
        <v>37.89</v>
      </c>
      <c r="N538" s="29">
        <v>5.04E-2</v>
      </c>
      <c r="O538" s="38" t="s">
        <v>129</v>
      </c>
      <c r="P538" s="47" t="str">
        <f>"Wrong rate set by reseller — decision at Pending DSP Entry section D, row 45"</f>
        <v>Wrong rate set by reseller — decision at Pending DSP Entry section D, row 45</v>
      </c>
      <c r="Q538" s="16">
        <f t="shared" si="17"/>
        <v>31.184999999999999</v>
      </c>
    </row>
    <row r="539" spans="1:17" ht="15" customHeight="1" x14ac:dyDescent="0.25">
      <c r="A539" s="15">
        <v>538</v>
      </c>
      <c r="B539" s="15" t="s">
        <v>1771</v>
      </c>
      <c r="C539" s="15" t="s">
        <v>1772</v>
      </c>
      <c r="D539" s="15" t="s">
        <v>1773</v>
      </c>
      <c r="E539" s="15" t="s">
        <v>1411</v>
      </c>
      <c r="F539" s="41">
        <v>1</v>
      </c>
      <c r="G539" s="42">
        <v>25.6</v>
      </c>
      <c r="H539" s="43">
        <v>0.05</v>
      </c>
      <c r="I539" s="41" t="s">
        <v>63</v>
      </c>
      <c r="J539" s="16">
        <f t="shared" si="16"/>
        <v>24.32</v>
      </c>
      <c r="K539" s="16">
        <f>IF(Q539="",0,IF(SUMPRODUCT(('Returns &amp; Refunds'!$A$6:$A$11=C539)*('Returns &amp; Refunds'!$H$6:$H$11="Confirmed Good — Remove Charge"))&gt;0,0,Q539))</f>
        <v>24.32</v>
      </c>
      <c r="L539" s="16">
        <v>35.9</v>
      </c>
      <c r="M539" s="28">
        <v>34.1</v>
      </c>
      <c r="N539" s="29">
        <v>5.0099999999999999E-2</v>
      </c>
      <c r="O539" s="44" t="s">
        <v>62</v>
      </c>
      <c r="P539" s="15"/>
      <c r="Q539" s="16">
        <f t="shared" si="17"/>
        <v>24.32</v>
      </c>
    </row>
    <row r="540" spans="1:17" ht="15" customHeight="1" x14ac:dyDescent="0.25">
      <c r="A540" s="15">
        <v>539</v>
      </c>
      <c r="B540" s="15" t="s">
        <v>1774</v>
      </c>
      <c r="C540" s="15" t="s">
        <v>1775</v>
      </c>
      <c r="D540" s="15" t="s">
        <v>1776</v>
      </c>
      <c r="E540" s="15" t="s">
        <v>1777</v>
      </c>
      <c r="F540" s="41">
        <v>1</v>
      </c>
      <c r="G540" s="42">
        <v>13.8</v>
      </c>
      <c r="H540" s="43">
        <v>0.02</v>
      </c>
      <c r="I540" s="41" t="s">
        <v>69</v>
      </c>
      <c r="J540" s="16">
        <f t="shared" si="16"/>
        <v>13.8</v>
      </c>
      <c r="K540" s="16">
        <f>IF(Q540="",0,IF(SUMPRODUCT(('Returns &amp; Refunds'!$A$6:$A$11=C540)*('Returns &amp; Refunds'!$H$6:$H$11="Confirmed Good — Remove Charge"))&gt;0,0,Q540))</f>
        <v>13.8</v>
      </c>
      <c r="L540" s="16">
        <v>19.899999999999999</v>
      </c>
      <c r="M540" s="28">
        <v>19.899999999999999</v>
      </c>
      <c r="N540" s="29">
        <v>0</v>
      </c>
      <c r="O540" s="45" t="s">
        <v>68</v>
      </c>
      <c r="P540" s="15"/>
      <c r="Q540" s="16">
        <f t="shared" si="17"/>
        <v>13.8</v>
      </c>
    </row>
    <row r="541" spans="1:17" ht="15" customHeight="1" x14ac:dyDescent="0.25">
      <c r="A541" s="15">
        <v>540</v>
      </c>
      <c r="B541" s="15" t="s">
        <v>1778</v>
      </c>
      <c r="C541" s="15" t="s">
        <v>1779</v>
      </c>
      <c r="D541" s="15" t="s">
        <v>1780</v>
      </c>
      <c r="E541" s="15" t="s">
        <v>361</v>
      </c>
      <c r="F541" s="41">
        <v>1</v>
      </c>
      <c r="G541" s="42">
        <v>13.1</v>
      </c>
      <c r="H541" s="43">
        <v>0.01</v>
      </c>
      <c r="I541" s="41" t="s">
        <v>63</v>
      </c>
      <c r="J541" s="16">
        <f t="shared" si="16"/>
        <v>12.968999999999999</v>
      </c>
      <c r="K541" s="16">
        <f>IF(Q541="",0,IF(SUMPRODUCT(('Returns &amp; Refunds'!$A$6:$A$11=C541)*('Returns &amp; Refunds'!$H$6:$H$11="Confirmed Good — Remove Charge"))&gt;0,0,Q541))</f>
        <v>12.968999999999999</v>
      </c>
      <c r="L541" s="16">
        <v>17.899999999999999</v>
      </c>
      <c r="M541" s="28">
        <v>17.7</v>
      </c>
      <c r="N541" s="29">
        <v>1.12E-2</v>
      </c>
      <c r="O541" s="44" t="s">
        <v>62</v>
      </c>
      <c r="P541" s="15"/>
      <c r="Q541" s="16">
        <f t="shared" si="17"/>
        <v>12.968999999999999</v>
      </c>
    </row>
    <row r="542" spans="1:17" ht="15" customHeight="1" x14ac:dyDescent="0.25">
      <c r="A542" s="15">
        <v>541</v>
      </c>
      <c r="B542" s="15" t="s">
        <v>1781</v>
      </c>
      <c r="C542" s="15" t="s">
        <v>1782</v>
      </c>
      <c r="D542" s="15" t="s">
        <v>1783</v>
      </c>
      <c r="E542" s="15" t="s">
        <v>186</v>
      </c>
      <c r="F542" s="41">
        <v>1</v>
      </c>
      <c r="G542" s="42">
        <v>12.4</v>
      </c>
      <c r="H542" s="43">
        <v>0.01</v>
      </c>
      <c r="I542" s="41" t="s">
        <v>63</v>
      </c>
      <c r="J542" s="16">
        <f t="shared" si="16"/>
        <v>12.276</v>
      </c>
      <c r="K542" s="16">
        <f>IF(Q542="",0,IF(SUMPRODUCT(('Returns &amp; Refunds'!$A$6:$A$11=C542)*('Returns &amp; Refunds'!$H$6:$H$11="Confirmed Good — Remove Charge"))&gt;0,0,Q542))</f>
        <v>12.276</v>
      </c>
      <c r="L542" s="16">
        <v>17.899999999999999</v>
      </c>
      <c r="M542" s="28">
        <v>17.7</v>
      </c>
      <c r="N542" s="29">
        <v>1.12E-2</v>
      </c>
      <c r="O542" s="44" t="s">
        <v>62</v>
      </c>
      <c r="P542" s="15"/>
      <c r="Q542" s="16">
        <f t="shared" si="17"/>
        <v>12.276</v>
      </c>
    </row>
    <row r="543" spans="1:17" ht="15" customHeight="1" x14ac:dyDescent="0.25">
      <c r="A543" s="15">
        <v>542</v>
      </c>
      <c r="B543" s="15" t="s">
        <v>1781</v>
      </c>
      <c r="C543" s="15" t="s">
        <v>1782</v>
      </c>
      <c r="D543" s="15" t="s">
        <v>1783</v>
      </c>
      <c r="E543" s="15" t="s">
        <v>1784</v>
      </c>
      <c r="F543" s="41">
        <v>1</v>
      </c>
      <c r="G543" s="42">
        <v>12.4</v>
      </c>
      <c r="H543" s="43">
        <v>0.08</v>
      </c>
      <c r="I543" s="41" t="s">
        <v>63</v>
      </c>
      <c r="J543" s="16">
        <f t="shared" si="16"/>
        <v>11.408000000000001</v>
      </c>
      <c r="K543" s="16">
        <f>IF(Q543="",0,IF(SUMPRODUCT(('Returns &amp; Refunds'!$A$6:$A$11=C543)*('Returns &amp; Refunds'!$H$6:$H$11="Confirmed Good — Remove Charge"))&gt;0,0,Q543))</f>
        <v>11.408000000000001</v>
      </c>
      <c r="L543" s="16">
        <v>19.899999999999999</v>
      </c>
      <c r="M543" s="28">
        <v>18.3</v>
      </c>
      <c r="N543" s="29">
        <v>8.0399999999999999E-2</v>
      </c>
      <c r="O543" s="44" t="s">
        <v>62</v>
      </c>
      <c r="P543" s="15"/>
      <c r="Q543" s="16">
        <f t="shared" si="17"/>
        <v>11.408000000000001</v>
      </c>
    </row>
    <row r="544" spans="1:17" ht="15" customHeight="1" x14ac:dyDescent="0.25">
      <c r="A544" s="15">
        <v>543</v>
      </c>
      <c r="B544" s="15" t="s">
        <v>1785</v>
      </c>
      <c r="C544" s="15" t="s">
        <v>1786</v>
      </c>
      <c r="D544" s="15" t="s">
        <v>1787</v>
      </c>
      <c r="E544" s="15" t="s">
        <v>429</v>
      </c>
      <c r="F544" s="41">
        <v>1</v>
      </c>
      <c r="G544" s="42">
        <v>13.5</v>
      </c>
      <c r="H544" s="43">
        <v>0.01</v>
      </c>
      <c r="I544" s="41" t="s">
        <v>63</v>
      </c>
      <c r="J544" s="16">
        <f t="shared" si="16"/>
        <v>13.365</v>
      </c>
      <c r="K544" s="16">
        <f>IF(Q544="",0,IF(SUMPRODUCT(('Returns &amp; Refunds'!$A$6:$A$11=C544)*('Returns &amp; Refunds'!$H$6:$H$11="Confirmed Good — Remove Charge"))&gt;0,0,Q544))</f>
        <v>13.365</v>
      </c>
      <c r="L544" s="16">
        <v>17.899999999999999</v>
      </c>
      <c r="M544" s="28">
        <v>17.7</v>
      </c>
      <c r="N544" s="29">
        <v>1.12E-2</v>
      </c>
      <c r="O544" s="44" t="s">
        <v>62</v>
      </c>
      <c r="P544" s="15"/>
      <c r="Q544" s="16">
        <f t="shared" si="17"/>
        <v>13.365</v>
      </c>
    </row>
    <row r="545" spans="1:17" ht="15" customHeight="1" x14ac:dyDescent="0.25">
      <c r="A545" s="15">
        <v>544</v>
      </c>
      <c r="B545" s="15" t="s">
        <v>1788</v>
      </c>
      <c r="C545" s="15" t="s">
        <v>1789</v>
      </c>
      <c r="D545" s="15" t="s">
        <v>1790</v>
      </c>
      <c r="E545" s="15" t="s">
        <v>1791</v>
      </c>
      <c r="F545" s="41">
        <v>1</v>
      </c>
      <c r="G545" s="42">
        <v>28.6</v>
      </c>
      <c r="H545" s="43">
        <v>0.08</v>
      </c>
      <c r="I545" s="41" t="s">
        <v>63</v>
      </c>
      <c r="J545" s="16">
        <f t="shared" si="16"/>
        <v>26.312000000000001</v>
      </c>
      <c r="K545" s="16">
        <f>IF(Q545="",0,IF(SUMPRODUCT(('Returns &amp; Refunds'!$A$6:$A$11=C545)*('Returns &amp; Refunds'!$H$6:$H$11="Confirmed Good — Remove Charge"))&gt;0,0,Q545))</f>
        <v>26.312000000000001</v>
      </c>
      <c r="L545" s="16">
        <v>40</v>
      </c>
      <c r="M545" s="28">
        <v>36.799999999999997</v>
      </c>
      <c r="N545" s="29">
        <v>0.08</v>
      </c>
      <c r="O545" s="44" t="s">
        <v>62</v>
      </c>
      <c r="P545" s="15"/>
      <c r="Q545" s="16">
        <f t="shared" si="17"/>
        <v>26.312000000000001</v>
      </c>
    </row>
    <row r="546" spans="1:17" ht="15" customHeight="1" x14ac:dyDescent="0.25">
      <c r="A546" s="15">
        <v>545</v>
      </c>
      <c r="B546" s="15" t="s">
        <v>1792</v>
      </c>
      <c r="C546" s="15" t="s">
        <v>1793</v>
      </c>
      <c r="D546" s="15" t="s">
        <v>1794</v>
      </c>
      <c r="E546" s="15" t="s">
        <v>179</v>
      </c>
      <c r="F546" s="41">
        <v>1</v>
      </c>
      <c r="G546" s="42">
        <v>11.3</v>
      </c>
      <c r="H546" s="43">
        <v>0.01</v>
      </c>
      <c r="I546" s="41" t="s">
        <v>63</v>
      </c>
      <c r="J546" s="16">
        <f t="shared" si="16"/>
        <v>11.187000000000001</v>
      </c>
      <c r="K546" s="16">
        <f>IF(Q546="",0,IF(SUMPRODUCT(('Returns &amp; Refunds'!$A$6:$A$11=C546)*('Returns &amp; Refunds'!$H$6:$H$11="Confirmed Good — Remove Charge"))&gt;0,0,Q546))</f>
        <v>11.187000000000001</v>
      </c>
      <c r="L546" s="16">
        <v>15.9</v>
      </c>
      <c r="M546" s="28">
        <v>15.7</v>
      </c>
      <c r="N546" s="29">
        <v>1.26E-2</v>
      </c>
      <c r="O546" s="44" t="s">
        <v>62</v>
      </c>
      <c r="P546" s="15"/>
      <c r="Q546" s="16">
        <f t="shared" si="17"/>
        <v>11.187000000000001</v>
      </c>
    </row>
    <row r="547" spans="1:17" ht="15" customHeight="1" x14ac:dyDescent="0.25">
      <c r="A547" s="15">
        <v>546</v>
      </c>
      <c r="B547" s="15" t="s">
        <v>240</v>
      </c>
      <c r="C547" s="15" t="s">
        <v>241</v>
      </c>
      <c r="D547" s="15" t="s">
        <v>1795</v>
      </c>
      <c r="E547" s="15" t="s">
        <v>242</v>
      </c>
      <c r="F547" s="41">
        <v>1</v>
      </c>
      <c r="G547" s="42">
        <v>10.5</v>
      </c>
      <c r="H547" s="43">
        <v>0.01</v>
      </c>
      <c r="I547" s="46" t="str">
        <f>IF('Pending DSP Entry'!L94="Charge Full DSP Instead","No","Yes")</f>
        <v>Yes</v>
      </c>
      <c r="J547" s="16">
        <f t="shared" si="16"/>
        <v>10.395</v>
      </c>
      <c r="K547" s="16">
        <f>IF(Q547="",0,IF(SUMPRODUCT(('Returns &amp; Refunds'!$A$6:$A$11=C547)*('Returns &amp; Refunds'!$H$6:$H$11="Confirmed Good — Remove Charge"))&gt;0,0,Q547))</f>
        <v>10.395</v>
      </c>
      <c r="L547" s="16">
        <v>15</v>
      </c>
      <c r="M547" s="28">
        <v>14.75</v>
      </c>
      <c r="N547" s="29">
        <v>1.67E-2</v>
      </c>
      <c r="O547" s="38" t="s">
        <v>129</v>
      </c>
      <c r="P547" s="47" t="str">
        <f>"Wrong rate set by reseller — decision at Pending DSP Entry section D, row 94"</f>
        <v>Wrong rate set by reseller — decision at Pending DSP Entry section D, row 94</v>
      </c>
      <c r="Q547" s="16">
        <f t="shared" si="17"/>
        <v>10.395</v>
      </c>
    </row>
    <row r="548" spans="1:17" ht="15" customHeight="1" x14ac:dyDescent="0.25">
      <c r="A548" s="15">
        <v>547</v>
      </c>
      <c r="B548" s="15" t="s">
        <v>240</v>
      </c>
      <c r="C548" s="15" t="s">
        <v>241</v>
      </c>
      <c r="D548" s="15" t="s">
        <v>1795</v>
      </c>
      <c r="E548" s="15" t="s">
        <v>243</v>
      </c>
      <c r="F548" s="41">
        <v>2</v>
      </c>
      <c r="G548" s="42">
        <v>10.5</v>
      </c>
      <c r="H548" s="43">
        <v>0.01</v>
      </c>
      <c r="I548" s="46" t="str">
        <f>IF('Pending DSP Entry'!L95="Charge Full DSP Instead","No","Yes")</f>
        <v>Yes</v>
      </c>
      <c r="J548" s="16">
        <f t="shared" si="16"/>
        <v>10.395</v>
      </c>
      <c r="K548" s="16">
        <f>IF(Q548="",0,IF(SUMPRODUCT(('Returns &amp; Refunds'!$A$6:$A$11=C548)*('Returns &amp; Refunds'!$H$6:$H$11="Confirmed Good — Remove Charge"))&gt;0,0,Q548))</f>
        <v>20.79</v>
      </c>
      <c r="L548" s="16">
        <v>15</v>
      </c>
      <c r="M548" s="28">
        <v>14.75</v>
      </c>
      <c r="N548" s="29">
        <v>1.67E-2</v>
      </c>
      <c r="O548" s="38" t="s">
        <v>129</v>
      </c>
      <c r="P548" s="47" t="str">
        <f>"Wrong rate set by reseller — decision at Pending DSP Entry section D, row 95"</f>
        <v>Wrong rate set by reseller — decision at Pending DSP Entry section D, row 95</v>
      </c>
      <c r="Q548" s="16">
        <f t="shared" si="17"/>
        <v>20.79</v>
      </c>
    </row>
    <row r="549" spans="1:17" ht="15" customHeight="1" x14ac:dyDescent="0.25">
      <c r="A549" s="15">
        <v>548</v>
      </c>
      <c r="B549" s="15" t="s">
        <v>1796</v>
      </c>
      <c r="C549" s="15" t="s">
        <v>1797</v>
      </c>
      <c r="D549" s="15" t="s">
        <v>1798</v>
      </c>
      <c r="E549" s="15" t="s">
        <v>469</v>
      </c>
      <c r="F549" s="41">
        <v>1</v>
      </c>
      <c r="G549" s="42">
        <v>13.5</v>
      </c>
      <c r="H549" s="43">
        <v>0.01</v>
      </c>
      <c r="I549" s="41" t="s">
        <v>63</v>
      </c>
      <c r="J549" s="16">
        <f t="shared" si="16"/>
        <v>13.365</v>
      </c>
      <c r="K549" s="16">
        <f>IF(Q549="",0,IF(SUMPRODUCT(('Returns &amp; Refunds'!$A$6:$A$11=C549)*('Returns &amp; Refunds'!$H$6:$H$11="Confirmed Good — Remove Charge"))&gt;0,0,Q549))</f>
        <v>13.365</v>
      </c>
      <c r="L549" s="16">
        <v>17.899999999999999</v>
      </c>
      <c r="M549" s="28">
        <v>17.7</v>
      </c>
      <c r="N549" s="29">
        <v>1.12E-2</v>
      </c>
      <c r="O549" s="44" t="s">
        <v>62</v>
      </c>
      <c r="P549" s="15"/>
      <c r="Q549" s="16">
        <f t="shared" si="17"/>
        <v>13.365</v>
      </c>
    </row>
    <row r="550" spans="1:17" ht="15" customHeight="1" x14ac:dyDescent="0.25">
      <c r="A550" s="15">
        <v>549</v>
      </c>
      <c r="B550" s="15" t="s">
        <v>1799</v>
      </c>
      <c r="C550" s="15" t="s">
        <v>1800</v>
      </c>
      <c r="D550" s="15" t="s">
        <v>1801</v>
      </c>
      <c r="E550" s="15" t="s">
        <v>1802</v>
      </c>
      <c r="F550" s="41">
        <v>1</v>
      </c>
      <c r="G550" s="42">
        <v>14.8</v>
      </c>
      <c r="H550" s="43">
        <v>0.01</v>
      </c>
      <c r="I550" s="41" t="s">
        <v>63</v>
      </c>
      <c r="J550" s="16">
        <f t="shared" si="16"/>
        <v>14.652000000000001</v>
      </c>
      <c r="K550" s="16">
        <f>IF(Q550="",0,IF(SUMPRODUCT(('Returns &amp; Refunds'!$A$6:$A$11=C550)*('Returns &amp; Refunds'!$H$6:$H$11="Confirmed Good — Remove Charge"))&gt;0,0,Q550))</f>
        <v>14.652000000000001</v>
      </c>
      <c r="L550" s="16">
        <v>20.9</v>
      </c>
      <c r="M550" s="28">
        <v>20.7</v>
      </c>
      <c r="N550" s="29">
        <v>9.5999999999999992E-3</v>
      </c>
      <c r="O550" s="44" t="s">
        <v>62</v>
      </c>
      <c r="P550" s="15"/>
      <c r="Q550" s="16">
        <f t="shared" si="17"/>
        <v>14.652000000000001</v>
      </c>
    </row>
    <row r="551" spans="1:17" ht="15" customHeight="1" x14ac:dyDescent="0.25">
      <c r="A551" s="15">
        <v>550</v>
      </c>
      <c r="B551" s="15" t="s">
        <v>1803</v>
      </c>
      <c r="C551" s="15" t="s">
        <v>1804</v>
      </c>
      <c r="D551" s="15" t="s">
        <v>1805</v>
      </c>
      <c r="E551" s="15" t="s">
        <v>1806</v>
      </c>
      <c r="F551" s="41">
        <v>1</v>
      </c>
      <c r="G551" s="42">
        <v>13.9</v>
      </c>
      <c r="H551" s="43">
        <v>0.1</v>
      </c>
      <c r="I551" s="41" t="s">
        <v>63</v>
      </c>
      <c r="J551" s="16">
        <f t="shared" si="16"/>
        <v>12.51</v>
      </c>
      <c r="K551" s="16">
        <f>IF(Q551="",0,IF(SUMPRODUCT(('Returns &amp; Refunds'!$A$6:$A$11=C551)*('Returns &amp; Refunds'!$H$6:$H$11="Confirmed Good — Remove Charge"))&gt;0,0,Q551))</f>
        <v>12.51</v>
      </c>
      <c r="L551" s="16">
        <v>19.899999999999999</v>
      </c>
      <c r="M551" s="28">
        <v>17.899999999999999</v>
      </c>
      <c r="N551" s="29">
        <v>0.10050000000000001</v>
      </c>
      <c r="O551" s="44" t="s">
        <v>62</v>
      </c>
      <c r="P551" s="15"/>
      <c r="Q551" s="16">
        <f t="shared" si="17"/>
        <v>12.51</v>
      </c>
    </row>
    <row r="552" spans="1:17" ht="15" customHeight="1" x14ac:dyDescent="0.25">
      <c r="A552" s="15">
        <v>551</v>
      </c>
      <c r="B552" s="15" t="s">
        <v>1807</v>
      </c>
      <c r="C552" s="15" t="s">
        <v>1808</v>
      </c>
      <c r="D552" s="15" t="s">
        <v>1809</v>
      </c>
      <c r="E552" s="15" t="s">
        <v>224</v>
      </c>
      <c r="F552" s="41">
        <v>1</v>
      </c>
      <c r="G552" s="42">
        <v>18.8</v>
      </c>
      <c r="H552" s="43">
        <v>0.01</v>
      </c>
      <c r="I552" s="41" t="s">
        <v>63</v>
      </c>
      <c r="J552" s="16">
        <f t="shared" si="16"/>
        <v>18.612000000000002</v>
      </c>
      <c r="K552" s="16">
        <f>IF(Q552="",0,IF(SUMPRODUCT(('Returns &amp; Refunds'!$A$6:$A$11=C552)*('Returns &amp; Refunds'!$H$6:$H$11="Confirmed Good — Remove Charge"))&gt;0,0,Q552))</f>
        <v>18.612000000000002</v>
      </c>
      <c r="L552" s="16">
        <v>24.9</v>
      </c>
      <c r="M552" s="28">
        <v>24.7</v>
      </c>
      <c r="N552" s="29">
        <v>8.0000000000000002E-3</v>
      </c>
      <c r="O552" s="44" t="s">
        <v>62</v>
      </c>
      <c r="P552" s="15"/>
      <c r="Q552" s="16">
        <f t="shared" si="17"/>
        <v>18.612000000000002</v>
      </c>
    </row>
    <row r="553" spans="1:17" ht="15" customHeight="1" x14ac:dyDescent="0.25">
      <c r="A553" s="15">
        <v>552</v>
      </c>
      <c r="B553" s="15" t="s">
        <v>1810</v>
      </c>
      <c r="C553" s="15" t="s">
        <v>1811</v>
      </c>
      <c r="D553" s="15" t="s">
        <v>1812</v>
      </c>
      <c r="E553" s="15" t="s">
        <v>233</v>
      </c>
      <c r="F553" s="41">
        <v>1</v>
      </c>
      <c r="G553" s="42">
        <v>10.7</v>
      </c>
      <c r="H553" s="43">
        <v>0.01</v>
      </c>
      <c r="I553" s="41" t="s">
        <v>63</v>
      </c>
      <c r="J553" s="16">
        <f t="shared" si="16"/>
        <v>10.593</v>
      </c>
      <c r="K553" s="16">
        <f>IF(Q553="",0,IF(SUMPRODUCT(('Returns &amp; Refunds'!$A$6:$A$11=C553)*('Returns &amp; Refunds'!$H$6:$H$11="Confirmed Good — Remove Charge"))&gt;0,0,Q553))</f>
        <v>10.593</v>
      </c>
      <c r="L553" s="16">
        <v>15</v>
      </c>
      <c r="M553" s="28">
        <v>14.9</v>
      </c>
      <c r="N553" s="29">
        <v>6.7000000000000002E-3</v>
      </c>
      <c r="O553" s="44" t="s">
        <v>62</v>
      </c>
      <c r="P553" s="15"/>
      <c r="Q553" s="16">
        <f t="shared" si="17"/>
        <v>10.593</v>
      </c>
    </row>
    <row r="554" spans="1:17" ht="15" customHeight="1" x14ac:dyDescent="0.25">
      <c r="A554" s="15">
        <v>553</v>
      </c>
      <c r="B554" s="15" t="s">
        <v>1813</v>
      </c>
      <c r="C554" s="15" t="s">
        <v>1814</v>
      </c>
      <c r="D554" s="15" t="s">
        <v>1815</v>
      </c>
      <c r="E554" s="15" t="s">
        <v>518</v>
      </c>
      <c r="F554" s="41">
        <v>1</v>
      </c>
      <c r="G554" s="42">
        <v>10.6</v>
      </c>
      <c r="H554" s="43">
        <v>0.01</v>
      </c>
      <c r="I554" s="41" t="s">
        <v>63</v>
      </c>
      <c r="J554" s="16">
        <f t="shared" si="16"/>
        <v>10.494</v>
      </c>
      <c r="K554" s="16">
        <f>IF(Q554="",0,IF(SUMPRODUCT(('Returns &amp; Refunds'!$A$6:$A$11=C554)*('Returns &amp; Refunds'!$H$6:$H$11="Confirmed Good — Remove Charge"))&gt;0,0,Q554))</f>
        <v>10.494</v>
      </c>
      <c r="L554" s="16">
        <v>15</v>
      </c>
      <c r="M554" s="28">
        <v>14.9</v>
      </c>
      <c r="N554" s="29">
        <v>6.7000000000000002E-3</v>
      </c>
      <c r="O554" s="44" t="s">
        <v>62</v>
      </c>
      <c r="P554" s="15"/>
      <c r="Q554" s="16">
        <f t="shared" si="17"/>
        <v>10.494</v>
      </c>
    </row>
    <row r="555" spans="1:17" ht="15" customHeight="1" x14ac:dyDescent="0.25">
      <c r="A555" s="15">
        <v>554</v>
      </c>
      <c r="B555" s="15" t="s">
        <v>1816</v>
      </c>
      <c r="C555" s="15" t="s">
        <v>1817</v>
      </c>
      <c r="D555" s="15" t="s">
        <v>1818</v>
      </c>
      <c r="E555" s="15" t="s">
        <v>1819</v>
      </c>
      <c r="F555" s="41">
        <v>1</v>
      </c>
      <c r="G555" s="42">
        <v>41.9</v>
      </c>
      <c r="H555" s="43">
        <v>0.05</v>
      </c>
      <c r="I555" s="41" t="s">
        <v>63</v>
      </c>
      <c r="J555" s="16">
        <f t="shared" si="16"/>
        <v>39.805</v>
      </c>
      <c r="K555" s="16">
        <f>IF(Q555="",0,IF(SUMPRODUCT(('Returns &amp; Refunds'!$A$6:$A$11=C555)*('Returns &amp; Refunds'!$H$6:$H$11="Confirmed Good — Remove Charge"))&gt;0,0,Q555))</f>
        <v>39.805</v>
      </c>
      <c r="L555" s="16">
        <v>54.9</v>
      </c>
      <c r="M555" s="28">
        <v>52.2</v>
      </c>
      <c r="N555" s="29">
        <v>4.9200000000000001E-2</v>
      </c>
      <c r="O555" s="44" t="s">
        <v>62</v>
      </c>
      <c r="P555" s="15"/>
      <c r="Q555" s="16">
        <f t="shared" si="17"/>
        <v>39.805</v>
      </c>
    </row>
    <row r="556" spans="1:17" ht="15" customHeight="1" x14ac:dyDescent="0.25">
      <c r="A556" s="15">
        <v>555</v>
      </c>
      <c r="B556" s="15" t="s">
        <v>1820</v>
      </c>
      <c r="C556" s="15" t="s">
        <v>1821</v>
      </c>
      <c r="D556" s="15" t="s">
        <v>1822</v>
      </c>
      <c r="E556" s="15" t="s">
        <v>1823</v>
      </c>
      <c r="F556" s="41">
        <v>1</v>
      </c>
      <c r="G556" s="42">
        <v>27.1</v>
      </c>
      <c r="H556" s="43">
        <v>0.08</v>
      </c>
      <c r="I556" s="41" t="s">
        <v>63</v>
      </c>
      <c r="J556" s="16">
        <f t="shared" si="16"/>
        <v>24.932000000000002</v>
      </c>
      <c r="K556" s="16">
        <f>IF(Q556="",0,IF(SUMPRODUCT(('Returns &amp; Refunds'!$A$6:$A$11=C556)*('Returns &amp; Refunds'!$H$6:$H$11="Confirmed Good — Remove Charge"))&gt;0,0,Q556))</f>
        <v>24.932000000000002</v>
      </c>
      <c r="L556" s="16">
        <v>39.9</v>
      </c>
      <c r="M556" s="28">
        <v>36.700000000000003</v>
      </c>
      <c r="N556" s="29">
        <v>8.0199999999999994E-2</v>
      </c>
      <c r="O556" s="44" t="s">
        <v>62</v>
      </c>
      <c r="P556" s="15"/>
      <c r="Q556" s="16">
        <f t="shared" si="17"/>
        <v>24.932000000000002</v>
      </c>
    </row>
    <row r="557" spans="1:17" ht="15" customHeight="1" x14ac:dyDescent="0.25">
      <c r="A557" s="15">
        <v>556</v>
      </c>
      <c r="B557" s="15" t="s">
        <v>1824</v>
      </c>
      <c r="C557" s="15" t="s">
        <v>1825</v>
      </c>
      <c r="D557" s="15" t="s">
        <v>1826</v>
      </c>
      <c r="E557" s="15" t="s">
        <v>1827</v>
      </c>
      <c r="F557" s="41">
        <v>1</v>
      </c>
      <c r="G557" s="42">
        <v>20.3</v>
      </c>
      <c r="H557" s="43">
        <v>0.02</v>
      </c>
      <c r="I557" s="41" t="s">
        <v>63</v>
      </c>
      <c r="J557" s="16">
        <f t="shared" si="16"/>
        <v>19.894000000000002</v>
      </c>
      <c r="K557" s="16">
        <f>IF(Q557="",0,IF(SUMPRODUCT(('Returns &amp; Refunds'!$A$6:$A$11=C557)*('Returns &amp; Refunds'!$H$6:$H$11="Confirmed Good — Remove Charge"))&gt;0,0,Q557))</f>
        <v>19.894000000000002</v>
      </c>
      <c r="L557" s="16">
        <v>27.9</v>
      </c>
      <c r="M557" s="28">
        <v>27.3</v>
      </c>
      <c r="N557" s="29">
        <v>2.1499999999999998E-2</v>
      </c>
      <c r="O557" s="44" t="s">
        <v>62</v>
      </c>
      <c r="P557" s="15"/>
      <c r="Q557" s="16">
        <f t="shared" si="17"/>
        <v>19.894000000000002</v>
      </c>
    </row>
    <row r="558" spans="1:17" ht="15" customHeight="1" x14ac:dyDescent="0.25">
      <c r="A558" s="15">
        <v>557</v>
      </c>
      <c r="B558" s="15" t="s">
        <v>1828</v>
      </c>
      <c r="C558" s="15" t="s">
        <v>1829</v>
      </c>
      <c r="D558" s="15" t="s">
        <v>1830</v>
      </c>
      <c r="E558" s="15" t="s">
        <v>320</v>
      </c>
      <c r="F558" s="41">
        <v>1</v>
      </c>
      <c r="G558" s="42">
        <v>10.5</v>
      </c>
      <c r="H558" s="43">
        <v>0.01</v>
      </c>
      <c r="I558" s="41" t="s">
        <v>63</v>
      </c>
      <c r="J558" s="16">
        <f t="shared" si="16"/>
        <v>10.395</v>
      </c>
      <c r="K558" s="16">
        <f>IF(Q558="",0,IF(SUMPRODUCT(('Returns &amp; Refunds'!$A$6:$A$11=C558)*('Returns &amp; Refunds'!$H$6:$H$11="Confirmed Good — Remove Charge"))&gt;0,0,Q558))</f>
        <v>10.395</v>
      </c>
      <c r="L558" s="16">
        <v>15</v>
      </c>
      <c r="M558" s="28">
        <v>14.9</v>
      </c>
      <c r="N558" s="29">
        <v>6.7000000000000002E-3</v>
      </c>
      <c r="O558" s="44" t="s">
        <v>62</v>
      </c>
      <c r="P558" s="15"/>
      <c r="Q558" s="16">
        <f t="shared" si="17"/>
        <v>10.395</v>
      </c>
    </row>
    <row r="559" spans="1:17" ht="15" customHeight="1" x14ac:dyDescent="0.25">
      <c r="A559" s="15">
        <v>558</v>
      </c>
      <c r="B559" s="15" t="s">
        <v>65</v>
      </c>
      <c r="C559" s="15" t="s">
        <v>66</v>
      </c>
      <c r="D559" s="15" t="s">
        <v>1831</v>
      </c>
      <c r="E559" s="15" t="s">
        <v>67</v>
      </c>
      <c r="F559" s="41">
        <v>1</v>
      </c>
      <c r="G559" s="50">
        <f>IFERROR(IF('Pending DSP Entry'!F7="","",'Pending DSP Entry'!F7),"")</f>
        <v>49.5</v>
      </c>
      <c r="H559" s="48">
        <f>'Pending DSP Entry'!J7</f>
        <v>0</v>
      </c>
      <c r="I559" s="46" t="str">
        <f>'Pending DSP Entry'!L7</f>
        <v>No</v>
      </c>
      <c r="J559" s="16">
        <f t="shared" si="16"/>
        <v>49.5</v>
      </c>
      <c r="K559" s="16">
        <f>IF(Q559="",0,IF(SUMPRODUCT(('Returns &amp; Refunds'!$A$6:$A$11=C559)*('Returns &amp; Refunds'!$H$6:$H$11="Confirmed Good — Remove Charge"))&gt;0,0,Q559))</f>
        <v>49.5</v>
      </c>
      <c r="L559" s="16">
        <v>67.900000000000006</v>
      </c>
      <c r="M559" s="28">
        <v>67.900000000000006</v>
      </c>
      <c r="N559" s="29">
        <v>0</v>
      </c>
      <c r="O559" s="45" t="s">
        <v>68</v>
      </c>
      <c r="P559" s="47" t="str">
        <f>"Pending — see Pending DSP Entry section A, row 7"</f>
        <v>Pending — see Pending DSP Entry section A, row 7</v>
      </c>
      <c r="Q559" s="16">
        <f t="shared" si="17"/>
        <v>49.5</v>
      </c>
    </row>
    <row r="560" spans="1:17" ht="15" customHeight="1" x14ac:dyDescent="0.25">
      <c r="A560" s="15">
        <v>559</v>
      </c>
      <c r="B560" s="15" t="s">
        <v>1832</v>
      </c>
      <c r="C560" s="15" t="s">
        <v>1833</v>
      </c>
      <c r="D560" s="15" t="s">
        <v>1834</v>
      </c>
      <c r="E560" s="15" t="s">
        <v>505</v>
      </c>
      <c r="F560" s="41">
        <v>2</v>
      </c>
      <c r="G560" s="42">
        <v>13.1</v>
      </c>
      <c r="H560" s="43">
        <v>0.01</v>
      </c>
      <c r="I560" s="41" t="s">
        <v>63</v>
      </c>
      <c r="J560" s="16">
        <f t="shared" si="16"/>
        <v>12.968999999999999</v>
      </c>
      <c r="K560" s="16">
        <f>IF(Q560="",0,IF(SUMPRODUCT(('Returns &amp; Refunds'!$A$6:$A$11=C560)*('Returns &amp; Refunds'!$H$6:$H$11="Confirmed Good — Remove Charge"))&gt;0,0,Q560))</f>
        <v>25.937999999999999</v>
      </c>
      <c r="L560" s="16">
        <v>17.899999999999999</v>
      </c>
      <c r="M560" s="28">
        <v>17.7</v>
      </c>
      <c r="N560" s="29">
        <v>1.12E-2</v>
      </c>
      <c r="O560" s="44" t="s">
        <v>62</v>
      </c>
      <c r="P560" s="15"/>
      <c r="Q560" s="16">
        <f t="shared" si="17"/>
        <v>25.937999999999999</v>
      </c>
    </row>
    <row r="561" spans="1:17" ht="15" customHeight="1" x14ac:dyDescent="0.25">
      <c r="A561" s="15">
        <v>560</v>
      </c>
      <c r="B561" s="15" t="s">
        <v>1835</v>
      </c>
      <c r="C561" s="15" t="s">
        <v>1836</v>
      </c>
      <c r="D561" s="15" t="s">
        <v>1837</v>
      </c>
      <c r="E561" s="15" t="s">
        <v>244</v>
      </c>
      <c r="F561" s="41">
        <v>1</v>
      </c>
      <c r="G561" s="42">
        <v>12.4</v>
      </c>
      <c r="H561" s="43">
        <v>0.01</v>
      </c>
      <c r="I561" s="41" t="s">
        <v>63</v>
      </c>
      <c r="J561" s="16">
        <f t="shared" si="16"/>
        <v>12.276</v>
      </c>
      <c r="K561" s="16">
        <f>IF(Q561="",0,IF(SUMPRODUCT(('Returns &amp; Refunds'!$A$6:$A$11=C561)*('Returns &amp; Refunds'!$H$6:$H$11="Confirmed Good — Remove Charge"))&gt;0,0,Q561))</f>
        <v>12.276</v>
      </c>
      <c r="L561" s="16">
        <v>17.899999999999999</v>
      </c>
      <c r="M561" s="28">
        <v>17.7</v>
      </c>
      <c r="N561" s="29">
        <v>1.12E-2</v>
      </c>
      <c r="O561" s="44" t="s">
        <v>62</v>
      </c>
      <c r="P561" s="15"/>
      <c r="Q561" s="16">
        <f t="shared" si="17"/>
        <v>12.276</v>
      </c>
    </row>
    <row r="562" spans="1:17" ht="15" customHeight="1" x14ac:dyDescent="0.25">
      <c r="A562" s="15">
        <v>561</v>
      </c>
      <c r="B562" s="15" t="s">
        <v>70</v>
      </c>
      <c r="C562" s="15" t="s">
        <v>71</v>
      </c>
      <c r="D562" s="15" t="s">
        <v>1838</v>
      </c>
      <c r="E562" s="15" t="s">
        <v>67</v>
      </c>
      <c r="F562" s="41">
        <v>1</v>
      </c>
      <c r="G562" s="50">
        <f>IFERROR(IF('Pending DSP Entry'!F8="","",'Pending DSP Entry'!F8),"")</f>
        <v>49.5</v>
      </c>
      <c r="H562" s="48">
        <f>'Pending DSP Entry'!J8</f>
        <v>0</v>
      </c>
      <c r="I562" s="46" t="str">
        <f>'Pending DSP Entry'!L8</f>
        <v>No</v>
      </c>
      <c r="J562" s="16">
        <f t="shared" si="16"/>
        <v>49.5</v>
      </c>
      <c r="K562" s="16">
        <f>IF(Q562="",0,IF(SUMPRODUCT(('Returns &amp; Refunds'!$A$6:$A$11=C562)*('Returns &amp; Refunds'!$H$6:$H$11="Confirmed Good — Remove Charge"))&gt;0,0,Q562))</f>
        <v>49.5</v>
      </c>
      <c r="L562" s="16">
        <v>67.900000000000006</v>
      </c>
      <c r="M562" s="28">
        <v>67.900000000000006</v>
      </c>
      <c r="N562" s="29">
        <v>0</v>
      </c>
      <c r="O562" s="45" t="s">
        <v>68</v>
      </c>
      <c r="P562" s="47" t="str">
        <f>"Pending — see Pending DSP Entry section A, row 8"</f>
        <v>Pending — see Pending DSP Entry section A, row 8</v>
      </c>
      <c r="Q562" s="16">
        <f t="shared" si="17"/>
        <v>49.5</v>
      </c>
    </row>
    <row r="563" spans="1:17" ht="15" customHeight="1" x14ac:dyDescent="0.25">
      <c r="A563" s="15">
        <v>562</v>
      </c>
      <c r="B563" s="15" t="s">
        <v>1839</v>
      </c>
      <c r="C563" s="15" t="s">
        <v>1840</v>
      </c>
      <c r="D563" s="15" t="s">
        <v>1841</v>
      </c>
      <c r="E563" s="15" t="s">
        <v>1842</v>
      </c>
      <c r="F563" s="41">
        <v>1</v>
      </c>
      <c r="G563" s="42">
        <v>34.5</v>
      </c>
      <c r="H563" s="43">
        <v>0.03</v>
      </c>
      <c r="I563" s="41" t="s">
        <v>69</v>
      </c>
      <c r="J563" s="16">
        <f t="shared" si="16"/>
        <v>34.5</v>
      </c>
      <c r="K563" s="16">
        <f>IF(Q563="",0,IF(SUMPRODUCT(('Returns &amp; Refunds'!$A$6:$A$11=C563)*('Returns &amp; Refunds'!$H$6:$H$11="Confirmed Good — Remove Charge"))&gt;0,0,Q563))</f>
        <v>34.5</v>
      </c>
      <c r="L563" s="16">
        <v>45.9</v>
      </c>
      <c r="M563" s="28">
        <v>45.9</v>
      </c>
      <c r="N563" s="29">
        <v>0</v>
      </c>
      <c r="O563" s="45" t="s">
        <v>68</v>
      </c>
      <c r="P563" s="15"/>
      <c r="Q563" s="16">
        <f t="shared" si="17"/>
        <v>34.5</v>
      </c>
    </row>
    <row r="564" spans="1:17" ht="15" customHeight="1" x14ac:dyDescent="0.25">
      <c r="A564" s="15">
        <v>563</v>
      </c>
      <c r="B564" s="15" t="s">
        <v>1843</v>
      </c>
      <c r="C564" s="15" t="s">
        <v>1844</v>
      </c>
      <c r="D564" s="15" t="s">
        <v>1845</v>
      </c>
      <c r="E564" s="15" t="s">
        <v>469</v>
      </c>
      <c r="F564" s="41">
        <v>1</v>
      </c>
      <c r="G564" s="42">
        <v>13.5</v>
      </c>
      <c r="H564" s="43">
        <v>0.01</v>
      </c>
      <c r="I564" s="41" t="s">
        <v>63</v>
      </c>
      <c r="J564" s="16">
        <f t="shared" si="16"/>
        <v>13.365</v>
      </c>
      <c r="K564" s="16">
        <f>IF(Q564="",0,IF(SUMPRODUCT(('Returns &amp; Refunds'!$A$6:$A$11=C564)*('Returns &amp; Refunds'!$H$6:$H$11="Confirmed Good — Remove Charge"))&gt;0,0,Q564))</f>
        <v>13.365</v>
      </c>
      <c r="L564" s="16">
        <v>17.899999999999999</v>
      </c>
      <c r="M564" s="28">
        <v>17.7</v>
      </c>
      <c r="N564" s="29">
        <v>1.12E-2</v>
      </c>
      <c r="O564" s="44" t="s">
        <v>62</v>
      </c>
      <c r="P564" s="15"/>
      <c r="Q564" s="16">
        <f t="shared" si="17"/>
        <v>13.365</v>
      </c>
    </row>
    <row r="565" spans="1:17" ht="15" customHeight="1" x14ac:dyDescent="0.25">
      <c r="A565" s="15">
        <v>564</v>
      </c>
      <c r="B565" s="15" t="s">
        <v>1846</v>
      </c>
      <c r="C565" s="15" t="s">
        <v>1847</v>
      </c>
      <c r="D565" s="15" t="s">
        <v>1848</v>
      </c>
      <c r="E565" s="15" t="s">
        <v>320</v>
      </c>
      <c r="F565" s="41">
        <v>1</v>
      </c>
      <c r="G565" s="42">
        <v>10.5</v>
      </c>
      <c r="H565" s="43">
        <v>0.01</v>
      </c>
      <c r="I565" s="41" t="s">
        <v>63</v>
      </c>
      <c r="J565" s="16">
        <f t="shared" si="16"/>
        <v>10.395</v>
      </c>
      <c r="K565" s="16">
        <f>IF(Q565="",0,IF(SUMPRODUCT(('Returns &amp; Refunds'!$A$6:$A$11=C565)*('Returns &amp; Refunds'!$H$6:$H$11="Confirmed Good — Remove Charge"))&gt;0,0,Q565))</f>
        <v>10.395</v>
      </c>
      <c r="L565" s="16">
        <v>15</v>
      </c>
      <c r="M565" s="28">
        <v>14.9</v>
      </c>
      <c r="N565" s="29">
        <v>6.7000000000000002E-3</v>
      </c>
      <c r="O565" s="44" t="s">
        <v>62</v>
      </c>
      <c r="P565" s="15"/>
      <c r="Q565" s="16">
        <f t="shared" si="17"/>
        <v>10.395</v>
      </c>
    </row>
    <row r="566" spans="1:17" ht="15" customHeight="1" x14ac:dyDescent="0.25">
      <c r="A566" s="15">
        <v>565</v>
      </c>
      <c r="B566" s="15" t="s">
        <v>1849</v>
      </c>
      <c r="C566" s="15" t="s">
        <v>1850</v>
      </c>
      <c r="D566" s="15" t="s">
        <v>1851</v>
      </c>
      <c r="E566" s="15" t="s">
        <v>1852</v>
      </c>
      <c r="F566" s="41">
        <v>1</v>
      </c>
      <c r="G566" s="42">
        <v>20.3</v>
      </c>
      <c r="H566" s="43">
        <v>0.03</v>
      </c>
      <c r="I566" s="41" t="s">
        <v>63</v>
      </c>
      <c r="J566" s="16">
        <f t="shared" si="16"/>
        <v>19.690999999999999</v>
      </c>
      <c r="K566" s="16">
        <f>IF(Q566="",0,IF(SUMPRODUCT(('Returns &amp; Refunds'!$A$6:$A$11=C566)*('Returns &amp; Refunds'!$H$6:$H$11="Confirmed Good — Remove Charge"))&gt;0,0,Q566))</f>
        <v>19.690999999999999</v>
      </c>
      <c r="L566" s="16">
        <v>29.9</v>
      </c>
      <c r="M566" s="28">
        <v>29</v>
      </c>
      <c r="N566" s="29">
        <v>3.0099999999999998E-2</v>
      </c>
      <c r="O566" s="44" t="s">
        <v>62</v>
      </c>
      <c r="P566" s="15"/>
      <c r="Q566" s="16">
        <f t="shared" si="17"/>
        <v>19.690999999999999</v>
      </c>
    </row>
    <row r="567" spans="1:17" ht="15" customHeight="1" x14ac:dyDescent="0.25">
      <c r="A567" s="15">
        <v>566</v>
      </c>
      <c r="B567" s="15" t="s">
        <v>1849</v>
      </c>
      <c r="C567" s="15" t="s">
        <v>1850</v>
      </c>
      <c r="D567" s="15" t="s">
        <v>1851</v>
      </c>
      <c r="E567" s="15" t="s">
        <v>236</v>
      </c>
      <c r="F567" s="41">
        <v>1</v>
      </c>
      <c r="G567" s="42">
        <v>10.7</v>
      </c>
      <c r="H567" s="43">
        <v>0.01</v>
      </c>
      <c r="I567" s="41" t="s">
        <v>63</v>
      </c>
      <c r="J567" s="16">
        <f t="shared" si="16"/>
        <v>10.593</v>
      </c>
      <c r="K567" s="16">
        <f>IF(Q567="",0,IF(SUMPRODUCT(('Returns &amp; Refunds'!$A$6:$A$11=C567)*('Returns &amp; Refunds'!$H$6:$H$11="Confirmed Good — Remove Charge"))&gt;0,0,Q567))</f>
        <v>10.593</v>
      </c>
      <c r="L567" s="16">
        <v>15.9</v>
      </c>
      <c r="M567" s="28">
        <v>15.7</v>
      </c>
      <c r="N567" s="29">
        <v>1.26E-2</v>
      </c>
      <c r="O567" s="44" t="s">
        <v>62</v>
      </c>
      <c r="P567" s="15"/>
      <c r="Q567" s="16">
        <f t="shared" si="17"/>
        <v>10.593</v>
      </c>
    </row>
    <row r="568" spans="1:17" ht="15" customHeight="1" x14ac:dyDescent="0.25">
      <c r="A568" s="15">
        <v>567</v>
      </c>
      <c r="B568" s="15" t="s">
        <v>1853</v>
      </c>
      <c r="C568" s="15" t="s">
        <v>1854</v>
      </c>
      <c r="D568" s="15" t="s">
        <v>1855</v>
      </c>
      <c r="E568" s="15" t="s">
        <v>527</v>
      </c>
      <c r="F568" s="41">
        <v>1</v>
      </c>
      <c r="G568" s="42">
        <v>6.5</v>
      </c>
      <c r="H568" s="43">
        <v>0.05</v>
      </c>
      <c r="I568" s="41" t="s">
        <v>63</v>
      </c>
      <c r="J568" s="16">
        <f t="shared" si="16"/>
        <v>6.1749999999999998</v>
      </c>
      <c r="K568" s="16">
        <f>IF(Q568="",0,IF(SUMPRODUCT(('Returns &amp; Refunds'!$A$6:$A$11=C568)*('Returns &amp; Refunds'!$H$6:$H$11="Confirmed Good — Remove Charge"))&gt;0,0,Q568))</f>
        <v>6.1749999999999998</v>
      </c>
      <c r="L568" s="16">
        <v>9.9</v>
      </c>
      <c r="M568" s="28">
        <v>9.4</v>
      </c>
      <c r="N568" s="29">
        <v>5.0500000000000003E-2</v>
      </c>
      <c r="O568" s="44" t="s">
        <v>62</v>
      </c>
      <c r="P568" s="15"/>
      <c r="Q568" s="16">
        <f t="shared" si="17"/>
        <v>6.1749999999999998</v>
      </c>
    </row>
    <row r="569" spans="1:17" ht="15" customHeight="1" x14ac:dyDescent="0.25">
      <c r="A569" s="15">
        <v>568</v>
      </c>
      <c r="B569" s="15" t="s">
        <v>1853</v>
      </c>
      <c r="C569" s="15" t="s">
        <v>1854</v>
      </c>
      <c r="D569" s="15" t="s">
        <v>1855</v>
      </c>
      <c r="E569" s="15" t="s">
        <v>862</v>
      </c>
      <c r="F569" s="41">
        <v>1</v>
      </c>
      <c r="G569" s="42">
        <v>27.1</v>
      </c>
      <c r="H569" s="43">
        <v>0.05</v>
      </c>
      <c r="I569" s="41" t="s">
        <v>63</v>
      </c>
      <c r="J569" s="16">
        <f t="shared" si="16"/>
        <v>25.745000000000001</v>
      </c>
      <c r="K569" s="16">
        <f>IF(Q569="",0,IF(SUMPRODUCT(('Returns &amp; Refunds'!$A$6:$A$11=C569)*('Returns &amp; Refunds'!$H$6:$H$11="Confirmed Good — Remove Charge"))&gt;0,0,Q569))</f>
        <v>25.745000000000001</v>
      </c>
      <c r="L569" s="16">
        <v>37.9</v>
      </c>
      <c r="M569" s="28">
        <v>36</v>
      </c>
      <c r="N569" s="29">
        <v>5.0099999999999999E-2</v>
      </c>
      <c r="O569" s="44" t="s">
        <v>62</v>
      </c>
      <c r="P569" s="15"/>
      <c r="Q569" s="16">
        <f t="shared" si="17"/>
        <v>25.745000000000001</v>
      </c>
    </row>
    <row r="570" spans="1:17" ht="15" customHeight="1" x14ac:dyDescent="0.25">
      <c r="A570" s="15">
        <v>569</v>
      </c>
      <c r="B570" s="15" t="s">
        <v>1856</v>
      </c>
      <c r="C570" s="15" t="s">
        <v>1857</v>
      </c>
      <c r="D570" s="15" t="s">
        <v>1858</v>
      </c>
      <c r="E570" s="15" t="s">
        <v>221</v>
      </c>
      <c r="F570" s="41">
        <v>1</v>
      </c>
      <c r="G570" s="42">
        <v>8.1</v>
      </c>
      <c r="H570" s="43">
        <v>0.01</v>
      </c>
      <c r="I570" s="41" t="s">
        <v>63</v>
      </c>
      <c r="J570" s="16">
        <f t="shared" si="16"/>
        <v>8.0190000000000001</v>
      </c>
      <c r="K570" s="16">
        <f>IF(Q570="",0,IF(SUMPRODUCT(('Returns &amp; Refunds'!$A$6:$A$11=C570)*('Returns &amp; Refunds'!$H$6:$H$11="Confirmed Good — Remove Charge"))&gt;0,0,Q570))</f>
        <v>8.0190000000000001</v>
      </c>
      <c r="L570" s="16">
        <v>11.5</v>
      </c>
      <c r="M570" s="28">
        <v>11.4</v>
      </c>
      <c r="N570" s="29">
        <v>8.6999999999999994E-3</v>
      </c>
      <c r="O570" s="44" t="s">
        <v>62</v>
      </c>
      <c r="P570" s="15"/>
      <c r="Q570" s="16">
        <f t="shared" si="17"/>
        <v>8.0190000000000001</v>
      </c>
    </row>
    <row r="571" spans="1:17" ht="15" customHeight="1" x14ac:dyDescent="0.25">
      <c r="A571" s="15">
        <v>570</v>
      </c>
      <c r="B571" s="15" t="s">
        <v>1859</v>
      </c>
      <c r="C571" s="15" t="s">
        <v>1860</v>
      </c>
      <c r="D571" s="15" t="s">
        <v>1861</v>
      </c>
      <c r="E571" s="15" t="s">
        <v>233</v>
      </c>
      <c r="F571" s="41">
        <v>2</v>
      </c>
      <c r="G571" s="42">
        <v>10.7</v>
      </c>
      <c r="H571" s="43">
        <v>0.01</v>
      </c>
      <c r="I571" s="41" t="s">
        <v>63</v>
      </c>
      <c r="J571" s="16">
        <f t="shared" si="16"/>
        <v>10.593</v>
      </c>
      <c r="K571" s="16">
        <f>IF(Q571="",0,IF(SUMPRODUCT(('Returns &amp; Refunds'!$A$6:$A$11=C571)*('Returns &amp; Refunds'!$H$6:$H$11="Confirmed Good — Remove Charge"))&gt;0,0,Q571))</f>
        <v>21.186</v>
      </c>
      <c r="L571" s="16">
        <v>15</v>
      </c>
      <c r="M571" s="28">
        <v>14.9</v>
      </c>
      <c r="N571" s="29">
        <v>6.7000000000000002E-3</v>
      </c>
      <c r="O571" s="44" t="s">
        <v>62</v>
      </c>
      <c r="P571" s="15"/>
      <c r="Q571" s="16">
        <f t="shared" si="17"/>
        <v>21.186</v>
      </c>
    </row>
    <row r="572" spans="1:17" ht="15" customHeight="1" x14ac:dyDescent="0.25">
      <c r="A572" s="15">
        <v>571</v>
      </c>
      <c r="B572" s="15" t="s">
        <v>1862</v>
      </c>
      <c r="C572" s="15" t="s">
        <v>1863</v>
      </c>
      <c r="D572" s="15" t="s">
        <v>1864</v>
      </c>
      <c r="E572" s="15" t="s">
        <v>1865</v>
      </c>
      <c r="F572" s="41">
        <v>1</v>
      </c>
      <c r="G572" s="42">
        <v>42</v>
      </c>
      <c r="H572" s="43">
        <v>0.05</v>
      </c>
      <c r="I572" s="41" t="s">
        <v>69</v>
      </c>
      <c r="J572" s="16">
        <f t="shared" si="16"/>
        <v>42</v>
      </c>
      <c r="K572" s="16">
        <f>IF(Q572="",0,IF(SUMPRODUCT(('Returns &amp; Refunds'!$A$6:$A$11=C572)*('Returns &amp; Refunds'!$H$6:$H$11="Confirmed Good — Remove Charge"))&gt;0,0,Q572))</f>
        <v>42</v>
      </c>
      <c r="L572" s="16">
        <v>57.9</v>
      </c>
      <c r="M572" s="28">
        <v>57.9</v>
      </c>
      <c r="N572" s="29">
        <v>0</v>
      </c>
      <c r="O572" s="45" t="s">
        <v>68</v>
      </c>
      <c r="P572" s="15"/>
      <c r="Q572" s="16">
        <f t="shared" si="17"/>
        <v>42</v>
      </c>
    </row>
    <row r="573" spans="1:17" ht="15" customHeight="1" x14ac:dyDescent="0.25">
      <c r="A573" s="15">
        <v>572</v>
      </c>
      <c r="B573" s="15" t="s">
        <v>1866</v>
      </c>
      <c r="C573" s="15" t="s">
        <v>1867</v>
      </c>
      <c r="D573" s="15" t="s">
        <v>1868</v>
      </c>
      <c r="E573" s="15" t="s">
        <v>1869</v>
      </c>
      <c r="F573" s="41">
        <v>1</v>
      </c>
      <c r="G573" s="42">
        <v>29.7</v>
      </c>
      <c r="H573" s="43">
        <v>0.2</v>
      </c>
      <c r="I573" s="41" t="s">
        <v>63</v>
      </c>
      <c r="J573" s="16">
        <f t="shared" si="16"/>
        <v>23.76</v>
      </c>
      <c r="K573" s="16">
        <f>IF(Q573="",0,IF(SUMPRODUCT(('Returns &amp; Refunds'!$A$6:$A$11=C573)*('Returns &amp; Refunds'!$H$6:$H$11="Confirmed Good — Remove Charge"))&gt;0,0,Q573))</f>
        <v>23.76</v>
      </c>
      <c r="L573" s="16">
        <v>42.9</v>
      </c>
      <c r="M573" s="28">
        <v>34.299999999999997</v>
      </c>
      <c r="N573" s="29">
        <v>0.20050000000000001</v>
      </c>
      <c r="O573" s="44" t="s">
        <v>62</v>
      </c>
      <c r="P573" s="15"/>
      <c r="Q573" s="16">
        <f t="shared" si="17"/>
        <v>23.76</v>
      </c>
    </row>
    <row r="574" spans="1:17" ht="15" customHeight="1" x14ac:dyDescent="0.25">
      <c r="A574" s="15">
        <v>573</v>
      </c>
      <c r="B574" s="15" t="s">
        <v>1870</v>
      </c>
      <c r="C574" s="15" t="s">
        <v>1871</v>
      </c>
      <c r="D574" s="15" t="s">
        <v>1872</v>
      </c>
      <c r="E574" s="15" t="s">
        <v>1873</v>
      </c>
      <c r="F574" s="41">
        <v>1</v>
      </c>
      <c r="G574" s="42">
        <v>8.8000000000000007</v>
      </c>
      <c r="H574" s="43">
        <v>0.25</v>
      </c>
      <c r="I574" s="41" t="s">
        <v>63</v>
      </c>
      <c r="J574" s="16">
        <f t="shared" si="16"/>
        <v>6.6000000000000005</v>
      </c>
      <c r="K574" s="16">
        <f>IF(Q574="",0,IF(SUMPRODUCT(('Returns &amp; Refunds'!$A$6:$A$11=C574)*('Returns &amp; Refunds'!$H$6:$H$11="Confirmed Good — Remove Charge"))&gt;0,0,Q574))</f>
        <v>6.6000000000000005</v>
      </c>
      <c r="L574" s="16">
        <v>12.9</v>
      </c>
      <c r="M574" s="28">
        <v>9.6999999999999993</v>
      </c>
      <c r="N574" s="29">
        <v>0.24809999999999999</v>
      </c>
      <c r="O574" s="44" t="s">
        <v>62</v>
      </c>
      <c r="P574" s="15"/>
      <c r="Q574" s="16">
        <f t="shared" si="17"/>
        <v>6.6000000000000005</v>
      </c>
    </row>
    <row r="575" spans="1:17" ht="15" customHeight="1" x14ac:dyDescent="0.25">
      <c r="A575" s="15">
        <v>574</v>
      </c>
      <c r="B575" s="15" t="s">
        <v>1874</v>
      </c>
      <c r="C575" s="15" t="s">
        <v>1875</v>
      </c>
      <c r="D575" s="15" t="s">
        <v>1876</v>
      </c>
      <c r="E575" s="15" t="s">
        <v>243</v>
      </c>
      <c r="F575" s="41">
        <v>1</v>
      </c>
      <c r="G575" s="42">
        <v>10.5</v>
      </c>
      <c r="H575" s="43">
        <v>0.01</v>
      </c>
      <c r="I575" s="41" t="s">
        <v>63</v>
      </c>
      <c r="J575" s="16">
        <f t="shared" si="16"/>
        <v>10.395</v>
      </c>
      <c r="K575" s="16">
        <f>IF(Q575="",0,IF(SUMPRODUCT(('Returns &amp; Refunds'!$A$6:$A$11=C575)*('Returns &amp; Refunds'!$H$6:$H$11="Confirmed Good — Remove Charge"))&gt;0,0,Q575))</f>
        <v>10.395</v>
      </c>
      <c r="L575" s="16">
        <v>15</v>
      </c>
      <c r="M575" s="28">
        <v>14.9</v>
      </c>
      <c r="N575" s="29">
        <v>6.7000000000000002E-3</v>
      </c>
      <c r="O575" s="44" t="s">
        <v>62</v>
      </c>
      <c r="P575" s="15"/>
      <c r="Q575" s="16">
        <f t="shared" si="17"/>
        <v>10.395</v>
      </c>
    </row>
    <row r="576" spans="1:17" ht="15" customHeight="1" x14ac:dyDescent="0.25">
      <c r="A576" s="15">
        <v>575</v>
      </c>
      <c r="B576" s="15" t="s">
        <v>1874</v>
      </c>
      <c r="C576" s="15" t="s">
        <v>1875</v>
      </c>
      <c r="D576" s="15" t="s">
        <v>1876</v>
      </c>
      <c r="E576" s="15" t="s">
        <v>429</v>
      </c>
      <c r="F576" s="41">
        <v>1</v>
      </c>
      <c r="G576" s="42">
        <v>13.5</v>
      </c>
      <c r="H576" s="43">
        <v>0.01</v>
      </c>
      <c r="I576" s="41" t="s">
        <v>63</v>
      </c>
      <c r="J576" s="16">
        <f t="shared" si="16"/>
        <v>13.365</v>
      </c>
      <c r="K576" s="16">
        <f>IF(Q576="",0,IF(SUMPRODUCT(('Returns &amp; Refunds'!$A$6:$A$11=C576)*('Returns &amp; Refunds'!$H$6:$H$11="Confirmed Good — Remove Charge"))&gt;0,0,Q576))</f>
        <v>13.365</v>
      </c>
      <c r="L576" s="16">
        <v>17.899999999999999</v>
      </c>
      <c r="M576" s="28">
        <v>17.7</v>
      </c>
      <c r="N576" s="29">
        <v>1.12E-2</v>
      </c>
      <c r="O576" s="44" t="s">
        <v>62</v>
      </c>
      <c r="P576" s="15"/>
      <c r="Q576" s="16">
        <f t="shared" si="17"/>
        <v>13.365</v>
      </c>
    </row>
    <row r="577" spans="1:17" ht="15" customHeight="1" x14ac:dyDescent="0.25">
      <c r="A577" s="15">
        <v>576</v>
      </c>
      <c r="B577" s="15" t="s">
        <v>210</v>
      </c>
      <c r="C577" s="15" t="s">
        <v>211</v>
      </c>
      <c r="D577" s="15" t="s">
        <v>1877</v>
      </c>
      <c r="E577" s="15" t="s">
        <v>236</v>
      </c>
      <c r="F577" s="41">
        <v>1</v>
      </c>
      <c r="G577" s="42">
        <v>10.7</v>
      </c>
      <c r="H577" s="43">
        <v>0.01</v>
      </c>
      <c r="I577" s="46" t="str">
        <f>IF('Pending DSP Entry'!L96="Charge Full DSP Instead","No","Yes")</f>
        <v>Yes</v>
      </c>
      <c r="J577" s="16">
        <f t="shared" si="16"/>
        <v>10.593</v>
      </c>
      <c r="K577" s="16">
        <f>IF(Q577="",0,IF(SUMPRODUCT(('Returns &amp; Refunds'!$A$6:$A$11=C577)*('Returns &amp; Refunds'!$H$6:$H$11="Confirmed Good — Remove Charge"))&gt;0,0,Q577))</f>
        <v>10.593</v>
      </c>
      <c r="L577" s="16">
        <v>15</v>
      </c>
      <c r="M577" s="28">
        <v>14.75</v>
      </c>
      <c r="N577" s="29">
        <v>1.67E-2</v>
      </c>
      <c r="O577" s="38" t="s">
        <v>129</v>
      </c>
      <c r="P577" s="47" t="str">
        <f>"Wrong rate set by reseller — decision at Pending DSP Entry section D, row 96"</f>
        <v>Wrong rate set by reseller — decision at Pending DSP Entry section D, row 96</v>
      </c>
      <c r="Q577" s="16">
        <f t="shared" si="17"/>
        <v>10.593</v>
      </c>
    </row>
    <row r="578" spans="1:17" ht="15" customHeight="1" x14ac:dyDescent="0.25">
      <c r="A578" s="15">
        <v>577</v>
      </c>
      <c r="B578" s="15" t="s">
        <v>210</v>
      </c>
      <c r="C578" s="15" t="s">
        <v>211</v>
      </c>
      <c r="D578" s="15" t="s">
        <v>1877</v>
      </c>
      <c r="E578" s="15" t="s">
        <v>159</v>
      </c>
      <c r="F578" s="41">
        <v>2</v>
      </c>
      <c r="G578" s="42">
        <v>15</v>
      </c>
      <c r="H578" s="43">
        <v>0.01</v>
      </c>
      <c r="I578" s="46" t="str">
        <f>IF('Pending DSP Entry'!L73="Charge Full DSP Instead","No","Yes")</f>
        <v>Yes</v>
      </c>
      <c r="J578" s="16">
        <f t="shared" ref="J578:J641" si="18">IF(G578="","",IF(I578="Yes",G578*(1-H578),G578))</f>
        <v>14.85</v>
      </c>
      <c r="K578" s="16">
        <f>IF(Q578="",0,IF(SUMPRODUCT(('Returns &amp; Refunds'!$A$6:$A$11=C578)*('Returns &amp; Refunds'!$H$6:$H$11="Confirmed Good — Remove Charge"))&gt;0,0,Q578))</f>
        <v>29.7</v>
      </c>
      <c r="L578" s="16">
        <v>20.9</v>
      </c>
      <c r="M578" s="28">
        <v>20.5</v>
      </c>
      <c r="N578" s="29">
        <v>1.9099999999999999E-2</v>
      </c>
      <c r="O578" s="38" t="s">
        <v>129</v>
      </c>
      <c r="P578" s="47" t="str">
        <f>"Wrong rate set by reseller — decision at Pending DSP Entry section D, row 73"</f>
        <v>Wrong rate set by reseller — decision at Pending DSP Entry section D, row 73</v>
      </c>
      <c r="Q578" s="16">
        <f t="shared" ref="Q578:Q641" si="19">IF(J578="",0,F578*J578)</f>
        <v>29.7</v>
      </c>
    </row>
    <row r="579" spans="1:17" ht="15" customHeight="1" x14ac:dyDescent="0.25">
      <c r="A579" s="15">
        <v>578</v>
      </c>
      <c r="B579" s="15" t="s">
        <v>1878</v>
      </c>
      <c r="C579" s="15" t="s">
        <v>1879</v>
      </c>
      <c r="D579" s="15" t="s">
        <v>1880</v>
      </c>
      <c r="E579" s="15" t="s">
        <v>1472</v>
      </c>
      <c r="F579" s="41">
        <v>1</v>
      </c>
      <c r="G579" s="42">
        <v>23.1</v>
      </c>
      <c r="H579" s="43">
        <v>0.15</v>
      </c>
      <c r="I579" s="41" t="s">
        <v>63</v>
      </c>
      <c r="J579" s="16">
        <f t="shared" si="18"/>
        <v>19.635000000000002</v>
      </c>
      <c r="K579" s="16">
        <f>IF(Q579="",0,IF(SUMPRODUCT(('Returns &amp; Refunds'!$A$6:$A$11=C579)*('Returns &amp; Refunds'!$H$6:$H$11="Confirmed Good — Remove Charge"))&gt;0,0,Q579))</f>
        <v>19.635000000000002</v>
      </c>
      <c r="L579" s="16">
        <v>32.9</v>
      </c>
      <c r="M579" s="28">
        <v>28</v>
      </c>
      <c r="N579" s="29">
        <v>0.1489</v>
      </c>
      <c r="O579" s="44" t="s">
        <v>62</v>
      </c>
      <c r="P579" s="15"/>
      <c r="Q579" s="16">
        <f t="shared" si="19"/>
        <v>19.635000000000002</v>
      </c>
    </row>
    <row r="580" spans="1:17" ht="15" customHeight="1" x14ac:dyDescent="0.25">
      <c r="A580" s="15">
        <v>579</v>
      </c>
      <c r="B580" s="15" t="s">
        <v>192</v>
      </c>
      <c r="C580" s="15" t="s">
        <v>193</v>
      </c>
      <c r="D580" s="15" t="s">
        <v>1881</v>
      </c>
      <c r="E580" s="15" t="s">
        <v>247</v>
      </c>
      <c r="F580" s="41">
        <v>1</v>
      </c>
      <c r="G580" s="42">
        <v>6.1</v>
      </c>
      <c r="H580" s="43">
        <v>0.05</v>
      </c>
      <c r="I580" s="41" t="s">
        <v>63</v>
      </c>
      <c r="J580" s="16">
        <f t="shared" si="18"/>
        <v>5.794999999999999</v>
      </c>
      <c r="K580" s="16">
        <f>IF(Q580="",0,IF(SUMPRODUCT(('Returns &amp; Refunds'!$A$6:$A$11=C580)*('Returns &amp; Refunds'!$H$6:$H$11="Confirmed Good — Remove Charge"))&gt;0,0,Q580))</f>
        <v>5.794999999999999</v>
      </c>
      <c r="L580" s="16">
        <v>8.9</v>
      </c>
      <c r="M580" s="28">
        <v>8.42</v>
      </c>
      <c r="N580" s="29">
        <v>5.3900000000000003E-2</v>
      </c>
      <c r="O580" s="44" t="s">
        <v>62</v>
      </c>
      <c r="P580" s="15"/>
      <c r="Q580" s="16">
        <f t="shared" si="19"/>
        <v>5.794999999999999</v>
      </c>
    </row>
    <row r="581" spans="1:17" ht="15" customHeight="1" x14ac:dyDescent="0.25">
      <c r="A581" s="15">
        <v>580</v>
      </c>
      <c r="B581" s="15" t="s">
        <v>192</v>
      </c>
      <c r="C581" s="15" t="s">
        <v>193</v>
      </c>
      <c r="D581" s="15" t="s">
        <v>1881</v>
      </c>
      <c r="E581" s="15" t="s">
        <v>194</v>
      </c>
      <c r="F581" s="41">
        <v>1</v>
      </c>
      <c r="G581" s="42">
        <v>31.5</v>
      </c>
      <c r="H581" s="43">
        <v>0.01</v>
      </c>
      <c r="I581" s="46" t="str">
        <f>IF('Pending DSP Entry'!L60="Charge Full DSP Instead","No","Yes")</f>
        <v>Yes</v>
      </c>
      <c r="J581" s="16">
        <f t="shared" si="18"/>
        <v>31.184999999999999</v>
      </c>
      <c r="K581" s="16">
        <f>IF(Q581="",0,IF(SUMPRODUCT(('Returns &amp; Refunds'!$A$6:$A$11=C581)*('Returns &amp; Refunds'!$H$6:$H$11="Confirmed Good — Remove Charge"))&gt;0,0,Q581))</f>
        <v>31.184999999999999</v>
      </c>
      <c r="L581" s="16">
        <v>39.9</v>
      </c>
      <c r="M581" s="28">
        <v>39.11</v>
      </c>
      <c r="N581" s="29">
        <v>1.9800000000000002E-2</v>
      </c>
      <c r="O581" s="38" t="s">
        <v>129</v>
      </c>
      <c r="P581" s="47" t="str">
        <f>"Wrong rate set by reseller — decision at Pending DSP Entry section D, row 60"</f>
        <v>Wrong rate set by reseller — decision at Pending DSP Entry section D, row 60</v>
      </c>
      <c r="Q581" s="16">
        <f t="shared" si="19"/>
        <v>31.184999999999999</v>
      </c>
    </row>
    <row r="582" spans="1:17" ht="15" customHeight="1" x14ac:dyDescent="0.25">
      <c r="A582" s="15">
        <v>581</v>
      </c>
      <c r="B582" s="15" t="s">
        <v>192</v>
      </c>
      <c r="C582" s="15" t="s">
        <v>193</v>
      </c>
      <c r="D582" s="15" t="s">
        <v>1881</v>
      </c>
      <c r="E582" s="15" t="s">
        <v>207</v>
      </c>
      <c r="F582" s="41">
        <v>1</v>
      </c>
      <c r="G582" s="42">
        <v>6.5</v>
      </c>
      <c r="H582" s="43">
        <v>0.05</v>
      </c>
      <c r="I582" s="46" t="str">
        <f>IF('Pending DSP Entry'!L72="Charge Full DSP Instead","No","Yes")</f>
        <v>Yes</v>
      </c>
      <c r="J582" s="16">
        <f t="shared" si="18"/>
        <v>6.1749999999999998</v>
      </c>
      <c r="K582" s="16">
        <f>IF(Q582="",0,IF(SUMPRODUCT(('Returns &amp; Refunds'!$A$6:$A$11=C582)*('Returns &amp; Refunds'!$H$6:$H$11="Confirmed Good — Remove Charge"))&gt;0,0,Q582))</f>
        <v>6.1749999999999998</v>
      </c>
      <c r="L582" s="16">
        <v>9.9</v>
      </c>
      <c r="M582" s="28">
        <v>9.31</v>
      </c>
      <c r="N582" s="29">
        <v>5.96E-2</v>
      </c>
      <c r="O582" s="38" t="s">
        <v>129</v>
      </c>
      <c r="P582" s="47" t="str">
        <f>"Wrong rate set by reseller — decision at Pending DSP Entry section D, row 72"</f>
        <v>Wrong rate set by reseller — decision at Pending DSP Entry section D, row 72</v>
      </c>
      <c r="Q582" s="16">
        <f t="shared" si="19"/>
        <v>6.1749999999999998</v>
      </c>
    </row>
    <row r="583" spans="1:17" ht="15" customHeight="1" x14ac:dyDescent="0.25">
      <c r="A583" s="15">
        <v>582</v>
      </c>
      <c r="B583" s="15" t="s">
        <v>1882</v>
      </c>
      <c r="C583" s="15" t="s">
        <v>1883</v>
      </c>
      <c r="D583" s="15" t="s">
        <v>1884</v>
      </c>
      <c r="E583" s="15" t="s">
        <v>1885</v>
      </c>
      <c r="F583" s="41">
        <v>1</v>
      </c>
      <c r="G583" s="42">
        <v>36.200000000000003</v>
      </c>
      <c r="H583" s="43">
        <v>0.03</v>
      </c>
      <c r="I583" s="41" t="s">
        <v>63</v>
      </c>
      <c r="J583" s="16">
        <f t="shared" si="18"/>
        <v>35.114000000000004</v>
      </c>
      <c r="K583" s="16">
        <f>IF(Q583="",0,IF(SUMPRODUCT(('Returns &amp; Refunds'!$A$6:$A$11=C583)*('Returns &amp; Refunds'!$H$6:$H$11="Confirmed Good — Remove Charge"))&gt;0,0,Q583))</f>
        <v>35.114000000000004</v>
      </c>
      <c r="L583" s="16">
        <v>47.9</v>
      </c>
      <c r="M583" s="28">
        <v>46.5</v>
      </c>
      <c r="N583" s="29">
        <v>2.92E-2</v>
      </c>
      <c r="O583" s="44" t="s">
        <v>62</v>
      </c>
      <c r="P583" s="15"/>
      <c r="Q583" s="16">
        <f t="shared" si="19"/>
        <v>35.114000000000004</v>
      </c>
    </row>
    <row r="584" spans="1:17" ht="15" customHeight="1" x14ac:dyDescent="0.25">
      <c r="A584" s="15">
        <v>583</v>
      </c>
      <c r="B584" s="15" t="s">
        <v>1886</v>
      </c>
      <c r="C584" s="15" t="s">
        <v>1887</v>
      </c>
      <c r="D584" s="15" t="s">
        <v>1888</v>
      </c>
      <c r="E584" s="15" t="s">
        <v>176</v>
      </c>
      <c r="F584" s="41">
        <v>1</v>
      </c>
      <c r="G584" s="42">
        <v>5.4</v>
      </c>
      <c r="H584" s="43">
        <v>0.01</v>
      </c>
      <c r="I584" s="41" t="s">
        <v>63</v>
      </c>
      <c r="J584" s="16">
        <f t="shared" si="18"/>
        <v>5.3460000000000001</v>
      </c>
      <c r="K584" s="16">
        <f>IF(Q584="",0,IF(SUMPRODUCT(('Returns &amp; Refunds'!$A$6:$A$11=C584)*('Returns &amp; Refunds'!$H$6:$H$11="Confirmed Good — Remove Charge"))&gt;0,0,Q584))</f>
        <v>5.3460000000000001</v>
      </c>
      <c r="L584" s="16">
        <v>7.5</v>
      </c>
      <c r="M584" s="28">
        <v>7.4</v>
      </c>
      <c r="N584" s="29">
        <v>1.3299999999999999E-2</v>
      </c>
      <c r="O584" s="44" t="s">
        <v>62</v>
      </c>
      <c r="P584" s="15"/>
      <c r="Q584" s="16">
        <f t="shared" si="19"/>
        <v>5.3460000000000001</v>
      </c>
    </row>
    <row r="585" spans="1:17" ht="15" customHeight="1" x14ac:dyDescent="0.25">
      <c r="A585" s="15">
        <v>584</v>
      </c>
      <c r="B585" s="15" t="s">
        <v>134</v>
      </c>
      <c r="C585" s="15" t="s">
        <v>135</v>
      </c>
      <c r="D585" s="15" t="s">
        <v>1889</v>
      </c>
      <c r="E585" s="15" t="s">
        <v>136</v>
      </c>
      <c r="F585" s="41">
        <v>1</v>
      </c>
      <c r="G585" s="42">
        <v>15</v>
      </c>
      <c r="H585" s="43">
        <v>0.01</v>
      </c>
      <c r="I585" s="46" t="str">
        <f>IF('Pending DSP Entry'!L36="Charge Full DSP Instead","No","Yes")</f>
        <v>Yes</v>
      </c>
      <c r="J585" s="16">
        <f t="shared" si="18"/>
        <v>14.85</v>
      </c>
      <c r="K585" s="16">
        <f>IF(Q585="",0,IF(SUMPRODUCT(('Returns &amp; Refunds'!$A$6:$A$11=C585)*('Returns &amp; Refunds'!$H$6:$H$11="Confirmed Good — Remove Charge"))&gt;0,0,Q585))</f>
        <v>14.85</v>
      </c>
      <c r="L585" s="16">
        <v>20.9</v>
      </c>
      <c r="M585" s="28">
        <v>19.64</v>
      </c>
      <c r="N585" s="29">
        <v>6.0299999999999999E-2</v>
      </c>
      <c r="O585" s="38" t="s">
        <v>129</v>
      </c>
      <c r="P585" s="47" t="str">
        <f>"Wrong rate set by reseller — decision at Pending DSP Entry section D, row 36"</f>
        <v>Wrong rate set by reseller — decision at Pending DSP Entry section D, row 36</v>
      </c>
      <c r="Q585" s="16">
        <f t="shared" si="19"/>
        <v>14.85</v>
      </c>
    </row>
    <row r="586" spans="1:17" ht="15" customHeight="1" x14ac:dyDescent="0.25">
      <c r="A586" s="15">
        <v>585</v>
      </c>
      <c r="B586" s="15" t="s">
        <v>134</v>
      </c>
      <c r="C586" s="15" t="s">
        <v>135</v>
      </c>
      <c r="D586" s="15" t="s">
        <v>1889</v>
      </c>
      <c r="E586" s="15" t="s">
        <v>204</v>
      </c>
      <c r="F586" s="41">
        <v>1</v>
      </c>
      <c r="G586" s="42">
        <v>14.8</v>
      </c>
      <c r="H586" s="43">
        <v>0.01</v>
      </c>
      <c r="I586" s="46" t="str">
        <f>IF('Pending DSP Entry'!L65="Charge Full DSP Instead","No","Yes")</f>
        <v>Yes</v>
      </c>
      <c r="J586" s="16">
        <f t="shared" si="18"/>
        <v>14.652000000000001</v>
      </c>
      <c r="K586" s="16">
        <f>IF(Q586="",0,IF(SUMPRODUCT(('Returns &amp; Refunds'!$A$6:$A$11=C586)*('Returns &amp; Refunds'!$H$6:$H$11="Confirmed Good — Remove Charge"))&gt;0,0,Q586))</f>
        <v>14.652000000000001</v>
      </c>
      <c r="L586" s="16">
        <v>20.9</v>
      </c>
      <c r="M586" s="28">
        <v>20.49</v>
      </c>
      <c r="N586" s="29">
        <v>1.9599999999999999E-2</v>
      </c>
      <c r="O586" s="38" t="s">
        <v>129</v>
      </c>
      <c r="P586" s="47" t="str">
        <f>"Wrong rate set by reseller — decision at Pending DSP Entry section D, row 65"</f>
        <v>Wrong rate set by reseller — decision at Pending DSP Entry section D, row 65</v>
      </c>
      <c r="Q586" s="16">
        <f t="shared" si="19"/>
        <v>14.652000000000001</v>
      </c>
    </row>
    <row r="587" spans="1:17" ht="15" customHeight="1" x14ac:dyDescent="0.25">
      <c r="A587" s="15">
        <v>586</v>
      </c>
      <c r="B587" s="15" t="s">
        <v>134</v>
      </c>
      <c r="C587" s="15" t="s">
        <v>135</v>
      </c>
      <c r="D587" s="15" t="s">
        <v>1889</v>
      </c>
      <c r="E587" s="15" t="s">
        <v>205</v>
      </c>
      <c r="F587" s="41">
        <v>1</v>
      </c>
      <c r="G587" s="42">
        <v>14.8</v>
      </c>
      <c r="H587" s="43">
        <v>0.01</v>
      </c>
      <c r="I587" s="46" t="str">
        <f>IF('Pending DSP Entry'!L66="Charge Full DSP Instead","No","Yes")</f>
        <v>Yes</v>
      </c>
      <c r="J587" s="16">
        <f t="shared" si="18"/>
        <v>14.652000000000001</v>
      </c>
      <c r="K587" s="16">
        <f>IF(Q587="",0,IF(SUMPRODUCT(('Returns &amp; Refunds'!$A$6:$A$11=C587)*('Returns &amp; Refunds'!$H$6:$H$11="Confirmed Good — Remove Charge"))&gt;0,0,Q587))</f>
        <v>14.652000000000001</v>
      </c>
      <c r="L587" s="16">
        <v>20.9</v>
      </c>
      <c r="M587" s="28">
        <v>20.49</v>
      </c>
      <c r="N587" s="29">
        <v>1.9599999999999999E-2</v>
      </c>
      <c r="O587" s="38" t="s">
        <v>129</v>
      </c>
      <c r="P587" s="47" t="str">
        <f>"Wrong rate set by reseller — decision at Pending DSP Entry section D, row 66"</f>
        <v>Wrong rate set by reseller — decision at Pending DSP Entry section D, row 66</v>
      </c>
      <c r="Q587" s="16">
        <f t="shared" si="19"/>
        <v>14.652000000000001</v>
      </c>
    </row>
    <row r="588" spans="1:17" ht="15" customHeight="1" x14ac:dyDescent="0.25">
      <c r="A588" s="15">
        <v>587</v>
      </c>
      <c r="B588" s="15" t="s">
        <v>1890</v>
      </c>
      <c r="C588" s="15" t="s">
        <v>1891</v>
      </c>
      <c r="D588" s="15" t="s">
        <v>1892</v>
      </c>
      <c r="E588" s="15" t="s">
        <v>1893</v>
      </c>
      <c r="F588" s="41">
        <v>1</v>
      </c>
      <c r="G588" s="42">
        <v>24.2</v>
      </c>
      <c r="H588" s="43">
        <v>0.05</v>
      </c>
      <c r="I588" s="41" t="s">
        <v>63</v>
      </c>
      <c r="J588" s="16">
        <f t="shared" si="18"/>
        <v>22.99</v>
      </c>
      <c r="K588" s="16">
        <f>IF(Q588="",0,IF(SUMPRODUCT(('Returns &amp; Refunds'!$A$6:$A$11=C588)*('Returns &amp; Refunds'!$H$6:$H$11="Confirmed Good — Remove Charge"))&gt;0,0,Q588))</f>
        <v>22.99</v>
      </c>
      <c r="L588" s="16">
        <v>34.9</v>
      </c>
      <c r="M588" s="28">
        <v>33.200000000000003</v>
      </c>
      <c r="N588" s="29">
        <v>4.87E-2</v>
      </c>
      <c r="O588" s="44" t="s">
        <v>62</v>
      </c>
      <c r="P588" s="15"/>
      <c r="Q588" s="16">
        <f t="shared" si="19"/>
        <v>22.99</v>
      </c>
    </row>
    <row r="589" spans="1:17" ht="15" customHeight="1" x14ac:dyDescent="0.25">
      <c r="A589" s="15">
        <v>588</v>
      </c>
      <c r="B589" s="15" t="s">
        <v>106</v>
      </c>
      <c r="C589" s="15" t="s">
        <v>107</v>
      </c>
      <c r="D589" s="15" t="s">
        <v>1894</v>
      </c>
      <c r="E589" s="15" t="s">
        <v>1895</v>
      </c>
      <c r="F589" s="41">
        <v>1</v>
      </c>
      <c r="G589" s="42">
        <v>18.600000000000001</v>
      </c>
      <c r="H589" s="43">
        <v>0.25</v>
      </c>
      <c r="I589" s="41" t="s">
        <v>63</v>
      </c>
      <c r="J589" s="16">
        <f t="shared" si="18"/>
        <v>13.950000000000001</v>
      </c>
      <c r="K589" s="16">
        <f>IF(Q589="",0,IF(SUMPRODUCT(('Returns &amp; Refunds'!$A$6:$A$11=C589)*('Returns &amp; Refunds'!$H$6:$H$11="Confirmed Good — Remove Charge"))&gt;0,0,Q589))</f>
        <v>13.950000000000001</v>
      </c>
      <c r="L589" s="16">
        <v>27.9</v>
      </c>
      <c r="M589" s="28">
        <v>20.9</v>
      </c>
      <c r="N589" s="29">
        <v>0.25090000000000001</v>
      </c>
      <c r="O589" s="44" t="s">
        <v>62</v>
      </c>
      <c r="P589" s="15"/>
      <c r="Q589" s="16">
        <f t="shared" si="19"/>
        <v>13.950000000000001</v>
      </c>
    </row>
    <row r="590" spans="1:17" ht="15" customHeight="1" x14ac:dyDescent="0.25">
      <c r="A590" s="15">
        <v>589</v>
      </c>
      <c r="B590" s="15" t="s">
        <v>106</v>
      </c>
      <c r="C590" s="15" t="s">
        <v>107</v>
      </c>
      <c r="D590" s="15" t="s">
        <v>1894</v>
      </c>
      <c r="E590" s="15" t="s">
        <v>98</v>
      </c>
      <c r="F590" s="41">
        <v>1</v>
      </c>
      <c r="G590" s="42">
        <v>17.100000000000001</v>
      </c>
      <c r="H590" s="43">
        <v>0.05</v>
      </c>
      <c r="I590" s="41" t="s">
        <v>63</v>
      </c>
      <c r="J590" s="16">
        <f t="shared" si="18"/>
        <v>16.245000000000001</v>
      </c>
      <c r="K590" s="16">
        <f>IF(Q590="",0,IF(SUMPRODUCT(('Returns &amp; Refunds'!$A$6:$A$11=C590)*('Returns &amp; Refunds'!$H$6:$H$11="Confirmed Good — Remove Charge"))&gt;0,0,Q590))</f>
        <v>16.245000000000001</v>
      </c>
      <c r="L590" s="16">
        <v>21.9</v>
      </c>
      <c r="M590" s="28">
        <v>20.8</v>
      </c>
      <c r="N590" s="29">
        <v>5.0200000000000002E-2</v>
      </c>
      <c r="O590" s="44" t="s">
        <v>62</v>
      </c>
      <c r="P590" s="15"/>
      <c r="Q590" s="16">
        <f t="shared" si="19"/>
        <v>16.245000000000001</v>
      </c>
    </row>
    <row r="591" spans="1:17" ht="15" customHeight="1" x14ac:dyDescent="0.25">
      <c r="A591" s="15">
        <v>590</v>
      </c>
      <c r="B591" s="15" t="s">
        <v>1896</v>
      </c>
      <c r="C591" s="15" t="s">
        <v>1897</v>
      </c>
      <c r="D591" s="15" t="s">
        <v>1898</v>
      </c>
      <c r="E591" s="15" t="s">
        <v>1350</v>
      </c>
      <c r="F591" s="41">
        <v>1</v>
      </c>
      <c r="G591" s="42">
        <v>50.3</v>
      </c>
      <c r="H591" s="43">
        <v>0.02</v>
      </c>
      <c r="I591" s="41" t="s">
        <v>69</v>
      </c>
      <c r="J591" s="16">
        <f t="shared" si="18"/>
        <v>50.3</v>
      </c>
      <c r="K591" s="16">
        <f>IF(Q591="",0,IF(SUMPRODUCT(('Returns &amp; Refunds'!$A$6:$A$11=C591)*('Returns &amp; Refunds'!$H$6:$H$11="Confirmed Good — Remove Charge"))&gt;0,0,Q591))</f>
        <v>50.3</v>
      </c>
      <c r="L591" s="16">
        <v>69.900000000000006</v>
      </c>
      <c r="M591" s="28">
        <v>69.900000000000006</v>
      </c>
      <c r="N591" s="29">
        <v>0</v>
      </c>
      <c r="O591" s="45" t="s">
        <v>68</v>
      </c>
      <c r="P591" s="15"/>
      <c r="Q591" s="16">
        <f t="shared" si="19"/>
        <v>50.3</v>
      </c>
    </row>
    <row r="592" spans="1:17" ht="15" customHeight="1" x14ac:dyDescent="0.25">
      <c r="A592" s="15">
        <v>591</v>
      </c>
      <c r="B592" s="15" t="s">
        <v>1899</v>
      </c>
      <c r="C592" s="15" t="s">
        <v>1900</v>
      </c>
      <c r="D592" s="15" t="s">
        <v>1901</v>
      </c>
      <c r="E592" s="15" t="s">
        <v>186</v>
      </c>
      <c r="F592" s="41">
        <v>1</v>
      </c>
      <c r="G592" s="42">
        <v>12.4</v>
      </c>
      <c r="H592" s="43">
        <v>0.01</v>
      </c>
      <c r="I592" s="41" t="s">
        <v>63</v>
      </c>
      <c r="J592" s="16">
        <f t="shared" si="18"/>
        <v>12.276</v>
      </c>
      <c r="K592" s="16">
        <f>IF(Q592="",0,IF(SUMPRODUCT(('Returns &amp; Refunds'!$A$6:$A$11=C592)*('Returns &amp; Refunds'!$H$6:$H$11="Confirmed Good — Remove Charge"))&gt;0,0,Q592))</f>
        <v>12.276</v>
      </c>
      <c r="L592" s="16">
        <v>17.899999999999999</v>
      </c>
      <c r="M592" s="28">
        <v>17.7</v>
      </c>
      <c r="N592" s="29">
        <v>1.12E-2</v>
      </c>
      <c r="O592" s="44" t="s">
        <v>62</v>
      </c>
      <c r="P592" s="15"/>
      <c r="Q592" s="16">
        <f t="shared" si="19"/>
        <v>12.276</v>
      </c>
    </row>
    <row r="593" spans="1:17" ht="15" customHeight="1" x14ac:dyDescent="0.25">
      <c r="A593" s="15">
        <v>592</v>
      </c>
      <c r="B593" s="15" t="s">
        <v>1902</v>
      </c>
      <c r="C593" s="15" t="s">
        <v>1903</v>
      </c>
      <c r="D593" s="15" t="s">
        <v>1904</v>
      </c>
      <c r="E593" s="15" t="s">
        <v>972</v>
      </c>
      <c r="F593" s="41">
        <v>1</v>
      </c>
      <c r="G593" s="42">
        <v>13.1</v>
      </c>
      <c r="H593" s="43">
        <v>0.01</v>
      </c>
      <c r="I593" s="41" t="s">
        <v>63</v>
      </c>
      <c r="J593" s="16">
        <f t="shared" si="18"/>
        <v>12.968999999999999</v>
      </c>
      <c r="K593" s="16">
        <f>IF(Q593="",0,IF(SUMPRODUCT(('Returns &amp; Refunds'!$A$6:$A$11=C593)*('Returns &amp; Refunds'!$H$6:$H$11="Confirmed Good — Remove Charge"))&gt;0,0,Q593))</f>
        <v>12.968999999999999</v>
      </c>
      <c r="L593" s="16">
        <v>17.899999999999999</v>
      </c>
      <c r="M593" s="28">
        <v>17.73</v>
      </c>
      <c r="N593" s="29">
        <v>9.4999999999999998E-3</v>
      </c>
      <c r="O593" s="44" t="s">
        <v>62</v>
      </c>
      <c r="P593" s="15"/>
      <c r="Q593" s="16">
        <f t="shared" si="19"/>
        <v>12.968999999999999</v>
      </c>
    </row>
    <row r="594" spans="1:17" ht="15" customHeight="1" x14ac:dyDescent="0.25">
      <c r="A594" s="15">
        <v>593</v>
      </c>
      <c r="B594" s="15" t="s">
        <v>1905</v>
      </c>
      <c r="C594" s="15" t="s">
        <v>1906</v>
      </c>
      <c r="D594" s="15" t="s">
        <v>1907</v>
      </c>
      <c r="E594" s="15" t="s">
        <v>1669</v>
      </c>
      <c r="F594" s="41">
        <v>1</v>
      </c>
      <c r="G594" s="42">
        <v>10.5</v>
      </c>
      <c r="H594" s="43">
        <v>0.01</v>
      </c>
      <c r="I594" s="41" t="s">
        <v>63</v>
      </c>
      <c r="J594" s="16">
        <f t="shared" si="18"/>
        <v>10.395</v>
      </c>
      <c r="K594" s="16">
        <f>IF(Q594="",0,IF(SUMPRODUCT(('Returns &amp; Refunds'!$A$6:$A$11=C594)*('Returns &amp; Refunds'!$H$6:$H$11="Confirmed Good — Remove Charge"))&gt;0,0,Q594))</f>
        <v>10.395</v>
      </c>
      <c r="L594" s="16">
        <v>15</v>
      </c>
      <c r="M594" s="28">
        <v>14.9</v>
      </c>
      <c r="N594" s="29">
        <v>6.7000000000000002E-3</v>
      </c>
      <c r="O594" s="44" t="s">
        <v>62</v>
      </c>
      <c r="P594" s="15"/>
      <c r="Q594" s="16">
        <f t="shared" si="19"/>
        <v>10.395</v>
      </c>
    </row>
    <row r="595" spans="1:17" ht="15" customHeight="1" x14ac:dyDescent="0.25">
      <c r="A595" s="15">
        <v>594</v>
      </c>
      <c r="B595" s="15" t="s">
        <v>1908</v>
      </c>
      <c r="C595" s="15" t="s">
        <v>1909</v>
      </c>
      <c r="D595" s="15" t="s">
        <v>1910</v>
      </c>
      <c r="E595" s="15" t="s">
        <v>429</v>
      </c>
      <c r="F595" s="41">
        <v>1</v>
      </c>
      <c r="G595" s="42">
        <v>13.5</v>
      </c>
      <c r="H595" s="43">
        <v>0.01</v>
      </c>
      <c r="I595" s="41" t="s">
        <v>63</v>
      </c>
      <c r="J595" s="16">
        <f t="shared" si="18"/>
        <v>13.365</v>
      </c>
      <c r="K595" s="16">
        <f>IF(Q595="",0,IF(SUMPRODUCT(('Returns &amp; Refunds'!$A$6:$A$11=C595)*('Returns &amp; Refunds'!$H$6:$H$11="Confirmed Good — Remove Charge"))&gt;0,0,Q595))</f>
        <v>13.365</v>
      </c>
      <c r="L595" s="16">
        <v>17.899999999999999</v>
      </c>
      <c r="M595" s="28">
        <v>17.7</v>
      </c>
      <c r="N595" s="29">
        <v>1.12E-2</v>
      </c>
      <c r="O595" s="44" t="s">
        <v>62</v>
      </c>
      <c r="P595" s="15"/>
      <c r="Q595" s="16">
        <f t="shared" si="19"/>
        <v>13.365</v>
      </c>
    </row>
    <row r="596" spans="1:17" ht="15" customHeight="1" x14ac:dyDescent="0.25">
      <c r="A596" s="15">
        <v>595</v>
      </c>
      <c r="B596" s="15" t="s">
        <v>1911</v>
      </c>
      <c r="C596" s="15" t="s">
        <v>1912</v>
      </c>
      <c r="D596" s="15" t="s">
        <v>1913</v>
      </c>
      <c r="E596" s="15" t="s">
        <v>1914</v>
      </c>
      <c r="F596" s="41">
        <v>1</v>
      </c>
      <c r="G596" s="42">
        <v>17.3</v>
      </c>
      <c r="H596" s="43">
        <v>0.25</v>
      </c>
      <c r="I596" s="41" t="s">
        <v>63</v>
      </c>
      <c r="J596" s="16">
        <f t="shared" si="18"/>
        <v>12.975000000000001</v>
      </c>
      <c r="K596" s="16">
        <f>IF(Q596="",0,IF(SUMPRODUCT(('Returns &amp; Refunds'!$A$6:$A$11=C596)*('Returns &amp; Refunds'!$H$6:$H$11="Confirmed Good — Remove Charge"))&gt;0,0,Q596))</f>
        <v>12.975000000000001</v>
      </c>
      <c r="L596" s="16">
        <v>24.9</v>
      </c>
      <c r="M596" s="28">
        <v>18.7</v>
      </c>
      <c r="N596" s="29">
        <v>0.249</v>
      </c>
      <c r="O596" s="44" t="s">
        <v>62</v>
      </c>
      <c r="P596" s="15"/>
      <c r="Q596" s="16">
        <f t="shared" si="19"/>
        <v>12.975000000000001</v>
      </c>
    </row>
    <row r="597" spans="1:17" ht="15" customHeight="1" x14ac:dyDescent="0.25">
      <c r="A597" s="15">
        <v>596</v>
      </c>
      <c r="B597" s="15" t="s">
        <v>1915</v>
      </c>
      <c r="C597" s="15" t="s">
        <v>1916</v>
      </c>
      <c r="D597" s="15" t="s">
        <v>1917</v>
      </c>
      <c r="E597" s="15" t="s">
        <v>1552</v>
      </c>
      <c r="F597" s="41">
        <v>1</v>
      </c>
      <c r="G597" s="42">
        <v>33.700000000000003</v>
      </c>
      <c r="H597" s="43">
        <v>0.03</v>
      </c>
      <c r="I597" s="41" t="s">
        <v>63</v>
      </c>
      <c r="J597" s="16">
        <f t="shared" si="18"/>
        <v>32.689</v>
      </c>
      <c r="K597" s="16">
        <f>IF(Q597="",0,IF(SUMPRODUCT(('Returns &amp; Refunds'!$A$6:$A$11=C597)*('Returns &amp; Refunds'!$H$6:$H$11="Confirmed Good — Remove Charge"))&gt;0,0,Q597))</f>
        <v>32.689</v>
      </c>
      <c r="L597" s="16">
        <v>47.9</v>
      </c>
      <c r="M597" s="28">
        <v>46.5</v>
      </c>
      <c r="N597" s="29">
        <v>2.92E-2</v>
      </c>
      <c r="O597" s="44" t="s">
        <v>62</v>
      </c>
      <c r="P597" s="15"/>
      <c r="Q597" s="16">
        <f t="shared" si="19"/>
        <v>32.689</v>
      </c>
    </row>
    <row r="598" spans="1:17" ht="15" customHeight="1" x14ac:dyDescent="0.25">
      <c r="A598" s="15">
        <v>597</v>
      </c>
      <c r="B598" s="15" t="s">
        <v>1918</v>
      </c>
      <c r="C598" s="15" t="s">
        <v>1919</v>
      </c>
      <c r="D598" s="15" t="s">
        <v>1920</v>
      </c>
      <c r="E598" s="15" t="s">
        <v>186</v>
      </c>
      <c r="F598" s="41">
        <v>1</v>
      </c>
      <c r="G598" s="42">
        <v>12.4</v>
      </c>
      <c r="H598" s="43">
        <v>0.01</v>
      </c>
      <c r="I598" s="41" t="s">
        <v>63</v>
      </c>
      <c r="J598" s="16">
        <f t="shared" si="18"/>
        <v>12.276</v>
      </c>
      <c r="K598" s="16">
        <f>IF(Q598="",0,IF(SUMPRODUCT(('Returns &amp; Refunds'!$A$6:$A$11=C598)*('Returns &amp; Refunds'!$H$6:$H$11="Confirmed Good — Remove Charge"))&gt;0,0,Q598))</f>
        <v>12.276</v>
      </c>
      <c r="L598" s="16">
        <v>17.899999999999999</v>
      </c>
      <c r="M598" s="28">
        <v>17.7</v>
      </c>
      <c r="N598" s="29">
        <v>1.12E-2</v>
      </c>
      <c r="O598" s="44" t="s">
        <v>62</v>
      </c>
      <c r="P598" s="15"/>
      <c r="Q598" s="16">
        <f t="shared" si="19"/>
        <v>12.276</v>
      </c>
    </row>
    <row r="599" spans="1:17" ht="15" customHeight="1" x14ac:dyDescent="0.25">
      <c r="A599" s="15">
        <v>598</v>
      </c>
      <c r="B599" s="15" t="s">
        <v>1918</v>
      </c>
      <c r="C599" s="15" t="s">
        <v>1919</v>
      </c>
      <c r="D599" s="15" t="s">
        <v>1920</v>
      </c>
      <c r="E599" s="15" t="s">
        <v>1921</v>
      </c>
      <c r="F599" s="41">
        <v>1</v>
      </c>
      <c r="G599" s="42">
        <v>12.1</v>
      </c>
      <c r="H599" s="43">
        <v>0.05</v>
      </c>
      <c r="I599" s="41" t="s">
        <v>69</v>
      </c>
      <c r="J599" s="16">
        <f t="shared" si="18"/>
        <v>12.1</v>
      </c>
      <c r="K599" s="16">
        <f>IF(Q599="",0,IF(SUMPRODUCT(('Returns &amp; Refunds'!$A$6:$A$11=C599)*('Returns &amp; Refunds'!$H$6:$H$11="Confirmed Good — Remove Charge"))&gt;0,0,Q599))</f>
        <v>12.1</v>
      </c>
      <c r="L599" s="16">
        <v>17.899999999999999</v>
      </c>
      <c r="M599" s="28">
        <v>17.899999999999999</v>
      </c>
      <c r="N599" s="29">
        <v>0</v>
      </c>
      <c r="O599" s="45" t="s">
        <v>68</v>
      </c>
      <c r="P599" s="15"/>
      <c r="Q599" s="16">
        <f t="shared" si="19"/>
        <v>12.1</v>
      </c>
    </row>
    <row r="600" spans="1:17" ht="15" customHeight="1" x14ac:dyDescent="0.25">
      <c r="A600" s="15">
        <v>599</v>
      </c>
      <c r="B600" s="15" t="s">
        <v>1922</v>
      </c>
      <c r="C600" s="15" t="s">
        <v>1923</v>
      </c>
      <c r="D600" s="15" t="s">
        <v>1924</v>
      </c>
      <c r="E600" s="15" t="s">
        <v>1925</v>
      </c>
      <c r="F600" s="41">
        <v>2</v>
      </c>
      <c r="G600" s="42">
        <v>14.6</v>
      </c>
      <c r="H600" s="43">
        <v>0.3</v>
      </c>
      <c r="I600" s="41" t="s">
        <v>63</v>
      </c>
      <c r="J600" s="16">
        <f t="shared" si="18"/>
        <v>10.219999999999999</v>
      </c>
      <c r="K600" s="16">
        <f>IF(Q600="",0,IF(SUMPRODUCT(('Returns &amp; Refunds'!$A$6:$A$11=C600)*('Returns &amp; Refunds'!$H$6:$H$11="Confirmed Good — Remove Charge"))&gt;0,0,Q600))</f>
        <v>20.439999999999998</v>
      </c>
      <c r="L600" s="16">
        <v>21.9</v>
      </c>
      <c r="M600" s="28">
        <v>15.3</v>
      </c>
      <c r="N600" s="29">
        <v>0.3014</v>
      </c>
      <c r="O600" s="44" t="s">
        <v>62</v>
      </c>
      <c r="P600" s="15"/>
      <c r="Q600" s="16">
        <f t="shared" si="19"/>
        <v>20.439999999999998</v>
      </c>
    </row>
    <row r="601" spans="1:17" ht="15" customHeight="1" x14ac:dyDescent="0.25">
      <c r="A601" s="15">
        <v>600</v>
      </c>
      <c r="B601" s="15" t="s">
        <v>1926</v>
      </c>
      <c r="C601" s="15" t="s">
        <v>1927</v>
      </c>
      <c r="D601" s="15" t="s">
        <v>1928</v>
      </c>
      <c r="E601" s="15" t="s">
        <v>243</v>
      </c>
      <c r="F601" s="41">
        <v>1</v>
      </c>
      <c r="G601" s="42">
        <v>10.5</v>
      </c>
      <c r="H601" s="43">
        <v>0.01</v>
      </c>
      <c r="I601" s="41" t="s">
        <v>63</v>
      </c>
      <c r="J601" s="16">
        <f t="shared" si="18"/>
        <v>10.395</v>
      </c>
      <c r="K601" s="16">
        <f>IF(Q601="",0,IF(SUMPRODUCT(('Returns &amp; Refunds'!$A$6:$A$11=C601)*('Returns &amp; Refunds'!$H$6:$H$11="Confirmed Good — Remove Charge"))&gt;0,0,Q601))</f>
        <v>10.395</v>
      </c>
      <c r="L601" s="16">
        <v>15</v>
      </c>
      <c r="M601" s="28">
        <v>14.9</v>
      </c>
      <c r="N601" s="29">
        <v>6.7000000000000002E-3</v>
      </c>
      <c r="O601" s="44" t="s">
        <v>62</v>
      </c>
      <c r="P601" s="15"/>
      <c r="Q601" s="16">
        <f t="shared" si="19"/>
        <v>10.395</v>
      </c>
    </row>
    <row r="602" spans="1:17" ht="15" customHeight="1" x14ac:dyDescent="0.25">
      <c r="A602" s="15">
        <v>601</v>
      </c>
      <c r="B602" s="15" t="s">
        <v>1926</v>
      </c>
      <c r="C602" s="15" t="s">
        <v>1927</v>
      </c>
      <c r="D602" s="15" t="s">
        <v>1928</v>
      </c>
      <c r="E602" s="15" t="s">
        <v>309</v>
      </c>
      <c r="F602" s="41">
        <v>1</v>
      </c>
      <c r="G602" s="42">
        <v>13.2</v>
      </c>
      <c r="H602" s="43">
        <v>0.01</v>
      </c>
      <c r="I602" s="41" t="s">
        <v>63</v>
      </c>
      <c r="J602" s="16">
        <f t="shared" si="18"/>
        <v>13.068</v>
      </c>
      <c r="K602" s="16">
        <f>IF(Q602="",0,IF(SUMPRODUCT(('Returns &amp; Refunds'!$A$6:$A$11=C602)*('Returns &amp; Refunds'!$H$6:$H$11="Confirmed Good — Remove Charge"))&gt;0,0,Q602))</f>
        <v>13.068</v>
      </c>
      <c r="L602" s="16">
        <v>17.899999999999999</v>
      </c>
      <c r="M602" s="28">
        <v>17.7</v>
      </c>
      <c r="N602" s="29">
        <v>1.12E-2</v>
      </c>
      <c r="O602" s="44" t="s">
        <v>62</v>
      </c>
      <c r="P602" s="15"/>
      <c r="Q602" s="16">
        <f t="shared" si="19"/>
        <v>13.068</v>
      </c>
    </row>
    <row r="603" spans="1:17" ht="15" customHeight="1" x14ac:dyDescent="0.25">
      <c r="A603" s="15">
        <v>602</v>
      </c>
      <c r="B603" s="15" t="s">
        <v>1929</v>
      </c>
      <c r="C603" s="15" t="s">
        <v>1930</v>
      </c>
      <c r="D603" s="15" t="s">
        <v>1931</v>
      </c>
      <c r="E603" s="15" t="s">
        <v>213</v>
      </c>
      <c r="F603" s="41">
        <v>1</v>
      </c>
      <c r="G603" s="42">
        <v>35.4</v>
      </c>
      <c r="H603" s="43">
        <v>0.01</v>
      </c>
      <c r="I603" s="41" t="s">
        <v>63</v>
      </c>
      <c r="J603" s="16">
        <f t="shared" si="18"/>
        <v>35.045999999999999</v>
      </c>
      <c r="K603" s="16">
        <f>IF(Q603="",0,IF(SUMPRODUCT(('Returns &amp; Refunds'!$A$6:$A$11=C603)*('Returns &amp; Refunds'!$H$6:$H$11="Confirmed Good — Remove Charge"))&gt;0,0,Q603))</f>
        <v>35.045999999999999</v>
      </c>
      <c r="L603" s="16">
        <v>44.9</v>
      </c>
      <c r="M603" s="28">
        <v>44.5</v>
      </c>
      <c r="N603" s="29">
        <v>8.8999999999999999E-3</v>
      </c>
      <c r="O603" s="44" t="s">
        <v>62</v>
      </c>
      <c r="P603" s="15"/>
      <c r="Q603" s="16">
        <f t="shared" si="19"/>
        <v>35.045999999999999</v>
      </c>
    </row>
    <row r="604" spans="1:17" ht="15" customHeight="1" x14ac:dyDescent="0.25">
      <c r="A604" s="15">
        <v>603</v>
      </c>
      <c r="B604" s="15" t="s">
        <v>1932</v>
      </c>
      <c r="C604" s="15" t="s">
        <v>1933</v>
      </c>
      <c r="D604" s="15" t="s">
        <v>1934</v>
      </c>
      <c r="E604" s="15" t="s">
        <v>429</v>
      </c>
      <c r="F604" s="41">
        <v>1</v>
      </c>
      <c r="G604" s="42">
        <v>13.5</v>
      </c>
      <c r="H604" s="43">
        <v>0.01</v>
      </c>
      <c r="I604" s="41" t="s">
        <v>63</v>
      </c>
      <c r="J604" s="16">
        <f t="shared" si="18"/>
        <v>13.365</v>
      </c>
      <c r="K604" s="16">
        <f>IF(Q604="",0,IF(SUMPRODUCT(('Returns &amp; Refunds'!$A$6:$A$11=C604)*('Returns &amp; Refunds'!$H$6:$H$11="Confirmed Good — Remove Charge"))&gt;0,0,Q604))</f>
        <v>13.365</v>
      </c>
      <c r="L604" s="16">
        <v>17.899999999999999</v>
      </c>
      <c r="M604" s="28">
        <v>17.7</v>
      </c>
      <c r="N604" s="29">
        <v>1.12E-2</v>
      </c>
      <c r="O604" s="44" t="s">
        <v>62</v>
      </c>
      <c r="P604" s="15"/>
      <c r="Q604" s="16">
        <f t="shared" si="19"/>
        <v>13.365</v>
      </c>
    </row>
    <row r="605" spans="1:17" ht="15" customHeight="1" x14ac:dyDescent="0.25">
      <c r="A605" s="15">
        <v>604</v>
      </c>
      <c r="B605" s="15" t="s">
        <v>1935</v>
      </c>
      <c r="C605" s="15" t="s">
        <v>1936</v>
      </c>
      <c r="D605" s="15" t="s">
        <v>1937</v>
      </c>
      <c r="E605" s="15" t="s">
        <v>236</v>
      </c>
      <c r="F605" s="41">
        <v>1</v>
      </c>
      <c r="G605" s="42">
        <v>10.7</v>
      </c>
      <c r="H605" s="43">
        <v>0.01</v>
      </c>
      <c r="I605" s="41" t="s">
        <v>63</v>
      </c>
      <c r="J605" s="16">
        <f t="shared" si="18"/>
        <v>10.593</v>
      </c>
      <c r="K605" s="16">
        <f>IF(Q605="",0,IF(SUMPRODUCT(('Returns &amp; Refunds'!$A$6:$A$11=C605)*('Returns &amp; Refunds'!$H$6:$H$11="Confirmed Good — Remove Charge"))&gt;0,0,Q605))</f>
        <v>10.593</v>
      </c>
      <c r="L605" s="16">
        <v>15</v>
      </c>
      <c r="M605" s="28">
        <v>14.9</v>
      </c>
      <c r="N605" s="29">
        <v>6.7000000000000002E-3</v>
      </c>
      <c r="O605" s="44" t="s">
        <v>62</v>
      </c>
      <c r="P605" s="15"/>
      <c r="Q605" s="16">
        <f t="shared" si="19"/>
        <v>10.593</v>
      </c>
    </row>
    <row r="606" spans="1:17" ht="15" customHeight="1" x14ac:dyDescent="0.25">
      <c r="A606" s="15">
        <v>605</v>
      </c>
      <c r="B606" s="15" t="s">
        <v>1935</v>
      </c>
      <c r="C606" s="15" t="s">
        <v>1936</v>
      </c>
      <c r="D606" s="15" t="s">
        <v>1937</v>
      </c>
      <c r="E606" s="15" t="s">
        <v>159</v>
      </c>
      <c r="F606" s="41">
        <v>1</v>
      </c>
      <c r="G606" s="42">
        <v>15</v>
      </c>
      <c r="H606" s="43">
        <v>0.01</v>
      </c>
      <c r="I606" s="41" t="s">
        <v>63</v>
      </c>
      <c r="J606" s="16">
        <f t="shared" si="18"/>
        <v>14.85</v>
      </c>
      <c r="K606" s="16">
        <f>IF(Q606="",0,IF(SUMPRODUCT(('Returns &amp; Refunds'!$A$6:$A$11=C606)*('Returns &amp; Refunds'!$H$6:$H$11="Confirmed Good — Remove Charge"))&gt;0,0,Q606))</f>
        <v>14.85</v>
      </c>
      <c r="L606" s="16">
        <v>20.9</v>
      </c>
      <c r="M606" s="28">
        <v>20.7</v>
      </c>
      <c r="N606" s="29">
        <v>9.5999999999999992E-3</v>
      </c>
      <c r="O606" s="44" t="s">
        <v>62</v>
      </c>
      <c r="P606" s="15"/>
      <c r="Q606" s="16">
        <f t="shared" si="19"/>
        <v>14.85</v>
      </c>
    </row>
    <row r="607" spans="1:17" ht="15" customHeight="1" x14ac:dyDescent="0.25">
      <c r="A607" s="15">
        <v>606</v>
      </c>
      <c r="B607" s="15" t="s">
        <v>1938</v>
      </c>
      <c r="C607" s="15" t="s">
        <v>1939</v>
      </c>
      <c r="D607" s="15" t="s">
        <v>1940</v>
      </c>
      <c r="E607" s="15" t="s">
        <v>1802</v>
      </c>
      <c r="F607" s="41">
        <v>1</v>
      </c>
      <c r="G607" s="42">
        <v>14.8</v>
      </c>
      <c r="H607" s="43">
        <v>0.01</v>
      </c>
      <c r="I607" s="41" t="s">
        <v>63</v>
      </c>
      <c r="J607" s="16">
        <f t="shared" si="18"/>
        <v>14.652000000000001</v>
      </c>
      <c r="K607" s="16">
        <f>IF(Q607="",0,IF(SUMPRODUCT(('Returns &amp; Refunds'!$A$6:$A$11=C607)*('Returns &amp; Refunds'!$H$6:$H$11="Confirmed Good — Remove Charge"))&gt;0,0,Q607))</f>
        <v>14.652000000000001</v>
      </c>
      <c r="L607" s="16">
        <v>20.9</v>
      </c>
      <c r="M607" s="28">
        <v>20.7</v>
      </c>
      <c r="N607" s="29">
        <v>9.5999999999999992E-3</v>
      </c>
      <c r="O607" s="44" t="s">
        <v>62</v>
      </c>
      <c r="P607" s="15"/>
      <c r="Q607" s="16">
        <f t="shared" si="19"/>
        <v>14.652000000000001</v>
      </c>
    </row>
    <row r="608" spans="1:17" ht="15" customHeight="1" x14ac:dyDescent="0.25">
      <c r="A608" s="15">
        <v>607</v>
      </c>
      <c r="B608" s="15" t="s">
        <v>1941</v>
      </c>
      <c r="C608" s="15" t="s">
        <v>1942</v>
      </c>
      <c r="D608" s="15" t="s">
        <v>1943</v>
      </c>
      <c r="E608" s="15" t="s">
        <v>1031</v>
      </c>
      <c r="F608" s="41">
        <v>1</v>
      </c>
      <c r="G608" s="42">
        <v>10.8</v>
      </c>
      <c r="H608" s="43">
        <v>0.35</v>
      </c>
      <c r="I608" s="41" t="s">
        <v>63</v>
      </c>
      <c r="J608" s="16">
        <f t="shared" si="18"/>
        <v>7.0200000000000005</v>
      </c>
      <c r="K608" s="16">
        <f>IF(Q608="",0,IF(SUMPRODUCT(('Returns &amp; Refunds'!$A$6:$A$11=C608)*('Returns &amp; Refunds'!$H$6:$H$11="Confirmed Good — Remove Charge"))&gt;0,0,Q608))</f>
        <v>7.0200000000000005</v>
      </c>
      <c r="L608" s="16">
        <v>15.9</v>
      </c>
      <c r="M608" s="28">
        <v>10.3</v>
      </c>
      <c r="N608" s="29">
        <v>0.35220000000000001</v>
      </c>
      <c r="O608" s="44" t="s">
        <v>62</v>
      </c>
      <c r="P608" s="15"/>
      <c r="Q608" s="16">
        <f t="shared" si="19"/>
        <v>7.0200000000000005</v>
      </c>
    </row>
    <row r="609" spans="1:17" ht="15" customHeight="1" x14ac:dyDescent="0.25">
      <c r="A609" s="15">
        <v>608</v>
      </c>
      <c r="B609" s="15" t="s">
        <v>1944</v>
      </c>
      <c r="C609" s="15" t="s">
        <v>1945</v>
      </c>
      <c r="D609" s="15" t="s">
        <v>1946</v>
      </c>
      <c r="E609" s="15" t="s">
        <v>1865</v>
      </c>
      <c r="F609" s="41">
        <v>1</v>
      </c>
      <c r="G609" s="42">
        <v>42</v>
      </c>
      <c r="H609" s="43">
        <v>0.05</v>
      </c>
      <c r="I609" s="41" t="s">
        <v>69</v>
      </c>
      <c r="J609" s="16">
        <f t="shared" si="18"/>
        <v>42</v>
      </c>
      <c r="K609" s="16">
        <f>IF(Q609="",0,IF(SUMPRODUCT(('Returns &amp; Refunds'!$A$6:$A$11=C609)*('Returns &amp; Refunds'!$H$6:$H$11="Confirmed Good — Remove Charge"))&gt;0,0,Q609))</f>
        <v>42</v>
      </c>
      <c r="L609" s="16">
        <v>57.9</v>
      </c>
      <c r="M609" s="28">
        <v>57.9</v>
      </c>
      <c r="N609" s="29">
        <v>0</v>
      </c>
      <c r="O609" s="45" t="s">
        <v>68</v>
      </c>
      <c r="P609" s="15"/>
      <c r="Q609" s="16">
        <f t="shared" si="19"/>
        <v>42</v>
      </c>
    </row>
    <row r="610" spans="1:17" ht="15" customHeight="1" x14ac:dyDescent="0.25">
      <c r="A610" s="15">
        <v>609</v>
      </c>
      <c r="B610" s="15" t="s">
        <v>1947</v>
      </c>
      <c r="C610" s="15" t="s">
        <v>1948</v>
      </c>
      <c r="D610" s="15" t="s">
        <v>1949</v>
      </c>
      <c r="E610" s="15" t="s">
        <v>179</v>
      </c>
      <c r="F610" s="41">
        <v>1</v>
      </c>
      <c r="G610" s="42">
        <v>11.3</v>
      </c>
      <c r="H610" s="43">
        <v>0.01</v>
      </c>
      <c r="I610" s="41" t="s">
        <v>63</v>
      </c>
      <c r="J610" s="16">
        <f t="shared" si="18"/>
        <v>11.187000000000001</v>
      </c>
      <c r="K610" s="16">
        <f>IF(Q610="",0,IF(SUMPRODUCT(('Returns &amp; Refunds'!$A$6:$A$11=C610)*('Returns &amp; Refunds'!$H$6:$H$11="Confirmed Good — Remove Charge"))&gt;0,0,Q610))</f>
        <v>11.187000000000001</v>
      </c>
      <c r="L610" s="16">
        <v>15.9</v>
      </c>
      <c r="M610" s="28">
        <v>15.7</v>
      </c>
      <c r="N610" s="29">
        <v>1.26E-2</v>
      </c>
      <c r="O610" s="44" t="s">
        <v>62</v>
      </c>
      <c r="P610" s="15"/>
      <c r="Q610" s="16">
        <f t="shared" si="19"/>
        <v>11.187000000000001</v>
      </c>
    </row>
    <row r="611" spans="1:17" ht="15" customHeight="1" x14ac:dyDescent="0.25">
      <c r="A611" s="15">
        <v>610</v>
      </c>
      <c r="B611" s="15" t="s">
        <v>1947</v>
      </c>
      <c r="C611" s="15" t="s">
        <v>1948</v>
      </c>
      <c r="D611" s="15" t="s">
        <v>1949</v>
      </c>
      <c r="E611" s="15" t="s">
        <v>565</v>
      </c>
      <c r="F611" s="41">
        <v>1</v>
      </c>
      <c r="G611" s="42">
        <v>10.6</v>
      </c>
      <c r="H611" s="43">
        <v>0.01</v>
      </c>
      <c r="I611" s="41" t="s">
        <v>63</v>
      </c>
      <c r="J611" s="16">
        <f t="shared" si="18"/>
        <v>10.494</v>
      </c>
      <c r="K611" s="16">
        <f>IF(Q611="",0,IF(SUMPRODUCT(('Returns &amp; Refunds'!$A$6:$A$11=C611)*('Returns &amp; Refunds'!$H$6:$H$11="Confirmed Good — Remove Charge"))&gt;0,0,Q611))</f>
        <v>10.494</v>
      </c>
      <c r="L611" s="16">
        <v>15</v>
      </c>
      <c r="M611" s="28">
        <v>14.9</v>
      </c>
      <c r="N611" s="29">
        <v>6.7000000000000002E-3</v>
      </c>
      <c r="O611" s="44" t="s">
        <v>62</v>
      </c>
      <c r="P611" s="15"/>
      <c r="Q611" s="16">
        <f t="shared" si="19"/>
        <v>10.494</v>
      </c>
    </row>
    <row r="612" spans="1:17" ht="15" customHeight="1" x14ac:dyDescent="0.25">
      <c r="A612" s="15">
        <v>611</v>
      </c>
      <c r="B612" s="15" t="s">
        <v>1950</v>
      </c>
      <c r="C612" s="15" t="s">
        <v>1951</v>
      </c>
      <c r="D612" s="15" t="s">
        <v>1952</v>
      </c>
      <c r="E612" s="15" t="s">
        <v>1953</v>
      </c>
      <c r="F612" s="41">
        <v>2</v>
      </c>
      <c r="G612" s="42">
        <v>34.5</v>
      </c>
      <c r="H612" s="43">
        <v>0.03</v>
      </c>
      <c r="I612" s="41" t="s">
        <v>63</v>
      </c>
      <c r="J612" s="16">
        <f t="shared" si="18"/>
        <v>33.464999999999996</v>
      </c>
      <c r="K612" s="16">
        <f>IF(Q612="",0,IF(SUMPRODUCT(('Returns &amp; Refunds'!$A$6:$A$11=C612)*('Returns &amp; Refunds'!$H$6:$H$11="Confirmed Good — Remove Charge"))&gt;0,0,Q612))</f>
        <v>66.929999999999993</v>
      </c>
      <c r="L612" s="16">
        <v>45.9</v>
      </c>
      <c r="M612" s="28">
        <v>44.5</v>
      </c>
      <c r="N612" s="29">
        <v>3.0499999999999999E-2</v>
      </c>
      <c r="O612" s="44" t="s">
        <v>62</v>
      </c>
      <c r="P612" s="15"/>
      <c r="Q612" s="16">
        <f t="shared" si="19"/>
        <v>66.929999999999993</v>
      </c>
    </row>
    <row r="613" spans="1:17" ht="15" customHeight="1" x14ac:dyDescent="0.25">
      <c r="A613" s="15">
        <v>612</v>
      </c>
      <c r="B613" s="15" t="s">
        <v>108</v>
      </c>
      <c r="C613" s="15" t="s">
        <v>109</v>
      </c>
      <c r="D613" s="15" t="s">
        <v>1954</v>
      </c>
      <c r="E613" s="15" t="s">
        <v>87</v>
      </c>
      <c r="F613" s="41">
        <v>1</v>
      </c>
      <c r="G613" s="42">
        <v>15.7</v>
      </c>
      <c r="H613" s="43">
        <v>0.05</v>
      </c>
      <c r="I613" s="41" t="s">
        <v>63</v>
      </c>
      <c r="J613" s="16">
        <f t="shared" si="18"/>
        <v>14.914999999999999</v>
      </c>
      <c r="K613" s="16">
        <f>IF(Q613="",0,IF(SUMPRODUCT(('Returns &amp; Refunds'!$A$6:$A$11=C613)*('Returns &amp; Refunds'!$H$6:$H$11="Confirmed Good — Remove Charge"))&gt;0,0,Q613))</f>
        <v>14.914999999999999</v>
      </c>
      <c r="L613" s="16">
        <v>19.899999999999999</v>
      </c>
      <c r="M613" s="28">
        <v>18.899999999999999</v>
      </c>
      <c r="N613" s="29">
        <v>5.0299999999999997E-2</v>
      </c>
      <c r="O613" s="44" t="s">
        <v>62</v>
      </c>
      <c r="P613" s="15"/>
      <c r="Q613" s="16">
        <f t="shared" si="19"/>
        <v>14.914999999999999</v>
      </c>
    </row>
    <row r="614" spans="1:17" ht="15" customHeight="1" x14ac:dyDescent="0.25">
      <c r="A614" s="15">
        <v>613</v>
      </c>
      <c r="B614" s="15" t="s">
        <v>202</v>
      </c>
      <c r="C614" s="15" t="s">
        <v>203</v>
      </c>
      <c r="D614" s="15" t="s">
        <v>1955</v>
      </c>
      <c r="E614" s="15" t="s">
        <v>213</v>
      </c>
      <c r="F614" s="41">
        <v>1</v>
      </c>
      <c r="G614" s="42">
        <v>35.4</v>
      </c>
      <c r="H614" s="43">
        <v>0.01</v>
      </c>
      <c r="I614" s="46" t="str">
        <f>IF('Pending DSP Entry'!L76="Charge Full DSP Instead","No","Yes")</f>
        <v>Yes</v>
      </c>
      <c r="J614" s="16">
        <f t="shared" si="18"/>
        <v>35.045999999999999</v>
      </c>
      <c r="K614" s="16">
        <f>IF(Q614="",0,IF(SUMPRODUCT(('Returns &amp; Refunds'!$A$6:$A$11=C614)*('Returns &amp; Refunds'!$H$6:$H$11="Confirmed Good — Remove Charge"))&gt;0,0,Q614))</f>
        <v>35.045999999999999</v>
      </c>
      <c r="L614" s="16">
        <v>44.9</v>
      </c>
      <c r="M614" s="28">
        <v>44.06</v>
      </c>
      <c r="N614" s="29">
        <v>1.8700000000000001E-2</v>
      </c>
      <c r="O614" s="38" t="s">
        <v>129</v>
      </c>
      <c r="P614" s="47" t="str">
        <f>"Wrong rate set by reseller — decision at Pending DSP Entry section D, row 76"</f>
        <v>Wrong rate set by reseller — decision at Pending DSP Entry section D, row 76</v>
      </c>
      <c r="Q614" s="16">
        <f t="shared" si="19"/>
        <v>35.045999999999999</v>
      </c>
    </row>
    <row r="615" spans="1:17" ht="15" customHeight="1" x14ac:dyDescent="0.25">
      <c r="A615" s="15">
        <v>614</v>
      </c>
      <c r="B615" s="15" t="s">
        <v>202</v>
      </c>
      <c r="C615" s="15" t="s">
        <v>203</v>
      </c>
      <c r="D615" s="15" t="s">
        <v>1955</v>
      </c>
      <c r="E615" s="15" t="s">
        <v>198</v>
      </c>
      <c r="F615" s="41">
        <v>1</v>
      </c>
      <c r="G615" s="42">
        <v>10</v>
      </c>
      <c r="H615" s="43">
        <v>0.05</v>
      </c>
      <c r="I615" s="46" t="str">
        <f>IF('Pending DSP Entry'!L64="Charge Full DSP Instead","No","Yes")</f>
        <v>Yes</v>
      </c>
      <c r="J615" s="16">
        <f t="shared" si="18"/>
        <v>9.5</v>
      </c>
      <c r="K615" s="16">
        <f>IF(Q615="",0,IF(SUMPRODUCT(('Returns &amp; Refunds'!$A$6:$A$11=C615)*('Returns &amp; Refunds'!$H$6:$H$11="Confirmed Good — Remove Charge"))&gt;0,0,Q615))</f>
        <v>9.5</v>
      </c>
      <c r="L615" s="16">
        <v>15.9</v>
      </c>
      <c r="M615" s="28">
        <v>14.95</v>
      </c>
      <c r="N615" s="29">
        <v>5.9700000000000003E-2</v>
      </c>
      <c r="O615" s="38" t="s">
        <v>129</v>
      </c>
      <c r="P615" s="47" t="str">
        <f>"Wrong rate set by reseller — decision at Pending DSP Entry section D, row 64"</f>
        <v>Wrong rate set by reseller — decision at Pending DSP Entry section D, row 64</v>
      </c>
      <c r="Q615" s="16">
        <f t="shared" si="19"/>
        <v>9.5</v>
      </c>
    </row>
    <row r="616" spans="1:17" ht="15" customHeight="1" x14ac:dyDescent="0.25">
      <c r="A616" s="15">
        <v>615</v>
      </c>
      <c r="B616" s="15" t="s">
        <v>202</v>
      </c>
      <c r="C616" s="15" t="s">
        <v>203</v>
      </c>
      <c r="D616" s="15" t="s">
        <v>1955</v>
      </c>
      <c r="E616" s="15" t="s">
        <v>212</v>
      </c>
      <c r="F616" s="41">
        <v>1</v>
      </c>
      <c r="G616" s="42">
        <v>25.6</v>
      </c>
      <c r="H616" s="43">
        <v>0.15</v>
      </c>
      <c r="I616" s="46" t="str">
        <f>IF('Pending DSP Entry'!L74="Charge Full DSP Instead","No","Yes")</f>
        <v>Yes</v>
      </c>
      <c r="J616" s="16">
        <f t="shared" si="18"/>
        <v>21.76</v>
      </c>
      <c r="K616" s="16">
        <f>IF(Q616="",0,IF(SUMPRODUCT(('Returns &amp; Refunds'!$A$6:$A$11=C616)*('Returns &amp; Refunds'!$H$6:$H$11="Confirmed Good — Remove Charge"))&gt;0,0,Q616))</f>
        <v>21.76</v>
      </c>
      <c r="L616" s="16">
        <v>37.9</v>
      </c>
      <c r="M616" s="28">
        <v>31.88</v>
      </c>
      <c r="N616" s="29">
        <v>0.1588</v>
      </c>
      <c r="O616" s="38" t="s">
        <v>129</v>
      </c>
      <c r="P616" s="47" t="str">
        <f>"Wrong rate set by reseller — decision at Pending DSP Entry section D, row 74"</f>
        <v>Wrong rate set by reseller — decision at Pending DSP Entry section D, row 74</v>
      </c>
      <c r="Q616" s="16">
        <f t="shared" si="19"/>
        <v>21.76</v>
      </c>
    </row>
    <row r="617" spans="1:17" ht="15" customHeight="1" x14ac:dyDescent="0.25">
      <c r="A617" s="15">
        <v>616</v>
      </c>
      <c r="B617" s="15" t="s">
        <v>202</v>
      </c>
      <c r="C617" s="15" t="s">
        <v>203</v>
      </c>
      <c r="D617" s="15" t="s">
        <v>1955</v>
      </c>
      <c r="E617" s="15" t="s">
        <v>250</v>
      </c>
      <c r="F617" s="41">
        <v>1</v>
      </c>
      <c r="G617" s="42">
        <v>6.1</v>
      </c>
      <c r="H617" s="43">
        <v>0.05</v>
      </c>
      <c r="I617" s="46" t="str">
        <f>IF('Pending DSP Entry'!L103="Charge Full DSP Instead","No","Yes")</f>
        <v>Yes</v>
      </c>
      <c r="J617" s="16">
        <f t="shared" si="18"/>
        <v>5.794999999999999</v>
      </c>
      <c r="K617" s="16">
        <f>IF(Q617="",0,IF(SUMPRODUCT(('Returns &amp; Refunds'!$A$6:$A$11=C617)*('Returns &amp; Refunds'!$H$6:$H$11="Confirmed Good — Remove Charge"))&gt;0,0,Q617))</f>
        <v>5.794999999999999</v>
      </c>
      <c r="L617" s="16">
        <v>8.9</v>
      </c>
      <c r="M617" s="28">
        <v>8.5</v>
      </c>
      <c r="N617" s="29">
        <v>4.4900000000000002E-2</v>
      </c>
      <c r="O617" s="38" t="s">
        <v>129</v>
      </c>
      <c r="P617" s="47" t="str">
        <f>"Wrong rate set by reseller — decision at Pending DSP Entry section D, row 103"</f>
        <v>Wrong rate set by reseller — decision at Pending DSP Entry section D, row 103</v>
      </c>
      <c r="Q617" s="16">
        <f t="shared" si="19"/>
        <v>5.794999999999999</v>
      </c>
    </row>
    <row r="618" spans="1:17" ht="15" customHeight="1" x14ac:dyDescent="0.25">
      <c r="A618" s="15">
        <v>617</v>
      </c>
      <c r="B618" s="15" t="s">
        <v>1956</v>
      </c>
      <c r="C618" s="15" t="s">
        <v>1957</v>
      </c>
      <c r="D618" s="15" t="s">
        <v>1958</v>
      </c>
      <c r="E618" s="15" t="s">
        <v>1158</v>
      </c>
      <c r="F618" s="41">
        <v>1</v>
      </c>
      <c r="G618" s="42">
        <v>35.4</v>
      </c>
      <c r="H618" s="43">
        <v>0.01</v>
      </c>
      <c r="I618" s="41" t="s">
        <v>63</v>
      </c>
      <c r="J618" s="16">
        <f t="shared" si="18"/>
        <v>35.045999999999999</v>
      </c>
      <c r="K618" s="16">
        <f>IF(Q618="",0,IF(SUMPRODUCT(('Returns &amp; Refunds'!$A$6:$A$11=C618)*('Returns &amp; Refunds'!$H$6:$H$11="Confirmed Good — Remove Charge"))&gt;0,0,Q618))</f>
        <v>35.045999999999999</v>
      </c>
      <c r="L618" s="16">
        <v>44.9</v>
      </c>
      <c r="M618" s="28">
        <v>44.5</v>
      </c>
      <c r="N618" s="29">
        <v>8.8999999999999999E-3</v>
      </c>
      <c r="O618" s="44" t="s">
        <v>62</v>
      </c>
      <c r="P618" s="15"/>
      <c r="Q618" s="16">
        <f t="shared" si="19"/>
        <v>35.045999999999999</v>
      </c>
    </row>
    <row r="619" spans="1:17" ht="15" customHeight="1" x14ac:dyDescent="0.25">
      <c r="A619" s="15">
        <v>618</v>
      </c>
      <c r="B619" s="15" t="s">
        <v>1959</v>
      </c>
      <c r="C619" s="15" t="s">
        <v>1960</v>
      </c>
      <c r="D619" s="15" t="s">
        <v>1961</v>
      </c>
      <c r="E619" s="15" t="s">
        <v>186</v>
      </c>
      <c r="F619" s="41">
        <v>1</v>
      </c>
      <c r="G619" s="42">
        <v>12.4</v>
      </c>
      <c r="H619" s="43">
        <v>0.01</v>
      </c>
      <c r="I619" s="41" t="s">
        <v>63</v>
      </c>
      <c r="J619" s="16">
        <f t="shared" si="18"/>
        <v>12.276</v>
      </c>
      <c r="K619" s="16">
        <f>IF(Q619="",0,IF(SUMPRODUCT(('Returns &amp; Refunds'!$A$6:$A$11=C619)*('Returns &amp; Refunds'!$H$6:$H$11="Confirmed Good — Remove Charge"))&gt;0,0,Q619))</f>
        <v>12.276</v>
      </c>
      <c r="L619" s="16">
        <v>17.899999999999999</v>
      </c>
      <c r="M619" s="28">
        <v>17.7</v>
      </c>
      <c r="N619" s="29">
        <v>1.12E-2</v>
      </c>
      <c r="O619" s="44" t="s">
        <v>62</v>
      </c>
      <c r="P619" s="15"/>
      <c r="Q619" s="16">
        <f t="shared" si="19"/>
        <v>12.276</v>
      </c>
    </row>
    <row r="620" spans="1:17" ht="15" customHeight="1" x14ac:dyDescent="0.25">
      <c r="A620" s="15">
        <v>619</v>
      </c>
      <c r="B620" s="15" t="s">
        <v>1962</v>
      </c>
      <c r="C620" s="15" t="s">
        <v>1963</v>
      </c>
      <c r="D620" s="15" t="s">
        <v>1964</v>
      </c>
      <c r="E620" s="15" t="s">
        <v>858</v>
      </c>
      <c r="F620" s="41">
        <v>1</v>
      </c>
      <c r="G620" s="42">
        <v>14.9</v>
      </c>
      <c r="H620" s="43">
        <v>0.01</v>
      </c>
      <c r="I620" s="41" t="s">
        <v>63</v>
      </c>
      <c r="J620" s="16">
        <f t="shared" si="18"/>
        <v>14.750999999999999</v>
      </c>
      <c r="K620" s="16">
        <f>IF(Q620="",0,IF(SUMPRODUCT(('Returns &amp; Refunds'!$A$6:$A$11=C620)*('Returns &amp; Refunds'!$H$6:$H$11="Confirmed Good — Remove Charge"))&gt;0,0,Q620))</f>
        <v>14.750999999999999</v>
      </c>
      <c r="L620" s="16">
        <v>20.9</v>
      </c>
      <c r="M620" s="28">
        <v>20.7</v>
      </c>
      <c r="N620" s="29">
        <v>9.5999999999999992E-3</v>
      </c>
      <c r="O620" s="44" t="s">
        <v>62</v>
      </c>
      <c r="P620" s="15"/>
      <c r="Q620" s="16">
        <f t="shared" si="19"/>
        <v>14.750999999999999</v>
      </c>
    </row>
    <row r="621" spans="1:17" ht="15" customHeight="1" x14ac:dyDescent="0.25">
      <c r="A621" s="15">
        <v>620</v>
      </c>
      <c r="B621" s="15" t="s">
        <v>1965</v>
      </c>
      <c r="C621" s="15" t="s">
        <v>1966</v>
      </c>
      <c r="D621" s="15" t="s">
        <v>1967</v>
      </c>
      <c r="E621" s="15" t="s">
        <v>159</v>
      </c>
      <c r="F621" s="41">
        <v>1</v>
      </c>
      <c r="G621" s="42">
        <v>15</v>
      </c>
      <c r="H621" s="43">
        <v>0.01</v>
      </c>
      <c r="I621" s="41" t="s">
        <v>63</v>
      </c>
      <c r="J621" s="16">
        <f t="shared" si="18"/>
        <v>14.85</v>
      </c>
      <c r="K621" s="16">
        <f>IF(Q621="",0,IF(SUMPRODUCT(('Returns &amp; Refunds'!$A$6:$A$11=C621)*('Returns &amp; Refunds'!$H$6:$H$11="Confirmed Good — Remove Charge"))&gt;0,0,Q621))</f>
        <v>14.85</v>
      </c>
      <c r="L621" s="16">
        <v>20.9</v>
      </c>
      <c r="M621" s="28">
        <v>20.7</v>
      </c>
      <c r="N621" s="29">
        <v>9.5999999999999992E-3</v>
      </c>
      <c r="O621" s="44" t="s">
        <v>62</v>
      </c>
      <c r="P621" s="15"/>
      <c r="Q621" s="16">
        <f t="shared" si="19"/>
        <v>14.85</v>
      </c>
    </row>
    <row r="622" spans="1:17" ht="15" customHeight="1" x14ac:dyDescent="0.25">
      <c r="A622" s="15">
        <v>621</v>
      </c>
      <c r="B622" s="15" t="s">
        <v>1968</v>
      </c>
      <c r="C622" s="15" t="s">
        <v>1969</v>
      </c>
      <c r="D622" s="15" t="s">
        <v>1970</v>
      </c>
      <c r="E622" s="15" t="s">
        <v>1971</v>
      </c>
      <c r="F622" s="41">
        <v>1</v>
      </c>
      <c r="G622" s="42">
        <v>35.9</v>
      </c>
      <c r="H622" s="43">
        <v>0.5</v>
      </c>
      <c r="I622" s="41" t="s">
        <v>63</v>
      </c>
      <c r="J622" s="16">
        <f t="shared" si="18"/>
        <v>17.95</v>
      </c>
      <c r="K622" s="16">
        <f>IF(Q622="",0,IF(SUMPRODUCT(('Returns &amp; Refunds'!$A$6:$A$11=C622)*('Returns &amp; Refunds'!$H$6:$H$11="Confirmed Good — Remove Charge"))&gt;0,0,Q622))</f>
        <v>17.95</v>
      </c>
      <c r="L622" s="16">
        <v>47.9</v>
      </c>
      <c r="M622" s="28">
        <v>24</v>
      </c>
      <c r="N622" s="29">
        <v>0.499</v>
      </c>
      <c r="O622" s="44" t="s">
        <v>62</v>
      </c>
      <c r="P622" s="15"/>
      <c r="Q622" s="16">
        <f t="shared" si="19"/>
        <v>17.95</v>
      </c>
    </row>
    <row r="623" spans="1:17" ht="15" customHeight="1" x14ac:dyDescent="0.25">
      <c r="A623" s="15">
        <v>622</v>
      </c>
      <c r="B623" s="15" t="s">
        <v>1972</v>
      </c>
      <c r="C623" s="15" t="s">
        <v>1973</v>
      </c>
      <c r="D623" s="15" t="s">
        <v>1974</v>
      </c>
      <c r="E623" s="15" t="s">
        <v>1652</v>
      </c>
      <c r="F623" s="41">
        <v>1</v>
      </c>
      <c r="G623" s="42">
        <v>19</v>
      </c>
      <c r="H623" s="43">
        <v>0.05</v>
      </c>
      <c r="I623" s="41" t="s">
        <v>63</v>
      </c>
      <c r="J623" s="16">
        <f t="shared" si="18"/>
        <v>18.05</v>
      </c>
      <c r="K623" s="16">
        <f>IF(Q623="",0,IF(SUMPRODUCT(('Returns &amp; Refunds'!$A$6:$A$11=C623)*('Returns &amp; Refunds'!$H$6:$H$11="Confirmed Good — Remove Charge"))&gt;0,0,Q623))</f>
        <v>18.05</v>
      </c>
      <c r="L623" s="16">
        <v>26.9</v>
      </c>
      <c r="M623" s="28">
        <v>25.6</v>
      </c>
      <c r="N623" s="29">
        <v>4.8300000000000003E-2</v>
      </c>
      <c r="O623" s="44" t="s">
        <v>62</v>
      </c>
      <c r="P623" s="15"/>
      <c r="Q623" s="16">
        <f t="shared" si="19"/>
        <v>18.05</v>
      </c>
    </row>
    <row r="624" spans="1:17" ht="15" customHeight="1" x14ac:dyDescent="0.25">
      <c r="A624" s="15">
        <v>623</v>
      </c>
      <c r="B624" s="15" t="s">
        <v>1975</v>
      </c>
      <c r="C624" s="15" t="s">
        <v>1976</v>
      </c>
      <c r="D624" s="15" t="s">
        <v>1977</v>
      </c>
      <c r="E624" s="15" t="s">
        <v>1978</v>
      </c>
      <c r="F624" s="41">
        <v>1</v>
      </c>
      <c r="G624" s="42">
        <v>33.9</v>
      </c>
      <c r="H624" s="43">
        <v>0.3</v>
      </c>
      <c r="I624" s="41" t="s">
        <v>63</v>
      </c>
      <c r="J624" s="16">
        <f t="shared" si="18"/>
        <v>23.729999999999997</v>
      </c>
      <c r="K624" s="16">
        <f>IF(Q624="",0,IF(SUMPRODUCT(('Returns &amp; Refunds'!$A$6:$A$11=C624)*('Returns &amp; Refunds'!$H$6:$H$11="Confirmed Good — Remove Charge"))&gt;0,0,Q624))</f>
        <v>23.729999999999997</v>
      </c>
      <c r="L624" s="16">
        <v>49.9</v>
      </c>
      <c r="M624" s="28">
        <v>34.9</v>
      </c>
      <c r="N624" s="29">
        <v>0.30059999999999998</v>
      </c>
      <c r="O624" s="44" t="s">
        <v>62</v>
      </c>
      <c r="P624" s="15"/>
      <c r="Q624" s="16">
        <f t="shared" si="19"/>
        <v>23.729999999999997</v>
      </c>
    </row>
    <row r="625" spans="1:17" ht="15" customHeight="1" x14ac:dyDescent="0.25">
      <c r="A625" s="15">
        <v>624</v>
      </c>
      <c r="B625" s="15" t="s">
        <v>137</v>
      </c>
      <c r="C625" s="15" t="s">
        <v>138</v>
      </c>
      <c r="D625" s="15" t="s">
        <v>1979</v>
      </c>
      <c r="E625" s="15" t="s">
        <v>206</v>
      </c>
      <c r="F625" s="41">
        <v>1</v>
      </c>
      <c r="G625" s="42">
        <v>14.9</v>
      </c>
      <c r="H625" s="43">
        <v>0.01</v>
      </c>
      <c r="I625" s="46" t="str">
        <f>IF('Pending DSP Entry'!L67="Charge Full DSP Instead","No","Yes")</f>
        <v>Yes</v>
      </c>
      <c r="J625" s="16">
        <f t="shared" si="18"/>
        <v>14.750999999999999</v>
      </c>
      <c r="K625" s="16">
        <f>IF(Q625="",0,IF(SUMPRODUCT(('Returns &amp; Refunds'!$A$6:$A$11=C625)*('Returns &amp; Refunds'!$H$6:$H$11="Confirmed Good — Remove Charge"))&gt;0,0,Q625))</f>
        <v>14.750999999999999</v>
      </c>
      <c r="L625" s="16">
        <v>20.9</v>
      </c>
      <c r="M625" s="28">
        <v>20.49</v>
      </c>
      <c r="N625" s="29">
        <v>1.9599999999999999E-2</v>
      </c>
      <c r="O625" s="38" t="s">
        <v>129</v>
      </c>
      <c r="P625" s="47" t="str">
        <f>"Wrong rate set by reseller — decision at Pending DSP Entry section D, row 67"</f>
        <v>Wrong rate set by reseller — decision at Pending DSP Entry section D, row 67</v>
      </c>
      <c r="Q625" s="16">
        <f t="shared" si="19"/>
        <v>14.750999999999999</v>
      </c>
    </row>
    <row r="626" spans="1:17" ht="15" customHeight="1" x14ac:dyDescent="0.25">
      <c r="A626" s="15">
        <v>625</v>
      </c>
      <c r="B626" s="15" t="s">
        <v>137</v>
      </c>
      <c r="C626" s="15" t="s">
        <v>138</v>
      </c>
      <c r="D626" s="15" t="s">
        <v>1979</v>
      </c>
      <c r="E626" s="15" t="s">
        <v>136</v>
      </c>
      <c r="F626" s="41">
        <v>2</v>
      </c>
      <c r="G626" s="42">
        <v>15</v>
      </c>
      <c r="H626" s="43">
        <v>0.01</v>
      </c>
      <c r="I626" s="46" t="str">
        <f>IF('Pending DSP Entry'!L37="Charge Full DSP Instead","No","Yes")</f>
        <v>Yes</v>
      </c>
      <c r="J626" s="16">
        <f t="shared" si="18"/>
        <v>14.85</v>
      </c>
      <c r="K626" s="16">
        <f>IF(Q626="",0,IF(SUMPRODUCT(('Returns &amp; Refunds'!$A$6:$A$11=C626)*('Returns &amp; Refunds'!$H$6:$H$11="Confirmed Good — Remove Charge"))&gt;0,0,Q626))</f>
        <v>29.7</v>
      </c>
      <c r="L626" s="16">
        <v>20.9</v>
      </c>
      <c r="M626" s="28">
        <v>19.64</v>
      </c>
      <c r="N626" s="29">
        <v>6.0299999999999999E-2</v>
      </c>
      <c r="O626" s="38" t="s">
        <v>129</v>
      </c>
      <c r="P626" s="47" t="str">
        <f>"Wrong rate set by reseller — decision at Pending DSP Entry section D, row 37"</f>
        <v>Wrong rate set by reseller — decision at Pending DSP Entry section D, row 37</v>
      </c>
      <c r="Q626" s="16">
        <f t="shared" si="19"/>
        <v>29.7</v>
      </c>
    </row>
    <row r="627" spans="1:17" ht="15" customHeight="1" x14ac:dyDescent="0.25">
      <c r="A627" s="15">
        <v>626</v>
      </c>
      <c r="B627" s="15" t="s">
        <v>1980</v>
      </c>
      <c r="C627" s="15" t="s">
        <v>1981</v>
      </c>
      <c r="D627" s="15" t="s">
        <v>1982</v>
      </c>
      <c r="E627" s="15" t="s">
        <v>236</v>
      </c>
      <c r="F627" s="41">
        <v>1</v>
      </c>
      <c r="G627" s="42">
        <v>10.7</v>
      </c>
      <c r="H627" s="43">
        <v>0.01</v>
      </c>
      <c r="I627" s="41" t="s">
        <v>63</v>
      </c>
      <c r="J627" s="16">
        <f t="shared" si="18"/>
        <v>10.593</v>
      </c>
      <c r="K627" s="16">
        <f>IF(Q627="",0,IF(SUMPRODUCT(('Returns &amp; Refunds'!$A$6:$A$11=C627)*('Returns &amp; Refunds'!$H$6:$H$11="Confirmed Good — Remove Charge"))&gt;0,0,Q627))</f>
        <v>10.593</v>
      </c>
      <c r="L627" s="16">
        <v>15.9</v>
      </c>
      <c r="M627" s="28">
        <v>15.7</v>
      </c>
      <c r="N627" s="29">
        <v>1.26E-2</v>
      </c>
      <c r="O627" s="44" t="s">
        <v>62</v>
      </c>
      <c r="P627" s="15"/>
      <c r="Q627" s="16">
        <f t="shared" si="19"/>
        <v>10.593</v>
      </c>
    </row>
    <row r="628" spans="1:17" ht="15" customHeight="1" x14ac:dyDescent="0.25">
      <c r="A628" s="15">
        <v>627</v>
      </c>
      <c r="B628" s="15" t="s">
        <v>72</v>
      </c>
      <c r="C628" s="15" t="s">
        <v>73</v>
      </c>
      <c r="D628" s="15" t="s">
        <v>1983</v>
      </c>
      <c r="E628" s="15" t="s">
        <v>67</v>
      </c>
      <c r="F628" s="41">
        <v>1</v>
      </c>
      <c r="G628" s="50">
        <f>IFERROR(IF('Pending DSP Entry'!F9="","",'Pending DSP Entry'!F9),"")</f>
        <v>49.5</v>
      </c>
      <c r="H628" s="48">
        <f>'Pending DSP Entry'!J9</f>
        <v>0</v>
      </c>
      <c r="I628" s="46" t="str">
        <f>'Pending DSP Entry'!L9</f>
        <v>No</v>
      </c>
      <c r="J628" s="16">
        <f t="shared" si="18"/>
        <v>49.5</v>
      </c>
      <c r="K628" s="16">
        <f>IF(Q628="",0,IF(SUMPRODUCT(('Returns &amp; Refunds'!$A$6:$A$11=C628)*('Returns &amp; Refunds'!$H$6:$H$11="Confirmed Good — Remove Charge"))&gt;0,0,Q628))</f>
        <v>49.5</v>
      </c>
      <c r="L628" s="16">
        <v>67.900000000000006</v>
      </c>
      <c r="M628" s="28">
        <v>67.900000000000006</v>
      </c>
      <c r="N628" s="29">
        <v>0</v>
      </c>
      <c r="O628" s="45" t="s">
        <v>68</v>
      </c>
      <c r="P628" s="47" t="str">
        <f>"Pending — see Pending DSP Entry section A, row 9"</f>
        <v>Pending — see Pending DSP Entry section A, row 9</v>
      </c>
      <c r="Q628" s="16">
        <f t="shared" si="19"/>
        <v>49.5</v>
      </c>
    </row>
    <row r="629" spans="1:17" ht="15" customHeight="1" x14ac:dyDescent="0.25">
      <c r="A629" s="15">
        <v>628</v>
      </c>
      <c r="B629" s="15" t="s">
        <v>1984</v>
      </c>
      <c r="C629" s="15" t="s">
        <v>1985</v>
      </c>
      <c r="D629" s="15" t="s">
        <v>1986</v>
      </c>
      <c r="E629" s="15" t="s">
        <v>413</v>
      </c>
      <c r="F629" s="41">
        <v>1</v>
      </c>
      <c r="G629" s="42">
        <v>10.5</v>
      </c>
      <c r="H629" s="43">
        <v>0.01</v>
      </c>
      <c r="I629" s="41" t="s">
        <v>63</v>
      </c>
      <c r="J629" s="16">
        <f t="shared" si="18"/>
        <v>10.395</v>
      </c>
      <c r="K629" s="16">
        <f>IF(Q629="",0,IF(SUMPRODUCT(('Returns &amp; Refunds'!$A$6:$A$11=C629)*('Returns &amp; Refunds'!$H$6:$H$11="Confirmed Good — Remove Charge"))&gt;0,0,Q629))</f>
        <v>10.395</v>
      </c>
      <c r="L629" s="16">
        <v>15</v>
      </c>
      <c r="M629" s="28">
        <v>14.9</v>
      </c>
      <c r="N629" s="29">
        <v>6.7000000000000002E-3</v>
      </c>
      <c r="O629" s="44" t="s">
        <v>62</v>
      </c>
      <c r="P629" s="15"/>
      <c r="Q629" s="16">
        <f t="shared" si="19"/>
        <v>10.395</v>
      </c>
    </row>
    <row r="630" spans="1:17" ht="15" customHeight="1" x14ac:dyDescent="0.25">
      <c r="A630" s="15">
        <v>629</v>
      </c>
      <c r="B630" s="15" t="s">
        <v>1987</v>
      </c>
      <c r="C630" s="15" t="s">
        <v>1988</v>
      </c>
      <c r="D630" s="15" t="s">
        <v>1989</v>
      </c>
      <c r="E630" s="15" t="s">
        <v>1990</v>
      </c>
      <c r="F630" s="41">
        <v>1</v>
      </c>
      <c r="G630" s="42">
        <v>13.1</v>
      </c>
      <c r="H630" s="43">
        <v>0.01</v>
      </c>
      <c r="I630" s="41" t="s">
        <v>63</v>
      </c>
      <c r="J630" s="16">
        <f t="shared" si="18"/>
        <v>12.968999999999999</v>
      </c>
      <c r="K630" s="16">
        <f>IF(Q630="",0,IF(SUMPRODUCT(('Returns &amp; Refunds'!$A$6:$A$11=C630)*('Returns &amp; Refunds'!$H$6:$H$11="Confirmed Good — Remove Charge"))&gt;0,0,Q630))</f>
        <v>12.968999999999999</v>
      </c>
      <c r="L630" s="16">
        <v>17.899999999999999</v>
      </c>
      <c r="M630" s="28">
        <v>17.7</v>
      </c>
      <c r="N630" s="29">
        <v>1.12E-2</v>
      </c>
      <c r="O630" s="44" t="s">
        <v>62</v>
      </c>
      <c r="P630" s="15"/>
      <c r="Q630" s="16">
        <f t="shared" si="19"/>
        <v>12.968999999999999</v>
      </c>
    </row>
    <row r="631" spans="1:17" ht="15" customHeight="1" x14ac:dyDescent="0.25">
      <c r="A631" s="15">
        <v>630</v>
      </c>
      <c r="B631" s="15" t="s">
        <v>1991</v>
      </c>
      <c r="C631" s="15" t="s">
        <v>1992</v>
      </c>
      <c r="D631" s="15" t="s">
        <v>1993</v>
      </c>
      <c r="E631" s="15" t="s">
        <v>429</v>
      </c>
      <c r="F631" s="41">
        <v>1</v>
      </c>
      <c r="G631" s="42">
        <v>13.5</v>
      </c>
      <c r="H631" s="43">
        <v>0.01</v>
      </c>
      <c r="I631" s="41" t="s">
        <v>63</v>
      </c>
      <c r="J631" s="16">
        <f t="shared" si="18"/>
        <v>13.365</v>
      </c>
      <c r="K631" s="16">
        <f>IF(Q631="",0,IF(SUMPRODUCT(('Returns &amp; Refunds'!$A$6:$A$11=C631)*('Returns &amp; Refunds'!$H$6:$H$11="Confirmed Good — Remove Charge"))&gt;0,0,Q631))</f>
        <v>13.365</v>
      </c>
      <c r="L631" s="16">
        <v>17.899999999999999</v>
      </c>
      <c r="M631" s="28">
        <v>17.7</v>
      </c>
      <c r="N631" s="29">
        <v>1.12E-2</v>
      </c>
      <c r="O631" s="44" t="s">
        <v>62</v>
      </c>
      <c r="P631" s="15"/>
      <c r="Q631" s="16">
        <f t="shared" si="19"/>
        <v>13.365</v>
      </c>
    </row>
    <row r="632" spans="1:17" ht="15" customHeight="1" x14ac:dyDescent="0.25">
      <c r="A632" s="15">
        <v>631</v>
      </c>
      <c r="B632" s="15" t="s">
        <v>1994</v>
      </c>
      <c r="C632" s="15" t="s">
        <v>1995</v>
      </c>
      <c r="D632" s="15" t="s">
        <v>1996</v>
      </c>
      <c r="E632" s="15" t="s">
        <v>547</v>
      </c>
      <c r="F632" s="41">
        <v>1</v>
      </c>
      <c r="G632" s="42">
        <v>13.2</v>
      </c>
      <c r="H632" s="43">
        <v>0.01</v>
      </c>
      <c r="I632" s="41" t="s">
        <v>63</v>
      </c>
      <c r="J632" s="16">
        <f t="shared" si="18"/>
        <v>13.068</v>
      </c>
      <c r="K632" s="16">
        <f>IF(Q632="",0,IF(SUMPRODUCT(('Returns &amp; Refunds'!$A$6:$A$11=C632)*('Returns &amp; Refunds'!$H$6:$H$11="Confirmed Good — Remove Charge"))&gt;0,0,Q632))</f>
        <v>13.068</v>
      </c>
      <c r="L632" s="16">
        <v>17.899999999999999</v>
      </c>
      <c r="M632" s="28">
        <v>17.7</v>
      </c>
      <c r="N632" s="29">
        <v>1.12E-2</v>
      </c>
      <c r="O632" s="44" t="s">
        <v>62</v>
      </c>
      <c r="P632" s="15"/>
      <c r="Q632" s="16">
        <f t="shared" si="19"/>
        <v>13.068</v>
      </c>
    </row>
    <row r="633" spans="1:17" ht="15" customHeight="1" x14ac:dyDescent="0.25">
      <c r="A633" s="15">
        <v>632</v>
      </c>
      <c r="B633" s="15" t="s">
        <v>1997</v>
      </c>
      <c r="C633" s="15" t="s">
        <v>1998</v>
      </c>
      <c r="D633" s="15" t="s">
        <v>1999</v>
      </c>
      <c r="E633" s="15" t="s">
        <v>2000</v>
      </c>
      <c r="F633" s="41">
        <v>1</v>
      </c>
      <c r="G633" s="42">
        <v>20.3</v>
      </c>
      <c r="H633" s="43">
        <v>0.02</v>
      </c>
      <c r="I633" s="41" t="s">
        <v>63</v>
      </c>
      <c r="J633" s="16">
        <f t="shared" si="18"/>
        <v>19.894000000000002</v>
      </c>
      <c r="K633" s="16">
        <f>IF(Q633="",0,IF(SUMPRODUCT(('Returns &amp; Refunds'!$A$6:$A$11=C633)*('Returns &amp; Refunds'!$H$6:$H$11="Confirmed Good — Remove Charge"))&gt;0,0,Q633))</f>
        <v>19.894000000000002</v>
      </c>
      <c r="L633" s="16">
        <v>27.9</v>
      </c>
      <c r="M633" s="28">
        <v>27.3</v>
      </c>
      <c r="N633" s="29">
        <v>2.1499999999999998E-2</v>
      </c>
      <c r="O633" s="44" t="s">
        <v>62</v>
      </c>
      <c r="P633" s="15"/>
      <c r="Q633" s="16">
        <f t="shared" si="19"/>
        <v>19.894000000000002</v>
      </c>
    </row>
    <row r="634" spans="1:17" ht="15" customHeight="1" x14ac:dyDescent="0.25">
      <c r="A634" s="15">
        <v>633</v>
      </c>
      <c r="B634" s="15" t="s">
        <v>2001</v>
      </c>
      <c r="C634" s="15" t="s">
        <v>2002</v>
      </c>
      <c r="D634" s="15" t="s">
        <v>2003</v>
      </c>
      <c r="E634" s="15" t="s">
        <v>429</v>
      </c>
      <c r="F634" s="41">
        <v>1</v>
      </c>
      <c r="G634" s="42">
        <v>13.5</v>
      </c>
      <c r="H634" s="43">
        <v>0.01</v>
      </c>
      <c r="I634" s="41" t="s">
        <v>63</v>
      </c>
      <c r="J634" s="16">
        <f t="shared" si="18"/>
        <v>13.365</v>
      </c>
      <c r="K634" s="16">
        <f>IF(Q634="",0,IF(SUMPRODUCT(('Returns &amp; Refunds'!$A$6:$A$11=C634)*('Returns &amp; Refunds'!$H$6:$H$11="Confirmed Good — Remove Charge"))&gt;0,0,Q634))</f>
        <v>13.365</v>
      </c>
      <c r="L634" s="16">
        <v>17.899999999999999</v>
      </c>
      <c r="M634" s="28">
        <v>17.7</v>
      </c>
      <c r="N634" s="29">
        <v>1.12E-2</v>
      </c>
      <c r="O634" s="44" t="s">
        <v>62</v>
      </c>
      <c r="P634" s="15"/>
      <c r="Q634" s="16">
        <f t="shared" si="19"/>
        <v>13.365</v>
      </c>
    </row>
    <row r="635" spans="1:17" ht="15" customHeight="1" x14ac:dyDescent="0.25">
      <c r="A635" s="15">
        <v>634</v>
      </c>
      <c r="B635" s="15" t="s">
        <v>2004</v>
      </c>
      <c r="C635" s="15" t="s">
        <v>2005</v>
      </c>
      <c r="D635" s="15" t="s">
        <v>2006</v>
      </c>
      <c r="E635" s="15" t="s">
        <v>469</v>
      </c>
      <c r="F635" s="41">
        <v>1</v>
      </c>
      <c r="G635" s="42">
        <v>13.5</v>
      </c>
      <c r="H635" s="43">
        <v>0.01</v>
      </c>
      <c r="I635" s="41" t="s">
        <v>63</v>
      </c>
      <c r="J635" s="16">
        <f t="shared" si="18"/>
        <v>13.365</v>
      </c>
      <c r="K635" s="16">
        <f>IF(Q635="",0,IF(SUMPRODUCT(('Returns &amp; Refunds'!$A$6:$A$11=C635)*('Returns &amp; Refunds'!$H$6:$H$11="Confirmed Good — Remove Charge"))&gt;0,0,Q635))</f>
        <v>13.365</v>
      </c>
      <c r="L635" s="16">
        <v>17.899999999999999</v>
      </c>
      <c r="M635" s="28">
        <v>17.7</v>
      </c>
      <c r="N635" s="29">
        <v>1.12E-2</v>
      </c>
      <c r="O635" s="44" t="s">
        <v>62</v>
      </c>
      <c r="P635" s="15"/>
      <c r="Q635" s="16">
        <f t="shared" si="19"/>
        <v>13.365</v>
      </c>
    </row>
    <row r="636" spans="1:17" ht="15" customHeight="1" x14ac:dyDescent="0.25">
      <c r="A636" s="15">
        <v>635</v>
      </c>
      <c r="B636" s="15" t="s">
        <v>2007</v>
      </c>
      <c r="C636" s="15" t="s">
        <v>2008</v>
      </c>
      <c r="D636" s="15" t="s">
        <v>2009</v>
      </c>
      <c r="E636" s="15" t="s">
        <v>236</v>
      </c>
      <c r="F636" s="41">
        <v>1</v>
      </c>
      <c r="G636" s="42">
        <v>10.7</v>
      </c>
      <c r="H636" s="43">
        <v>0.01</v>
      </c>
      <c r="I636" s="41" t="s">
        <v>63</v>
      </c>
      <c r="J636" s="16">
        <f t="shared" si="18"/>
        <v>10.593</v>
      </c>
      <c r="K636" s="16">
        <f>IF(Q636="",0,IF(SUMPRODUCT(('Returns &amp; Refunds'!$A$6:$A$11=C636)*('Returns &amp; Refunds'!$H$6:$H$11="Confirmed Good — Remove Charge"))&gt;0,0,Q636))</f>
        <v>10.593</v>
      </c>
      <c r="L636" s="16">
        <v>15</v>
      </c>
      <c r="M636" s="28">
        <v>14.9</v>
      </c>
      <c r="N636" s="29">
        <v>6.7000000000000002E-3</v>
      </c>
      <c r="O636" s="44" t="s">
        <v>62</v>
      </c>
      <c r="P636" s="15"/>
      <c r="Q636" s="16">
        <f t="shared" si="19"/>
        <v>10.593</v>
      </c>
    </row>
    <row r="637" spans="1:17" ht="15" customHeight="1" x14ac:dyDescent="0.25">
      <c r="A637" s="15">
        <v>636</v>
      </c>
      <c r="B637" s="15" t="s">
        <v>2010</v>
      </c>
      <c r="C637" s="15" t="s">
        <v>2011</v>
      </c>
      <c r="D637" s="15" t="s">
        <v>2012</v>
      </c>
      <c r="E637" s="15" t="s">
        <v>274</v>
      </c>
      <c r="F637" s="41">
        <v>1</v>
      </c>
      <c r="G637" s="42">
        <v>13.1</v>
      </c>
      <c r="H637" s="43">
        <v>0.01</v>
      </c>
      <c r="I637" s="41" t="s">
        <v>63</v>
      </c>
      <c r="J637" s="16">
        <f t="shared" si="18"/>
        <v>12.968999999999999</v>
      </c>
      <c r="K637" s="16">
        <f>IF(Q637="",0,IF(SUMPRODUCT(('Returns &amp; Refunds'!$A$6:$A$11=C637)*('Returns &amp; Refunds'!$H$6:$H$11="Confirmed Good — Remove Charge"))&gt;0,0,Q637))</f>
        <v>12.968999999999999</v>
      </c>
      <c r="L637" s="16">
        <v>17.899999999999999</v>
      </c>
      <c r="M637" s="28">
        <v>17.7</v>
      </c>
      <c r="N637" s="29">
        <v>1.12E-2</v>
      </c>
      <c r="O637" s="44" t="s">
        <v>62</v>
      </c>
      <c r="P637" s="15"/>
      <c r="Q637" s="16">
        <f t="shared" si="19"/>
        <v>12.968999999999999</v>
      </c>
    </row>
    <row r="638" spans="1:17" ht="15" customHeight="1" x14ac:dyDescent="0.25">
      <c r="A638" s="15">
        <v>637</v>
      </c>
      <c r="B638" s="15" t="s">
        <v>2013</v>
      </c>
      <c r="C638" s="15" t="s">
        <v>2014</v>
      </c>
      <c r="D638" s="15" t="s">
        <v>2015</v>
      </c>
      <c r="E638" s="15" t="s">
        <v>207</v>
      </c>
      <c r="F638" s="41">
        <v>1</v>
      </c>
      <c r="G638" s="42">
        <v>6.5</v>
      </c>
      <c r="H638" s="43">
        <v>0.05</v>
      </c>
      <c r="I638" s="41" t="s">
        <v>63</v>
      </c>
      <c r="J638" s="16">
        <f t="shared" si="18"/>
        <v>6.1749999999999998</v>
      </c>
      <c r="K638" s="16">
        <f>IF(Q638="",0,IF(SUMPRODUCT(('Returns &amp; Refunds'!$A$6:$A$11=C638)*('Returns &amp; Refunds'!$H$6:$H$11="Confirmed Good — Remove Charge"))&gt;0,0,Q638))</f>
        <v>6.1749999999999998</v>
      </c>
      <c r="L638" s="16">
        <v>9.9</v>
      </c>
      <c r="M638" s="28">
        <v>9.4</v>
      </c>
      <c r="N638" s="29">
        <v>5.0500000000000003E-2</v>
      </c>
      <c r="O638" s="44" t="s">
        <v>62</v>
      </c>
      <c r="P638" s="15"/>
      <c r="Q638" s="16">
        <f t="shared" si="19"/>
        <v>6.1749999999999998</v>
      </c>
    </row>
    <row r="639" spans="1:17" ht="15" customHeight="1" x14ac:dyDescent="0.25">
      <c r="A639" s="15">
        <v>638</v>
      </c>
      <c r="B639" s="15" t="s">
        <v>174</v>
      </c>
      <c r="C639" s="15" t="s">
        <v>175</v>
      </c>
      <c r="D639" s="15" t="s">
        <v>2016</v>
      </c>
      <c r="E639" s="15" t="s">
        <v>176</v>
      </c>
      <c r="F639" s="41">
        <v>1</v>
      </c>
      <c r="G639" s="42">
        <v>5.4</v>
      </c>
      <c r="H639" s="43">
        <v>0.01</v>
      </c>
      <c r="I639" s="46" t="str">
        <f>IF('Pending DSP Entry'!L53="Charge Full DSP Instead","No","Yes")</f>
        <v>Yes</v>
      </c>
      <c r="J639" s="16">
        <f t="shared" si="18"/>
        <v>5.3460000000000001</v>
      </c>
      <c r="K639" s="16">
        <f>IF(Q639="",0,IF(SUMPRODUCT(('Returns &amp; Refunds'!$A$6:$A$11=C639)*('Returns &amp; Refunds'!$H$6:$H$11="Confirmed Good — Remove Charge"))&gt;0,0,Q639))</f>
        <v>5.3460000000000001</v>
      </c>
      <c r="L639" s="16">
        <v>7.5</v>
      </c>
      <c r="M639" s="28">
        <v>7.33</v>
      </c>
      <c r="N639" s="29">
        <v>2.2700000000000001E-2</v>
      </c>
      <c r="O639" s="38" t="s">
        <v>129</v>
      </c>
      <c r="P639" s="47" t="str">
        <f>"Wrong rate set by reseller — decision at Pending DSP Entry section D, row 53"</f>
        <v>Wrong rate set by reseller — decision at Pending DSP Entry section D, row 53</v>
      </c>
      <c r="Q639" s="16">
        <f t="shared" si="19"/>
        <v>5.3460000000000001</v>
      </c>
    </row>
    <row r="640" spans="1:17" ht="15" customHeight="1" x14ac:dyDescent="0.25">
      <c r="A640" s="15">
        <v>639</v>
      </c>
      <c r="B640" s="15" t="s">
        <v>174</v>
      </c>
      <c r="C640" s="15" t="s">
        <v>175</v>
      </c>
      <c r="D640" s="15" t="s">
        <v>2016</v>
      </c>
      <c r="E640" s="15" t="s">
        <v>229</v>
      </c>
      <c r="F640" s="41">
        <v>1</v>
      </c>
      <c r="G640" s="42">
        <v>18.8</v>
      </c>
      <c r="H640" s="43">
        <v>0.01</v>
      </c>
      <c r="I640" s="46" t="str">
        <f>IF('Pending DSP Entry'!L85="Charge Full DSP Instead","No","Yes")</f>
        <v>Yes</v>
      </c>
      <c r="J640" s="16">
        <f t="shared" si="18"/>
        <v>18.612000000000002</v>
      </c>
      <c r="K640" s="16">
        <f>IF(Q640="",0,IF(SUMPRODUCT(('Returns &amp; Refunds'!$A$6:$A$11=C640)*('Returns &amp; Refunds'!$H$6:$H$11="Confirmed Good — Remove Charge"))&gt;0,0,Q640))</f>
        <v>18.612000000000002</v>
      </c>
      <c r="L640" s="16">
        <v>24.9</v>
      </c>
      <c r="M640" s="28">
        <v>24.45</v>
      </c>
      <c r="N640" s="29">
        <v>1.8100000000000002E-2</v>
      </c>
      <c r="O640" s="38" t="s">
        <v>129</v>
      </c>
      <c r="P640" s="47" t="str">
        <f>"Wrong rate set by reseller — decision at Pending DSP Entry section D, row 85"</f>
        <v>Wrong rate set by reseller — decision at Pending DSP Entry section D, row 85</v>
      </c>
      <c r="Q640" s="16">
        <f t="shared" si="19"/>
        <v>18.612000000000002</v>
      </c>
    </row>
    <row r="641" spans="1:17" ht="15" customHeight="1" x14ac:dyDescent="0.25">
      <c r="A641" s="15">
        <v>640</v>
      </c>
      <c r="B641" s="15" t="s">
        <v>174</v>
      </c>
      <c r="C641" s="15" t="s">
        <v>175</v>
      </c>
      <c r="D641" s="15" t="s">
        <v>2016</v>
      </c>
      <c r="E641" s="15" t="s">
        <v>224</v>
      </c>
      <c r="F641" s="41">
        <v>1</v>
      </c>
      <c r="G641" s="42">
        <v>18.8</v>
      </c>
      <c r="H641" s="43">
        <v>0.01</v>
      </c>
      <c r="I641" s="46" t="str">
        <f>IF('Pending DSP Entry'!L86="Charge Full DSP Instead","No","Yes")</f>
        <v>Yes</v>
      </c>
      <c r="J641" s="16">
        <f t="shared" si="18"/>
        <v>18.612000000000002</v>
      </c>
      <c r="K641" s="16">
        <f>IF(Q641="",0,IF(SUMPRODUCT(('Returns &amp; Refunds'!$A$6:$A$11=C641)*('Returns &amp; Refunds'!$H$6:$H$11="Confirmed Good — Remove Charge"))&gt;0,0,Q641))</f>
        <v>18.612000000000002</v>
      </c>
      <c r="L641" s="16">
        <v>24.9</v>
      </c>
      <c r="M641" s="28">
        <v>24.45</v>
      </c>
      <c r="N641" s="29">
        <v>1.8100000000000002E-2</v>
      </c>
      <c r="O641" s="38" t="s">
        <v>129</v>
      </c>
      <c r="P641" s="47" t="str">
        <f>"Wrong rate set by reseller — decision at Pending DSP Entry section D, row 86"</f>
        <v>Wrong rate set by reseller — decision at Pending DSP Entry section D, row 86</v>
      </c>
      <c r="Q641" s="16">
        <f t="shared" si="19"/>
        <v>18.612000000000002</v>
      </c>
    </row>
    <row r="642" spans="1:17" ht="15" customHeight="1" x14ac:dyDescent="0.25">
      <c r="A642" s="15">
        <v>641</v>
      </c>
      <c r="B642" s="15" t="s">
        <v>2017</v>
      </c>
      <c r="C642" s="15" t="s">
        <v>2018</v>
      </c>
      <c r="D642" s="15" t="s">
        <v>2019</v>
      </c>
      <c r="E642" s="15" t="s">
        <v>361</v>
      </c>
      <c r="F642" s="41">
        <v>1</v>
      </c>
      <c r="G642" s="42">
        <v>13.1</v>
      </c>
      <c r="H642" s="43">
        <v>0.01</v>
      </c>
      <c r="I642" s="41" t="s">
        <v>63</v>
      </c>
      <c r="J642" s="16">
        <f t="shared" ref="J642:J705" si="20">IF(G642="","",IF(I642="Yes",G642*(1-H642),G642))</f>
        <v>12.968999999999999</v>
      </c>
      <c r="K642" s="16">
        <f>IF(Q642="",0,IF(SUMPRODUCT(('Returns &amp; Refunds'!$A$6:$A$11=C642)*('Returns &amp; Refunds'!$H$6:$H$11="Confirmed Good — Remove Charge"))&gt;0,0,Q642))</f>
        <v>12.968999999999999</v>
      </c>
      <c r="L642" s="16">
        <v>17.899999999999999</v>
      </c>
      <c r="M642" s="28">
        <v>17.7</v>
      </c>
      <c r="N642" s="29">
        <v>1.12E-2</v>
      </c>
      <c r="O642" s="44" t="s">
        <v>62</v>
      </c>
      <c r="P642" s="15"/>
      <c r="Q642" s="16">
        <f t="shared" ref="Q642:Q667" si="21">IF(J642="",0,F642*J642)</f>
        <v>12.968999999999999</v>
      </c>
    </row>
    <row r="643" spans="1:17" ht="15" customHeight="1" x14ac:dyDescent="0.25">
      <c r="A643" s="15">
        <v>642</v>
      </c>
      <c r="B643" s="15" t="s">
        <v>2020</v>
      </c>
      <c r="C643" s="15" t="s">
        <v>2021</v>
      </c>
      <c r="D643" s="15" t="s">
        <v>2022</v>
      </c>
      <c r="E643" s="15" t="s">
        <v>2023</v>
      </c>
      <c r="F643" s="41">
        <v>1</v>
      </c>
      <c r="G643" s="42">
        <v>33.700000000000003</v>
      </c>
      <c r="H643" s="43">
        <v>0.1</v>
      </c>
      <c r="I643" s="41" t="s">
        <v>63</v>
      </c>
      <c r="J643" s="16">
        <f t="shared" si="20"/>
        <v>30.330000000000002</v>
      </c>
      <c r="K643" s="16">
        <f>IF(Q643="",0,IF(SUMPRODUCT(('Returns &amp; Refunds'!$A$6:$A$11=C643)*('Returns &amp; Refunds'!$H$6:$H$11="Confirmed Good — Remove Charge"))&gt;0,0,Q643))</f>
        <v>30.330000000000002</v>
      </c>
      <c r="L643" s="16">
        <v>47.9</v>
      </c>
      <c r="M643" s="28">
        <v>43.1</v>
      </c>
      <c r="N643" s="29">
        <v>0.1002</v>
      </c>
      <c r="O643" s="44" t="s">
        <v>62</v>
      </c>
      <c r="P643" s="15"/>
      <c r="Q643" s="16">
        <f t="shared" si="21"/>
        <v>30.330000000000002</v>
      </c>
    </row>
    <row r="644" spans="1:17" ht="15" customHeight="1" x14ac:dyDescent="0.25">
      <c r="A644" s="15">
        <v>643</v>
      </c>
      <c r="B644" s="15" t="s">
        <v>2020</v>
      </c>
      <c r="C644" s="15" t="s">
        <v>2021</v>
      </c>
      <c r="D644" s="15" t="s">
        <v>2022</v>
      </c>
      <c r="E644" s="15" t="s">
        <v>186</v>
      </c>
      <c r="F644" s="41">
        <v>1</v>
      </c>
      <c r="G644" s="42">
        <v>12.4</v>
      </c>
      <c r="H644" s="43">
        <v>0.01</v>
      </c>
      <c r="I644" s="41" t="s">
        <v>63</v>
      </c>
      <c r="J644" s="16">
        <f t="shared" si="20"/>
        <v>12.276</v>
      </c>
      <c r="K644" s="16">
        <f>IF(Q644="",0,IF(SUMPRODUCT(('Returns &amp; Refunds'!$A$6:$A$11=C644)*('Returns &amp; Refunds'!$H$6:$H$11="Confirmed Good — Remove Charge"))&gt;0,0,Q644))</f>
        <v>12.276</v>
      </c>
      <c r="L644" s="16">
        <v>17.899999999999999</v>
      </c>
      <c r="M644" s="28">
        <v>17.7</v>
      </c>
      <c r="N644" s="29">
        <v>1.12E-2</v>
      </c>
      <c r="O644" s="44" t="s">
        <v>62</v>
      </c>
      <c r="P644" s="15"/>
      <c r="Q644" s="16">
        <f t="shared" si="21"/>
        <v>12.276</v>
      </c>
    </row>
    <row r="645" spans="1:17" ht="15" customHeight="1" x14ac:dyDescent="0.25">
      <c r="A645" s="15">
        <v>644</v>
      </c>
      <c r="B645" s="15" t="s">
        <v>2024</v>
      </c>
      <c r="C645" s="15" t="s">
        <v>2025</v>
      </c>
      <c r="D645" s="15" t="s">
        <v>2026</v>
      </c>
      <c r="E645" s="15" t="s">
        <v>2027</v>
      </c>
      <c r="F645" s="41">
        <v>1</v>
      </c>
      <c r="G645" s="42">
        <v>13.9</v>
      </c>
      <c r="H645" s="43">
        <v>0.02</v>
      </c>
      <c r="I645" s="41" t="s">
        <v>63</v>
      </c>
      <c r="J645" s="16">
        <f t="shared" si="20"/>
        <v>13.622</v>
      </c>
      <c r="K645" s="16">
        <f>IF(Q645="",0,IF(SUMPRODUCT(('Returns &amp; Refunds'!$A$6:$A$11=C645)*('Returns &amp; Refunds'!$H$6:$H$11="Confirmed Good — Remove Charge"))&gt;0,0,Q645))</f>
        <v>13.622</v>
      </c>
      <c r="L645" s="16">
        <v>19.899999999999999</v>
      </c>
      <c r="M645" s="28">
        <v>19.5</v>
      </c>
      <c r="N645" s="29">
        <v>2.01E-2</v>
      </c>
      <c r="O645" s="44" t="s">
        <v>62</v>
      </c>
      <c r="P645" s="15"/>
      <c r="Q645" s="16">
        <f t="shared" si="21"/>
        <v>13.622</v>
      </c>
    </row>
    <row r="646" spans="1:17" ht="15" customHeight="1" x14ac:dyDescent="0.25">
      <c r="A646" s="15">
        <v>645</v>
      </c>
      <c r="B646" s="15" t="s">
        <v>2028</v>
      </c>
      <c r="C646" s="15" t="s">
        <v>2029</v>
      </c>
      <c r="D646" s="15" t="s">
        <v>2030</v>
      </c>
      <c r="E646" s="15" t="s">
        <v>2031</v>
      </c>
      <c r="F646" s="41">
        <v>1</v>
      </c>
      <c r="G646" s="42">
        <v>9.6</v>
      </c>
      <c r="H646" s="43">
        <v>0.06</v>
      </c>
      <c r="I646" s="41" t="s">
        <v>69</v>
      </c>
      <c r="J646" s="16">
        <f t="shared" si="20"/>
        <v>9.6</v>
      </c>
      <c r="K646" s="16">
        <f>IF(Q646="",0,IF(SUMPRODUCT(('Returns &amp; Refunds'!$A$6:$A$11=C646)*('Returns &amp; Refunds'!$H$6:$H$11="Confirmed Good — Remove Charge"))&gt;0,0,Q646))</f>
        <v>9.6</v>
      </c>
      <c r="L646" s="16">
        <v>14.9</v>
      </c>
      <c r="M646" s="28">
        <v>14.9</v>
      </c>
      <c r="N646" s="29">
        <v>0</v>
      </c>
      <c r="O646" s="45" t="s">
        <v>68</v>
      </c>
      <c r="P646" s="15"/>
      <c r="Q646" s="16">
        <f t="shared" si="21"/>
        <v>9.6</v>
      </c>
    </row>
    <row r="647" spans="1:17" ht="15" customHeight="1" x14ac:dyDescent="0.25">
      <c r="A647" s="15">
        <v>646</v>
      </c>
      <c r="B647" s="15" t="s">
        <v>2032</v>
      </c>
      <c r="C647" s="15" t="s">
        <v>2033</v>
      </c>
      <c r="D647" s="15" t="s">
        <v>2034</v>
      </c>
      <c r="E647" s="15" t="s">
        <v>2035</v>
      </c>
      <c r="F647" s="41">
        <v>1</v>
      </c>
      <c r="G647" s="42">
        <v>15.6</v>
      </c>
      <c r="H647" s="43">
        <v>0.1</v>
      </c>
      <c r="I647" s="41" t="s">
        <v>63</v>
      </c>
      <c r="J647" s="16">
        <f t="shared" si="20"/>
        <v>14.04</v>
      </c>
      <c r="K647" s="16">
        <f>IF(Q647="",0,IF(SUMPRODUCT(('Returns &amp; Refunds'!$A$6:$A$11=C647)*('Returns &amp; Refunds'!$H$6:$H$11="Confirmed Good — Remove Charge"))&gt;0,0,Q647))</f>
        <v>14.04</v>
      </c>
      <c r="L647" s="16">
        <v>24.9</v>
      </c>
      <c r="M647" s="28">
        <v>22.4</v>
      </c>
      <c r="N647" s="29">
        <v>0.1004</v>
      </c>
      <c r="O647" s="44" t="s">
        <v>62</v>
      </c>
      <c r="P647" s="15"/>
      <c r="Q647" s="16">
        <f t="shared" si="21"/>
        <v>14.04</v>
      </c>
    </row>
    <row r="648" spans="1:17" ht="15" customHeight="1" x14ac:dyDescent="0.25">
      <c r="A648" s="15">
        <v>647</v>
      </c>
      <c r="B648" s="15" t="s">
        <v>2036</v>
      </c>
      <c r="C648" s="15" t="s">
        <v>2037</v>
      </c>
      <c r="D648" s="15" t="s">
        <v>2038</v>
      </c>
      <c r="E648" s="15" t="s">
        <v>236</v>
      </c>
      <c r="F648" s="41">
        <v>1</v>
      </c>
      <c r="G648" s="42">
        <v>10.7</v>
      </c>
      <c r="H648" s="43">
        <v>0.01</v>
      </c>
      <c r="I648" s="41" t="s">
        <v>63</v>
      </c>
      <c r="J648" s="16">
        <f t="shared" si="20"/>
        <v>10.593</v>
      </c>
      <c r="K648" s="16">
        <f>IF(Q648="",0,IF(SUMPRODUCT(('Returns &amp; Refunds'!$A$6:$A$11=C648)*('Returns &amp; Refunds'!$H$6:$H$11="Confirmed Good — Remove Charge"))&gt;0,0,Q648))</f>
        <v>10.593</v>
      </c>
      <c r="L648" s="16">
        <v>15</v>
      </c>
      <c r="M648" s="28">
        <v>14.9</v>
      </c>
      <c r="N648" s="29">
        <v>6.7000000000000002E-3</v>
      </c>
      <c r="O648" s="44" t="s">
        <v>62</v>
      </c>
      <c r="P648" s="15"/>
      <c r="Q648" s="16">
        <f t="shared" si="21"/>
        <v>10.593</v>
      </c>
    </row>
    <row r="649" spans="1:17" ht="15" customHeight="1" x14ac:dyDescent="0.25">
      <c r="A649" s="15">
        <v>648</v>
      </c>
      <c r="B649" s="15" t="s">
        <v>110</v>
      </c>
      <c r="C649" s="15" t="s">
        <v>111</v>
      </c>
      <c r="D649" s="15" t="s">
        <v>2039</v>
      </c>
      <c r="E649" s="15" t="s">
        <v>98</v>
      </c>
      <c r="F649" s="41">
        <v>1</v>
      </c>
      <c r="G649" s="42">
        <v>17.100000000000001</v>
      </c>
      <c r="H649" s="43">
        <v>0.05</v>
      </c>
      <c r="I649" s="41" t="s">
        <v>63</v>
      </c>
      <c r="J649" s="16">
        <f t="shared" si="20"/>
        <v>16.245000000000001</v>
      </c>
      <c r="K649" s="16">
        <f>IF(Q649="",0,IF(SUMPRODUCT(('Returns &amp; Refunds'!$A$6:$A$11=C649)*('Returns &amp; Refunds'!$H$6:$H$11="Confirmed Good — Remove Charge"))&gt;0,0,Q649))</f>
        <v>16.245000000000001</v>
      </c>
      <c r="L649" s="16">
        <v>21.9</v>
      </c>
      <c r="M649" s="28">
        <v>20.8</v>
      </c>
      <c r="N649" s="29">
        <v>5.0200000000000002E-2</v>
      </c>
      <c r="O649" s="44" t="s">
        <v>62</v>
      </c>
      <c r="P649" s="15"/>
      <c r="Q649" s="16">
        <f t="shared" si="21"/>
        <v>16.245000000000001</v>
      </c>
    </row>
    <row r="650" spans="1:17" ht="15" customHeight="1" x14ac:dyDescent="0.25">
      <c r="A650" s="15">
        <v>649</v>
      </c>
      <c r="B650" s="15" t="s">
        <v>2040</v>
      </c>
      <c r="C650" s="15" t="s">
        <v>2041</v>
      </c>
      <c r="D650" s="15" t="s">
        <v>2042</v>
      </c>
      <c r="E650" s="15" t="s">
        <v>361</v>
      </c>
      <c r="F650" s="41">
        <v>1</v>
      </c>
      <c r="G650" s="42">
        <v>13.1</v>
      </c>
      <c r="H650" s="43">
        <v>0.01</v>
      </c>
      <c r="I650" s="41" t="s">
        <v>63</v>
      </c>
      <c r="J650" s="16">
        <f t="shared" si="20"/>
        <v>12.968999999999999</v>
      </c>
      <c r="K650" s="16">
        <f>IF(Q650="",0,IF(SUMPRODUCT(('Returns &amp; Refunds'!$A$6:$A$11=C650)*('Returns &amp; Refunds'!$H$6:$H$11="Confirmed Good — Remove Charge"))&gt;0,0,Q650))</f>
        <v>12.968999999999999</v>
      </c>
      <c r="L650" s="16">
        <v>17.899999999999999</v>
      </c>
      <c r="M650" s="28">
        <v>17.7</v>
      </c>
      <c r="N650" s="29">
        <v>1.12E-2</v>
      </c>
      <c r="O650" s="44" t="s">
        <v>62</v>
      </c>
      <c r="P650" s="15"/>
      <c r="Q650" s="16">
        <f t="shared" si="21"/>
        <v>12.968999999999999</v>
      </c>
    </row>
    <row r="651" spans="1:17" ht="15" customHeight="1" x14ac:dyDescent="0.25">
      <c r="A651" s="15">
        <v>650</v>
      </c>
      <c r="B651" s="15" t="s">
        <v>2043</v>
      </c>
      <c r="C651" s="15" t="s">
        <v>2044</v>
      </c>
      <c r="D651" s="15" t="s">
        <v>2045</v>
      </c>
      <c r="E651" s="15" t="s">
        <v>320</v>
      </c>
      <c r="F651" s="41">
        <v>1</v>
      </c>
      <c r="G651" s="42">
        <v>10.5</v>
      </c>
      <c r="H651" s="43">
        <v>0.01</v>
      </c>
      <c r="I651" s="41" t="s">
        <v>63</v>
      </c>
      <c r="J651" s="16">
        <f t="shared" si="20"/>
        <v>10.395</v>
      </c>
      <c r="K651" s="16">
        <f>IF(Q651="",0,IF(SUMPRODUCT(('Returns &amp; Refunds'!$A$6:$A$11=C651)*('Returns &amp; Refunds'!$H$6:$H$11="Confirmed Good — Remove Charge"))&gt;0,0,Q651))</f>
        <v>10.395</v>
      </c>
      <c r="L651" s="16">
        <v>15</v>
      </c>
      <c r="M651" s="28">
        <v>14.9</v>
      </c>
      <c r="N651" s="29">
        <v>6.7000000000000002E-3</v>
      </c>
      <c r="O651" s="44" t="s">
        <v>62</v>
      </c>
      <c r="P651" s="15"/>
      <c r="Q651" s="16">
        <f t="shared" si="21"/>
        <v>10.395</v>
      </c>
    </row>
    <row r="652" spans="1:17" ht="15" customHeight="1" x14ac:dyDescent="0.25">
      <c r="A652" s="15">
        <v>651</v>
      </c>
      <c r="B652" s="15" t="s">
        <v>2046</v>
      </c>
      <c r="C652" s="15" t="s">
        <v>2047</v>
      </c>
      <c r="D652" s="15" t="s">
        <v>2048</v>
      </c>
      <c r="E652" s="15" t="s">
        <v>2049</v>
      </c>
      <c r="F652" s="41">
        <v>1</v>
      </c>
      <c r="G652" s="42">
        <v>24.2</v>
      </c>
      <c r="H652" s="43">
        <v>0.3</v>
      </c>
      <c r="I652" s="41" t="s">
        <v>63</v>
      </c>
      <c r="J652" s="16">
        <f t="shared" si="20"/>
        <v>16.939999999999998</v>
      </c>
      <c r="K652" s="16">
        <f>IF(Q652="",0,IF(SUMPRODUCT(('Returns &amp; Refunds'!$A$6:$A$11=C652)*('Returns &amp; Refunds'!$H$6:$H$11="Confirmed Good — Remove Charge"))&gt;0,0,Q652))</f>
        <v>16.939999999999998</v>
      </c>
      <c r="L652" s="16">
        <v>34.9</v>
      </c>
      <c r="M652" s="28">
        <v>24.4</v>
      </c>
      <c r="N652" s="29">
        <v>0.3009</v>
      </c>
      <c r="O652" s="44" t="s">
        <v>62</v>
      </c>
      <c r="P652" s="15"/>
      <c r="Q652" s="16">
        <f t="shared" si="21"/>
        <v>16.939999999999998</v>
      </c>
    </row>
    <row r="653" spans="1:17" ht="15" customHeight="1" x14ac:dyDescent="0.25">
      <c r="A653" s="15">
        <v>652</v>
      </c>
      <c r="B653" s="15" t="s">
        <v>2050</v>
      </c>
      <c r="C653" s="15" t="s">
        <v>2051</v>
      </c>
      <c r="D653" s="15" t="s">
        <v>2052</v>
      </c>
      <c r="E653" s="15" t="s">
        <v>390</v>
      </c>
      <c r="F653" s="41">
        <v>1</v>
      </c>
      <c r="G653" s="42">
        <v>11.1</v>
      </c>
      <c r="H653" s="43">
        <v>0.05</v>
      </c>
      <c r="I653" s="41" t="s">
        <v>63</v>
      </c>
      <c r="J653" s="16">
        <f t="shared" si="20"/>
        <v>10.545</v>
      </c>
      <c r="K653" s="16">
        <f>IF(Q653="",0,IF(SUMPRODUCT(('Returns &amp; Refunds'!$A$6:$A$11=C653)*('Returns &amp; Refunds'!$H$6:$H$11="Confirmed Good — Remove Charge"))&gt;0,0,Q653))</f>
        <v>10.545</v>
      </c>
      <c r="L653" s="16">
        <v>14.9</v>
      </c>
      <c r="M653" s="28">
        <v>14.2</v>
      </c>
      <c r="N653" s="29">
        <v>4.7E-2</v>
      </c>
      <c r="O653" s="44" t="s">
        <v>62</v>
      </c>
      <c r="P653" s="15"/>
      <c r="Q653" s="16">
        <f t="shared" si="21"/>
        <v>10.545</v>
      </c>
    </row>
    <row r="654" spans="1:17" ht="15" customHeight="1" x14ac:dyDescent="0.25">
      <c r="A654" s="15">
        <v>653</v>
      </c>
      <c r="B654" s="15" t="s">
        <v>2053</v>
      </c>
      <c r="C654" s="15" t="s">
        <v>2054</v>
      </c>
      <c r="D654" s="15" t="s">
        <v>2055</v>
      </c>
      <c r="E654" s="15" t="s">
        <v>777</v>
      </c>
      <c r="F654" s="41">
        <v>2</v>
      </c>
      <c r="G654" s="42">
        <v>14.8</v>
      </c>
      <c r="H654" s="43">
        <v>0.01</v>
      </c>
      <c r="I654" s="41" t="s">
        <v>63</v>
      </c>
      <c r="J654" s="16">
        <f t="shared" si="20"/>
        <v>14.652000000000001</v>
      </c>
      <c r="K654" s="16">
        <f>IF(Q654="",0,IF(SUMPRODUCT(('Returns &amp; Refunds'!$A$6:$A$11=C654)*('Returns &amp; Refunds'!$H$6:$H$11="Confirmed Good — Remove Charge"))&gt;0,0,Q654))</f>
        <v>29.304000000000002</v>
      </c>
      <c r="L654" s="16">
        <v>20.9</v>
      </c>
      <c r="M654" s="28">
        <v>20.7</v>
      </c>
      <c r="N654" s="29">
        <v>9.5999999999999992E-3</v>
      </c>
      <c r="O654" s="44" t="s">
        <v>62</v>
      </c>
      <c r="P654" s="15"/>
      <c r="Q654" s="16">
        <f t="shared" si="21"/>
        <v>29.304000000000002</v>
      </c>
    </row>
    <row r="655" spans="1:17" ht="15" customHeight="1" x14ac:dyDescent="0.25">
      <c r="A655" s="15">
        <v>654</v>
      </c>
      <c r="B655" s="15" t="s">
        <v>2056</v>
      </c>
      <c r="C655" s="15" t="s">
        <v>2057</v>
      </c>
      <c r="D655" s="15" t="s">
        <v>2058</v>
      </c>
      <c r="E655" s="15" t="s">
        <v>429</v>
      </c>
      <c r="F655" s="41">
        <v>1</v>
      </c>
      <c r="G655" s="42">
        <v>13.5</v>
      </c>
      <c r="H655" s="43">
        <v>0.01</v>
      </c>
      <c r="I655" s="41" t="s">
        <v>63</v>
      </c>
      <c r="J655" s="16">
        <f t="shared" si="20"/>
        <v>13.365</v>
      </c>
      <c r="K655" s="16">
        <f>IF(Q655="",0,IF(SUMPRODUCT(('Returns &amp; Refunds'!$A$6:$A$11=C655)*('Returns &amp; Refunds'!$H$6:$H$11="Confirmed Good — Remove Charge"))&gt;0,0,Q655))</f>
        <v>13.365</v>
      </c>
      <c r="L655" s="16">
        <v>17.899999999999999</v>
      </c>
      <c r="M655" s="28">
        <v>17.7</v>
      </c>
      <c r="N655" s="29">
        <v>1.12E-2</v>
      </c>
      <c r="O655" s="44" t="s">
        <v>62</v>
      </c>
      <c r="P655" s="15"/>
      <c r="Q655" s="16">
        <f t="shared" si="21"/>
        <v>13.365</v>
      </c>
    </row>
    <row r="656" spans="1:17" ht="15" customHeight="1" x14ac:dyDescent="0.25">
      <c r="A656" s="15">
        <v>655</v>
      </c>
      <c r="B656" s="15" t="s">
        <v>2059</v>
      </c>
      <c r="C656" s="15" t="s">
        <v>2060</v>
      </c>
      <c r="D656" s="15" t="s">
        <v>2061</v>
      </c>
      <c r="E656" s="15" t="s">
        <v>2062</v>
      </c>
      <c r="F656" s="41">
        <v>1</v>
      </c>
      <c r="G656" s="42">
        <v>14.8</v>
      </c>
      <c r="H656" s="43">
        <v>0.01</v>
      </c>
      <c r="I656" s="41" t="s">
        <v>63</v>
      </c>
      <c r="J656" s="16">
        <f t="shared" si="20"/>
        <v>14.652000000000001</v>
      </c>
      <c r="K656" s="16">
        <f>IF(Q656="",0,IF(SUMPRODUCT(('Returns &amp; Refunds'!$A$6:$A$11=C656)*('Returns &amp; Refunds'!$H$6:$H$11="Confirmed Good — Remove Charge"))&gt;0,0,Q656))</f>
        <v>14.652000000000001</v>
      </c>
      <c r="L656" s="16">
        <v>20.9</v>
      </c>
      <c r="M656" s="28">
        <v>20.7</v>
      </c>
      <c r="N656" s="29">
        <v>9.5999999999999992E-3</v>
      </c>
      <c r="O656" s="44" t="s">
        <v>62</v>
      </c>
      <c r="P656" s="15"/>
      <c r="Q656" s="16">
        <f t="shared" si="21"/>
        <v>14.652000000000001</v>
      </c>
    </row>
    <row r="657" spans="1:17" ht="15" customHeight="1" x14ac:dyDescent="0.25">
      <c r="A657" s="15">
        <v>656</v>
      </c>
      <c r="B657" s="15" t="s">
        <v>2063</v>
      </c>
      <c r="C657" s="15" t="s">
        <v>2064</v>
      </c>
      <c r="D657" s="15" t="s">
        <v>2065</v>
      </c>
      <c r="E657" s="15" t="s">
        <v>2066</v>
      </c>
      <c r="F657" s="41">
        <v>1</v>
      </c>
      <c r="G657" s="42">
        <v>16.899999999999999</v>
      </c>
      <c r="H657" s="43">
        <v>0.03</v>
      </c>
      <c r="I657" s="41" t="s">
        <v>63</v>
      </c>
      <c r="J657" s="16">
        <f t="shared" si="20"/>
        <v>16.392999999999997</v>
      </c>
      <c r="K657" s="16">
        <f>IF(Q657="",0,IF(SUMPRODUCT(('Returns &amp; Refunds'!$A$6:$A$11=C657)*('Returns &amp; Refunds'!$H$6:$H$11="Confirmed Good — Remove Charge"))&gt;0,0,Q657))</f>
        <v>16.392999999999997</v>
      </c>
      <c r="L657" s="16">
        <v>24.9</v>
      </c>
      <c r="M657" s="28">
        <v>24.2</v>
      </c>
      <c r="N657" s="29">
        <v>2.81E-2</v>
      </c>
      <c r="O657" s="44" t="s">
        <v>62</v>
      </c>
      <c r="P657" s="15"/>
      <c r="Q657" s="16">
        <f t="shared" si="21"/>
        <v>16.392999999999997</v>
      </c>
    </row>
    <row r="658" spans="1:17" ht="15" customHeight="1" x14ac:dyDescent="0.25">
      <c r="A658" s="15">
        <v>657</v>
      </c>
      <c r="B658" s="15" t="s">
        <v>2067</v>
      </c>
      <c r="C658" s="15" t="s">
        <v>2068</v>
      </c>
      <c r="D658" s="15" t="s">
        <v>2069</v>
      </c>
      <c r="E658" s="15" t="s">
        <v>2070</v>
      </c>
      <c r="F658" s="41">
        <v>1</v>
      </c>
      <c r="G658" s="42">
        <v>16.3</v>
      </c>
      <c r="H658" s="43">
        <v>0.05</v>
      </c>
      <c r="I658" s="41" t="s">
        <v>63</v>
      </c>
      <c r="J658" s="16">
        <f t="shared" si="20"/>
        <v>15.484999999999999</v>
      </c>
      <c r="K658" s="16">
        <f>IF(Q658="",0,IF(SUMPRODUCT(('Returns &amp; Refunds'!$A$6:$A$11=C658)*('Returns &amp; Refunds'!$H$6:$H$11="Confirmed Good — Remove Charge"))&gt;0,0,Q658))</f>
        <v>15.484999999999999</v>
      </c>
      <c r="L658" s="16">
        <v>21.9</v>
      </c>
      <c r="M658" s="28">
        <v>20.8</v>
      </c>
      <c r="N658" s="29">
        <v>5.0200000000000002E-2</v>
      </c>
      <c r="O658" s="44" t="s">
        <v>62</v>
      </c>
      <c r="P658" s="15"/>
      <c r="Q658" s="16">
        <f t="shared" si="21"/>
        <v>15.484999999999999</v>
      </c>
    </row>
    <row r="659" spans="1:17" ht="15" customHeight="1" x14ac:dyDescent="0.25">
      <c r="A659" s="15">
        <v>658</v>
      </c>
      <c r="B659" s="15" t="s">
        <v>2067</v>
      </c>
      <c r="C659" s="15" t="s">
        <v>2068</v>
      </c>
      <c r="D659" s="15" t="s">
        <v>2069</v>
      </c>
      <c r="E659" s="15" t="s">
        <v>2071</v>
      </c>
      <c r="F659" s="41">
        <v>1</v>
      </c>
      <c r="G659" s="42">
        <v>16.3</v>
      </c>
      <c r="H659" s="43">
        <v>0.01</v>
      </c>
      <c r="I659" s="41" t="s">
        <v>63</v>
      </c>
      <c r="J659" s="16">
        <f t="shared" si="20"/>
        <v>16.137</v>
      </c>
      <c r="K659" s="16">
        <f>IF(Q659="",0,IF(SUMPRODUCT(('Returns &amp; Refunds'!$A$6:$A$11=C659)*('Returns &amp; Refunds'!$H$6:$H$11="Confirmed Good — Remove Charge"))&gt;0,0,Q659))</f>
        <v>16.137</v>
      </c>
      <c r="L659" s="16">
        <v>21.9</v>
      </c>
      <c r="M659" s="28">
        <v>21.7</v>
      </c>
      <c r="N659" s="29">
        <v>9.1000000000000004E-3</v>
      </c>
      <c r="O659" s="44" t="s">
        <v>62</v>
      </c>
      <c r="P659" s="15"/>
      <c r="Q659" s="16">
        <f t="shared" si="21"/>
        <v>16.137</v>
      </c>
    </row>
    <row r="660" spans="1:17" ht="15" customHeight="1" x14ac:dyDescent="0.25">
      <c r="A660" s="15">
        <v>659</v>
      </c>
      <c r="B660" s="15" t="s">
        <v>2072</v>
      </c>
      <c r="C660" s="15" t="s">
        <v>2073</v>
      </c>
      <c r="D660" s="15" t="s">
        <v>2074</v>
      </c>
      <c r="E660" s="15" t="s">
        <v>2075</v>
      </c>
      <c r="F660" s="41">
        <v>1</v>
      </c>
      <c r="G660" s="42">
        <v>43.7</v>
      </c>
      <c r="H660" s="43">
        <v>0.01</v>
      </c>
      <c r="I660" s="41" t="s">
        <v>63</v>
      </c>
      <c r="J660" s="16">
        <f t="shared" si="20"/>
        <v>43.263000000000005</v>
      </c>
      <c r="K660" s="16">
        <f>IF(Q660="",0,IF(SUMPRODUCT(('Returns &amp; Refunds'!$A$6:$A$11=C660)*('Returns &amp; Refunds'!$H$6:$H$11="Confirmed Good — Remove Charge"))&gt;0,0,Q660))</f>
        <v>0</v>
      </c>
      <c r="L660" s="16">
        <v>57.9</v>
      </c>
      <c r="M660" s="28">
        <v>57.3</v>
      </c>
      <c r="N660" s="29">
        <v>1.04E-2</v>
      </c>
      <c r="O660" s="44" t="s">
        <v>62</v>
      </c>
      <c r="P660" s="15"/>
      <c r="Q660" s="16">
        <f t="shared" si="21"/>
        <v>43.263000000000005</v>
      </c>
    </row>
    <row r="661" spans="1:17" ht="15" customHeight="1" x14ac:dyDescent="0.25">
      <c r="A661" s="15">
        <v>660</v>
      </c>
      <c r="B661" s="15" t="s">
        <v>2076</v>
      </c>
      <c r="C661" s="15" t="s">
        <v>2077</v>
      </c>
      <c r="D661" s="15" t="s">
        <v>2078</v>
      </c>
      <c r="E661" s="15" t="s">
        <v>236</v>
      </c>
      <c r="F661" s="41">
        <v>1</v>
      </c>
      <c r="G661" s="42">
        <v>10.7</v>
      </c>
      <c r="H661" s="43">
        <v>0.01</v>
      </c>
      <c r="I661" s="41" t="s">
        <v>63</v>
      </c>
      <c r="J661" s="16">
        <f t="shared" si="20"/>
        <v>10.593</v>
      </c>
      <c r="K661" s="16">
        <f>IF(Q661="",0,IF(SUMPRODUCT(('Returns &amp; Refunds'!$A$6:$A$11=C661)*('Returns &amp; Refunds'!$H$6:$H$11="Confirmed Good — Remove Charge"))&gt;0,0,Q661))</f>
        <v>10.593</v>
      </c>
      <c r="L661" s="16">
        <v>15.9</v>
      </c>
      <c r="M661" s="28">
        <v>15.7</v>
      </c>
      <c r="N661" s="29">
        <v>1.26E-2</v>
      </c>
      <c r="O661" s="44" t="s">
        <v>62</v>
      </c>
      <c r="P661" s="15"/>
      <c r="Q661" s="16">
        <f t="shared" si="21"/>
        <v>10.593</v>
      </c>
    </row>
    <row r="662" spans="1:17" ht="15" customHeight="1" x14ac:dyDescent="0.25">
      <c r="A662" s="15">
        <v>661</v>
      </c>
      <c r="B662" s="15" t="s">
        <v>2076</v>
      </c>
      <c r="C662" s="15" t="s">
        <v>2077</v>
      </c>
      <c r="D662" s="15" t="s">
        <v>2078</v>
      </c>
      <c r="E662" s="15" t="s">
        <v>429</v>
      </c>
      <c r="F662" s="41">
        <v>1</v>
      </c>
      <c r="G662" s="42">
        <v>13.5</v>
      </c>
      <c r="H662" s="43">
        <v>0.01</v>
      </c>
      <c r="I662" s="41" t="s">
        <v>63</v>
      </c>
      <c r="J662" s="16">
        <f t="shared" si="20"/>
        <v>13.365</v>
      </c>
      <c r="K662" s="16">
        <f>IF(Q662="",0,IF(SUMPRODUCT(('Returns &amp; Refunds'!$A$6:$A$11=C662)*('Returns &amp; Refunds'!$H$6:$H$11="Confirmed Good — Remove Charge"))&gt;0,0,Q662))</f>
        <v>13.365</v>
      </c>
      <c r="L662" s="16">
        <v>17.899999999999999</v>
      </c>
      <c r="M662" s="28">
        <v>17.7</v>
      </c>
      <c r="N662" s="29">
        <v>1.12E-2</v>
      </c>
      <c r="O662" s="44" t="s">
        <v>62</v>
      </c>
      <c r="P662" s="15"/>
      <c r="Q662" s="16">
        <f t="shared" si="21"/>
        <v>13.365</v>
      </c>
    </row>
    <row r="663" spans="1:17" ht="15" customHeight="1" x14ac:dyDescent="0.25">
      <c r="A663" s="15">
        <v>662</v>
      </c>
      <c r="B663" s="15" t="s">
        <v>2079</v>
      </c>
      <c r="C663" s="15" t="s">
        <v>2080</v>
      </c>
      <c r="D663" s="15" t="s">
        <v>2081</v>
      </c>
      <c r="E663" s="15" t="s">
        <v>2082</v>
      </c>
      <c r="F663" s="41">
        <v>1</v>
      </c>
      <c r="G663" s="42">
        <v>19.899999999999999</v>
      </c>
      <c r="H663" s="43">
        <v>0.02</v>
      </c>
      <c r="I663" s="41" t="s">
        <v>63</v>
      </c>
      <c r="J663" s="16">
        <f t="shared" si="20"/>
        <v>19.501999999999999</v>
      </c>
      <c r="K663" s="16">
        <f>IF(Q663="",0,IF(SUMPRODUCT(('Returns &amp; Refunds'!$A$6:$A$11=C663)*('Returns &amp; Refunds'!$H$6:$H$11="Confirmed Good — Remove Charge"))&gt;0,0,Q663))</f>
        <v>19.501999999999999</v>
      </c>
      <c r="L663" s="16">
        <v>27.9</v>
      </c>
      <c r="M663" s="28">
        <v>27.3</v>
      </c>
      <c r="N663" s="29">
        <v>2.1499999999999998E-2</v>
      </c>
      <c r="O663" s="44" t="s">
        <v>62</v>
      </c>
      <c r="P663" s="15"/>
      <c r="Q663" s="16">
        <f t="shared" si="21"/>
        <v>19.501999999999999</v>
      </c>
    </row>
    <row r="664" spans="1:17" ht="15" customHeight="1" x14ac:dyDescent="0.25">
      <c r="A664" s="15">
        <v>663</v>
      </c>
      <c r="B664" s="15" t="s">
        <v>2083</v>
      </c>
      <c r="C664" s="15" t="s">
        <v>2084</v>
      </c>
      <c r="D664" s="15" t="s">
        <v>2085</v>
      </c>
      <c r="E664" s="15" t="s">
        <v>429</v>
      </c>
      <c r="F664" s="41">
        <v>1</v>
      </c>
      <c r="G664" s="42">
        <v>13.5</v>
      </c>
      <c r="H664" s="43">
        <v>0.01</v>
      </c>
      <c r="I664" s="41" t="s">
        <v>63</v>
      </c>
      <c r="J664" s="16">
        <f t="shared" si="20"/>
        <v>13.365</v>
      </c>
      <c r="K664" s="16">
        <f>IF(Q664="",0,IF(SUMPRODUCT(('Returns &amp; Refunds'!$A$6:$A$11=C664)*('Returns &amp; Refunds'!$H$6:$H$11="Confirmed Good — Remove Charge"))&gt;0,0,Q664))</f>
        <v>13.365</v>
      </c>
      <c r="L664" s="16">
        <v>17.899999999999999</v>
      </c>
      <c r="M664" s="28">
        <v>17.7</v>
      </c>
      <c r="N664" s="29">
        <v>1.12E-2</v>
      </c>
      <c r="O664" s="44" t="s">
        <v>62</v>
      </c>
      <c r="P664" s="15"/>
      <c r="Q664" s="16">
        <f t="shared" si="21"/>
        <v>13.365</v>
      </c>
    </row>
    <row r="665" spans="1:17" ht="15" customHeight="1" x14ac:dyDescent="0.25">
      <c r="A665" s="15">
        <v>664</v>
      </c>
      <c r="B665" s="15" t="s">
        <v>2086</v>
      </c>
      <c r="C665" s="15" t="s">
        <v>2087</v>
      </c>
      <c r="D665" s="15" t="s">
        <v>2088</v>
      </c>
      <c r="E665" s="15" t="s">
        <v>2089</v>
      </c>
      <c r="F665" s="41">
        <v>1</v>
      </c>
      <c r="G665" s="42">
        <v>17.399999999999999</v>
      </c>
      <c r="H665" s="43">
        <v>0.01</v>
      </c>
      <c r="I665" s="41" t="s">
        <v>63</v>
      </c>
      <c r="J665" s="16">
        <f t="shared" si="20"/>
        <v>17.225999999999999</v>
      </c>
      <c r="K665" s="16">
        <f>IF(Q665="",0,IF(SUMPRODUCT(('Returns &amp; Refunds'!$A$6:$A$11=C665)*('Returns &amp; Refunds'!$H$6:$H$11="Confirmed Good — Remove Charge"))&gt;0,0,Q665))</f>
        <v>17.225999999999999</v>
      </c>
      <c r="L665" s="16">
        <v>23.9</v>
      </c>
      <c r="M665" s="28">
        <v>23.7</v>
      </c>
      <c r="N665" s="29">
        <v>8.3999999999999995E-3</v>
      </c>
      <c r="O665" s="44" t="s">
        <v>62</v>
      </c>
      <c r="P665" s="15"/>
      <c r="Q665" s="16">
        <f t="shared" si="21"/>
        <v>17.225999999999999</v>
      </c>
    </row>
    <row r="666" spans="1:17" ht="15" customHeight="1" x14ac:dyDescent="0.25">
      <c r="A666" s="15">
        <v>665</v>
      </c>
      <c r="B666" s="15" t="s">
        <v>2090</v>
      </c>
      <c r="C666" s="15" t="s">
        <v>2091</v>
      </c>
      <c r="D666" s="15" t="s">
        <v>2092</v>
      </c>
      <c r="E666" s="15" t="s">
        <v>186</v>
      </c>
      <c r="F666" s="41">
        <v>1</v>
      </c>
      <c r="G666" s="42">
        <v>12.4</v>
      </c>
      <c r="H666" s="43">
        <v>0.01</v>
      </c>
      <c r="I666" s="41" t="s">
        <v>63</v>
      </c>
      <c r="J666" s="16">
        <f t="shared" si="20"/>
        <v>12.276</v>
      </c>
      <c r="K666" s="16">
        <f>IF(Q666="",0,IF(SUMPRODUCT(('Returns &amp; Refunds'!$A$6:$A$11=C666)*('Returns &amp; Refunds'!$H$6:$H$11="Confirmed Good — Remove Charge"))&gt;0,0,Q666))</f>
        <v>12.276</v>
      </c>
      <c r="L666" s="16">
        <v>17.899999999999999</v>
      </c>
      <c r="M666" s="28">
        <v>17.7</v>
      </c>
      <c r="N666" s="29">
        <v>1.12E-2</v>
      </c>
      <c r="O666" s="44" t="s">
        <v>62</v>
      </c>
      <c r="P666" s="15"/>
      <c r="Q666" s="16">
        <f t="shared" si="21"/>
        <v>12.276</v>
      </c>
    </row>
    <row r="667" spans="1:17" ht="15" customHeight="1" x14ac:dyDescent="0.25">
      <c r="A667" s="15">
        <v>666</v>
      </c>
      <c r="B667" s="15" t="s">
        <v>2093</v>
      </c>
      <c r="C667" s="15" t="s">
        <v>2094</v>
      </c>
      <c r="D667" s="15" t="s">
        <v>2095</v>
      </c>
      <c r="E667" s="15" t="s">
        <v>233</v>
      </c>
      <c r="F667" s="41">
        <v>2</v>
      </c>
      <c r="G667" s="42">
        <v>10.7</v>
      </c>
      <c r="H667" s="43">
        <v>0.01</v>
      </c>
      <c r="I667" s="41" t="s">
        <v>63</v>
      </c>
      <c r="J667" s="16">
        <f t="shared" si="20"/>
        <v>10.593</v>
      </c>
      <c r="K667" s="16">
        <f>IF(Q667="",0,IF(SUMPRODUCT(('Returns &amp; Refunds'!$A$6:$A$11=C667)*('Returns &amp; Refunds'!$H$6:$H$11="Confirmed Good — Remove Charge"))&gt;0,0,Q667))</f>
        <v>21.186</v>
      </c>
      <c r="L667" s="16">
        <v>15</v>
      </c>
      <c r="M667" s="28">
        <v>14.9</v>
      </c>
      <c r="N667" s="29">
        <v>6.7000000000000002E-3</v>
      </c>
      <c r="O667" s="44" t="s">
        <v>62</v>
      </c>
      <c r="P667" s="15"/>
      <c r="Q667" s="16">
        <f t="shared" si="21"/>
        <v>21.186</v>
      </c>
    </row>
    <row r="668" spans="1:17" ht="15" customHeight="1" x14ac:dyDescent="0.25">
      <c r="E668" s="51" t="s">
        <v>2096</v>
      </c>
      <c r="F668" s="51">
        <f>SUM(F2:F667)</f>
        <v>783</v>
      </c>
      <c r="K668" s="52">
        <f>SUM(K2:K667)</f>
        <v>12941.351000000011</v>
      </c>
      <c r="Q668" s="52">
        <f>SUM(Q2:Q667)</f>
        <v>13138.789000000012</v>
      </c>
    </row>
    <row r="670" spans="1:17" ht="15" customHeight="1" x14ac:dyDescent="0.25">
      <c r="A670" s="11" t="s">
        <v>2097</v>
      </c>
    </row>
    <row r="671" spans="1:17" ht="15" customHeight="1" x14ac:dyDescent="0.25">
      <c r="A671" s="53" t="s">
        <v>62</v>
      </c>
      <c r="B671" s="3" t="s">
        <v>2098</v>
      </c>
      <c r="C671" s="3"/>
      <c r="D671" s="3"/>
      <c r="E671" s="3"/>
      <c r="F671" s="3"/>
      <c r="G671" s="3"/>
      <c r="H671" s="3"/>
      <c r="I671" s="3"/>
      <c r="J671" s="3"/>
      <c r="K671" s="3"/>
      <c r="L671" s="3"/>
      <c r="M671" s="3"/>
      <c r="N671" s="3"/>
      <c r="O671" s="3"/>
      <c r="P671" s="3"/>
    </row>
    <row r="672" spans="1:17" ht="15" customHeight="1" x14ac:dyDescent="0.25">
      <c r="A672" s="54" t="s">
        <v>129</v>
      </c>
      <c r="B672" s="3" t="s">
        <v>2099</v>
      </c>
      <c r="C672" s="3"/>
      <c r="D672" s="3"/>
      <c r="E672" s="3"/>
      <c r="F672" s="3"/>
      <c r="G672" s="3"/>
      <c r="H672" s="3"/>
      <c r="I672" s="3"/>
      <c r="J672" s="3"/>
      <c r="K672" s="3"/>
      <c r="L672" s="3"/>
      <c r="M672" s="3"/>
      <c r="N672" s="3"/>
      <c r="O672" s="3"/>
      <c r="P672" s="3"/>
    </row>
    <row r="673" spans="1:16" ht="15" customHeight="1" x14ac:dyDescent="0.25">
      <c r="A673" s="55" t="s">
        <v>68</v>
      </c>
      <c r="B673" s="3" t="s">
        <v>2100</v>
      </c>
      <c r="C673" s="3"/>
      <c r="D673" s="3"/>
      <c r="E673" s="3"/>
      <c r="F673" s="3"/>
      <c r="G673" s="3"/>
      <c r="H673" s="3"/>
      <c r="I673" s="3"/>
      <c r="J673" s="3"/>
      <c r="K673" s="3"/>
      <c r="L673" s="3"/>
      <c r="M673" s="3"/>
      <c r="N673" s="3"/>
      <c r="O673" s="3"/>
      <c r="P673" s="3"/>
    </row>
    <row r="674" spans="1:16" ht="15" customHeight="1" x14ac:dyDescent="0.25">
      <c r="A674" s="56" t="s">
        <v>253</v>
      </c>
      <c r="B674" s="3" t="s">
        <v>2101</v>
      </c>
      <c r="C674" s="3"/>
      <c r="D674" s="3"/>
      <c r="E674" s="3"/>
      <c r="F674" s="3"/>
      <c r="G674" s="3"/>
      <c r="H674" s="3"/>
      <c r="I674" s="3"/>
      <c r="J674" s="3"/>
      <c r="K674" s="3"/>
      <c r="L674" s="3"/>
      <c r="M674" s="3"/>
      <c r="N674" s="3"/>
      <c r="O674" s="3"/>
      <c r="P674" s="3"/>
    </row>
    <row r="675" spans="1:16" ht="15" customHeight="1" x14ac:dyDescent="0.25">
      <c r="A675" s="56" t="s">
        <v>119</v>
      </c>
      <c r="B675" s="3" t="s">
        <v>2102</v>
      </c>
      <c r="C675" s="3"/>
      <c r="D675" s="3"/>
      <c r="E675" s="3"/>
      <c r="F675" s="3"/>
      <c r="G675" s="3"/>
      <c r="H675" s="3"/>
      <c r="I675" s="3"/>
      <c r="J675" s="3"/>
      <c r="K675" s="3"/>
      <c r="L675" s="3"/>
      <c r="M675" s="3"/>
      <c r="N675" s="3"/>
      <c r="O675" s="3"/>
      <c r="P675" s="3"/>
    </row>
  </sheetData>
  <autoFilter ref="A1:Q668" xr:uid="{00000000-0001-0000-0200-000000000000}"/>
  <mergeCells count="5">
    <mergeCell ref="B671:P671"/>
    <mergeCell ref="B672:P672"/>
    <mergeCell ref="B673:P673"/>
    <mergeCell ref="B674:P674"/>
    <mergeCell ref="B675:P675"/>
  </mergeCells>
  <pageMargins left="0.75" right="0.75" top="1" bottom="1" header="0.511811023622047" footer="0.511811023622047"/>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69"/>
  <sheetViews>
    <sheetView zoomScaleNormal="100" workbookViewId="0">
      <pane ySplit="1" topLeftCell="A2" activePane="bottomLeft" state="frozen"/>
      <selection pane="bottomLeft" activeCell="I29" sqref="I29"/>
    </sheetView>
  </sheetViews>
  <sheetFormatPr defaultColWidth="8.7109375" defaultRowHeight="15" x14ac:dyDescent="0.25"/>
  <cols>
    <col min="1" max="1" width="5" customWidth="1"/>
    <col min="2" max="2" width="20" customWidth="1"/>
    <col min="3" max="3" width="16" customWidth="1"/>
    <col min="4" max="4" width="10" customWidth="1"/>
    <col min="5" max="6" width="20" customWidth="1"/>
    <col min="7" max="7" width="22" customWidth="1"/>
  </cols>
  <sheetData>
    <row r="1" spans="1:7" ht="51.75" customHeight="1" x14ac:dyDescent="0.25">
      <c r="A1" s="40" t="s">
        <v>256</v>
      </c>
      <c r="B1" s="40" t="s">
        <v>48</v>
      </c>
      <c r="C1" s="40" t="s">
        <v>257</v>
      </c>
      <c r="D1" s="40" t="s">
        <v>2103</v>
      </c>
      <c r="E1" s="40" t="s">
        <v>2104</v>
      </c>
      <c r="F1" s="40" t="s">
        <v>2105</v>
      </c>
      <c r="G1" s="40" t="s">
        <v>2106</v>
      </c>
    </row>
    <row r="2" spans="1:7" ht="15" customHeight="1" x14ac:dyDescent="0.25">
      <c r="A2" s="15">
        <v>1</v>
      </c>
      <c r="B2" s="15" t="s">
        <v>268</v>
      </c>
      <c r="C2" s="15" t="s">
        <v>269</v>
      </c>
      <c r="D2" s="15">
        <f>COUNTIF('Itemized Calculation'!C:C,B2)</f>
        <v>1</v>
      </c>
      <c r="E2" s="42">
        <v>13.43</v>
      </c>
      <c r="F2" s="16">
        <f>SUMIF('Itemized Calculation'!C:C,B2,'Itemized Calculation'!K:K)</f>
        <v>13.068</v>
      </c>
      <c r="G2" s="16">
        <f t="shared" ref="G2:G65" si="0">E2-F2</f>
        <v>0.3620000000000001</v>
      </c>
    </row>
    <row r="3" spans="1:7" ht="15" customHeight="1" x14ac:dyDescent="0.25">
      <c r="A3" s="15">
        <v>2</v>
      </c>
      <c r="B3" s="15" t="s">
        <v>272</v>
      </c>
      <c r="C3" s="15" t="s">
        <v>273</v>
      </c>
      <c r="D3" s="15">
        <f>COUNTIF('Itemized Calculation'!C:C,B3)</f>
        <v>1</v>
      </c>
      <c r="E3" s="42">
        <v>13.14</v>
      </c>
      <c r="F3" s="16">
        <f>SUMIF('Itemized Calculation'!C:C,B3,'Itemized Calculation'!K:K)</f>
        <v>12.968999999999999</v>
      </c>
      <c r="G3" s="16">
        <f t="shared" si="0"/>
        <v>0.17100000000000115</v>
      </c>
    </row>
    <row r="4" spans="1:7" ht="15" customHeight="1" x14ac:dyDescent="0.25">
      <c r="A4" s="15">
        <v>3</v>
      </c>
      <c r="B4" s="15" t="s">
        <v>276</v>
      </c>
      <c r="C4" s="15" t="s">
        <v>277</v>
      </c>
      <c r="D4" s="15">
        <f>COUNTIF('Itemized Calculation'!C:C,B4)</f>
        <v>1</v>
      </c>
      <c r="E4" s="42">
        <v>13.72</v>
      </c>
      <c r="F4" s="16">
        <f>SUMIF('Itemized Calculation'!C:C,B4,'Itemized Calculation'!K:K)</f>
        <v>12.276</v>
      </c>
      <c r="G4" s="16">
        <f t="shared" si="0"/>
        <v>1.4440000000000008</v>
      </c>
    </row>
    <row r="5" spans="1:7" ht="15" customHeight="1" x14ac:dyDescent="0.25">
      <c r="A5" s="15">
        <v>4</v>
      </c>
      <c r="B5" s="15" t="s">
        <v>279</v>
      </c>
      <c r="C5" s="15" t="s">
        <v>280</v>
      </c>
      <c r="D5" s="15">
        <f>COUNTIF('Itemized Calculation'!C:C,B5)</f>
        <v>1</v>
      </c>
      <c r="E5" s="42">
        <v>16.14</v>
      </c>
      <c r="F5" s="16">
        <f>SUMIF('Itemized Calculation'!C:C,B5,'Itemized Calculation'!K:K)</f>
        <v>14.85</v>
      </c>
      <c r="G5" s="16">
        <f t="shared" si="0"/>
        <v>1.2900000000000009</v>
      </c>
    </row>
    <row r="6" spans="1:7" ht="15" customHeight="1" x14ac:dyDescent="0.25">
      <c r="A6" s="15">
        <v>5</v>
      </c>
      <c r="B6" s="15" t="s">
        <v>283</v>
      </c>
      <c r="C6" s="15" t="s">
        <v>284</v>
      </c>
      <c r="D6" s="15">
        <f>COUNTIF('Itemized Calculation'!C:C,B6)</f>
        <v>1</v>
      </c>
      <c r="E6" s="42">
        <v>54.16</v>
      </c>
      <c r="F6" s="16">
        <f>SUMIF('Itemized Calculation'!C:C,B6,'Itemized Calculation'!K:K)</f>
        <v>49.8</v>
      </c>
      <c r="G6" s="16">
        <f t="shared" si="0"/>
        <v>4.3599999999999994</v>
      </c>
    </row>
    <row r="7" spans="1:7" ht="15" customHeight="1" x14ac:dyDescent="0.25">
      <c r="A7" s="15">
        <v>6</v>
      </c>
      <c r="B7" s="15" t="s">
        <v>287</v>
      </c>
      <c r="C7" s="15" t="s">
        <v>288</v>
      </c>
      <c r="D7" s="15">
        <f>COUNTIF('Itemized Calculation'!C:C,B7)</f>
        <v>1</v>
      </c>
      <c r="E7" s="42">
        <v>27.41</v>
      </c>
      <c r="F7" s="16">
        <f>SUMIF('Itemized Calculation'!C:C,B7,'Itemized Calculation'!K:K)</f>
        <v>25.937999999999999</v>
      </c>
      <c r="G7" s="16">
        <f t="shared" si="0"/>
        <v>1.4720000000000013</v>
      </c>
    </row>
    <row r="8" spans="1:7" ht="15" customHeight="1" x14ac:dyDescent="0.25">
      <c r="A8" s="15">
        <v>7</v>
      </c>
      <c r="B8" s="15" t="s">
        <v>291</v>
      </c>
      <c r="C8" s="15" t="s">
        <v>292</v>
      </c>
      <c r="D8" s="15">
        <f>COUNTIF('Itemized Calculation'!C:C,B8)</f>
        <v>1</v>
      </c>
      <c r="E8" s="42">
        <v>35.14</v>
      </c>
      <c r="F8" s="16">
        <f>SUMIF('Itemized Calculation'!C:C,B8,'Itemized Calculation'!K:K)</f>
        <v>31.05</v>
      </c>
      <c r="G8" s="16">
        <f t="shared" si="0"/>
        <v>4.09</v>
      </c>
    </row>
    <row r="9" spans="1:7" ht="15" customHeight="1" x14ac:dyDescent="0.25">
      <c r="A9" s="15">
        <v>8</v>
      </c>
      <c r="B9" s="15" t="s">
        <v>295</v>
      </c>
      <c r="C9" s="15" t="s">
        <v>296</v>
      </c>
      <c r="D9" s="15">
        <f>COUNTIF('Itemized Calculation'!C:C,B9)</f>
        <v>1</v>
      </c>
      <c r="E9" s="42">
        <v>16.14</v>
      </c>
      <c r="F9" s="16">
        <f>SUMIF('Itemized Calculation'!C:C,B9,'Itemized Calculation'!K:K)</f>
        <v>14.652000000000001</v>
      </c>
      <c r="G9" s="16">
        <f t="shared" si="0"/>
        <v>1.4879999999999995</v>
      </c>
    </row>
    <row r="10" spans="1:7" ht="15" customHeight="1" x14ac:dyDescent="0.25">
      <c r="A10" s="15">
        <v>9</v>
      </c>
      <c r="B10" s="15" t="s">
        <v>232</v>
      </c>
      <c r="C10" s="15" t="s">
        <v>297</v>
      </c>
      <c r="D10" s="15">
        <f>COUNTIF('Itemized Calculation'!C:C,B10)</f>
        <v>1</v>
      </c>
      <c r="E10" s="42">
        <v>35.11</v>
      </c>
      <c r="F10" s="16">
        <f>SUMIF('Itemized Calculation'!C:C,B10,'Itemized Calculation'!K:K)</f>
        <v>31.779</v>
      </c>
      <c r="G10" s="16">
        <f t="shared" si="0"/>
        <v>3.3309999999999995</v>
      </c>
    </row>
    <row r="11" spans="1:7" ht="15" customHeight="1" x14ac:dyDescent="0.25">
      <c r="A11" s="15">
        <v>10</v>
      </c>
      <c r="B11" s="15" t="s">
        <v>299</v>
      </c>
      <c r="C11" s="15" t="s">
        <v>300</v>
      </c>
      <c r="D11" s="15">
        <f>COUNTIF('Itemized Calculation'!C:C,B11)</f>
        <v>1</v>
      </c>
      <c r="E11" s="42">
        <v>28.38</v>
      </c>
      <c r="F11" s="16">
        <f>SUMIF('Itemized Calculation'!C:C,B11,'Itemized Calculation'!K:K)</f>
        <v>25.12</v>
      </c>
      <c r="G11" s="16">
        <f t="shared" si="0"/>
        <v>3.259999999999998</v>
      </c>
    </row>
    <row r="12" spans="1:7" ht="15" customHeight="1" x14ac:dyDescent="0.25">
      <c r="A12" s="15">
        <v>11</v>
      </c>
      <c r="B12" s="15" t="s">
        <v>303</v>
      </c>
      <c r="C12" s="15" t="s">
        <v>304</v>
      </c>
      <c r="D12" s="15">
        <f>COUNTIF('Itemized Calculation'!C:C,B12)</f>
        <v>1</v>
      </c>
      <c r="E12" s="42">
        <v>8.14</v>
      </c>
      <c r="F12" s="16">
        <f>SUMIF('Itemized Calculation'!C:C,B12,'Itemized Calculation'!K:K)</f>
        <v>7.31</v>
      </c>
      <c r="G12" s="16">
        <f t="shared" si="0"/>
        <v>0.83000000000000096</v>
      </c>
    </row>
    <row r="13" spans="1:7" ht="15" customHeight="1" x14ac:dyDescent="0.25">
      <c r="A13" s="15">
        <v>12</v>
      </c>
      <c r="B13" s="15" t="s">
        <v>307</v>
      </c>
      <c r="C13" s="15" t="s">
        <v>308</v>
      </c>
      <c r="D13" s="15">
        <f>COUNTIF('Itemized Calculation'!C:C,B13)</f>
        <v>1</v>
      </c>
      <c r="E13" s="42">
        <v>13.15</v>
      </c>
      <c r="F13" s="16">
        <f>SUMIF('Itemized Calculation'!C:C,B13,'Itemized Calculation'!K:K)</f>
        <v>13.068</v>
      </c>
      <c r="G13" s="16">
        <f t="shared" si="0"/>
        <v>8.2000000000000739E-2</v>
      </c>
    </row>
    <row r="14" spans="1:7" ht="15" customHeight="1" x14ac:dyDescent="0.25">
      <c r="A14" s="15">
        <v>13</v>
      </c>
      <c r="B14" s="15" t="s">
        <v>311</v>
      </c>
      <c r="C14" s="15" t="s">
        <v>312</v>
      </c>
      <c r="D14" s="15">
        <f>COUNTIF('Itemized Calculation'!C:C,B14)</f>
        <v>1</v>
      </c>
      <c r="E14" s="42">
        <v>30</v>
      </c>
      <c r="F14" s="16">
        <f>SUMIF('Itemized Calculation'!C:C,B14,'Itemized Calculation'!K:K)</f>
        <v>27.2</v>
      </c>
      <c r="G14" s="16">
        <f t="shared" si="0"/>
        <v>2.8000000000000007</v>
      </c>
    </row>
    <row r="15" spans="1:7" ht="15" customHeight="1" x14ac:dyDescent="0.25">
      <c r="A15" s="15">
        <v>14</v>
      </c>
      <c r="B15" s="15" t="s">
        <v>315</v>
      </c>
      <c r="C15" s="15" t="s">
        <v>316</v>
      </c>
      <c r="D15" s="15">
        <f>COUNTIF('Itemized Calculation'!C:C,B15)</f>
        <v>1</v>
      </c>
      <c r="E15" s="42">
        <v>30.21</v>
      </c>
      <c r="F15" s="16">
        <f>SUMIF('Itemized Calculation'!C:C,B15,'Itemized Calculation'!K:K)</f>
        <v>31.184999999999999</v>
      </c>
      <c r="G15" s="16">
        <f t="shared" si="0"/>
        <v>-0.97499999999999787</v>
      </c>
    </row>
    <row r="16" spans="1:7" ht="15" customHeight="1" x14ac:dyDescent="0.25">
      <c r="A16" s="15">
        <v>15</v>
      </c>
      <c r="B16" s="15" t="s">
        <v>318</v>
      </c>
      <c r="C16" s="15" t="s">
        <v>319</v>
      </c>
      <c r="D16" s="15">
        <f>COUNTIF('Itemized Calculation'!C:C,B16)</f>
        <v>1</v>
      </c>
      <c r="E16" s="42">
        <v>11.3</v>
      </c>
      <c r="F16" s="16">
        <f>SUMIF('Itemized Calculation'!C:C,B16,'Itemized Calculation'!K:K)</f>
        <v>10.395</v>
      </c>
      <c r="G16" s="16">
        <f t="shared" si="0"/>
        <v>0.90500000000000114</v>
      </c>
    </row>
    <row r="17" spans="1:7" ht="15" customHeight="1" x14ac:dyDescent="0.25">
      <c r="A17" s="15">
        <v>16</v>
      </c>
      <c r="B17" s="15" t="s">
        <v>322</v>
      </c>
      <c r="C17" s="15" t="s">
        <v>323</v>
      </c>
      <c r="D17" s="15">
        <f>COUNTIF('Itemized Calculation'!C:C,B17)</f>
        <v>1</v>
      </c>
      <c r="E17" s="42">
        <v>13.43</v>
      </c>
      <c r="F17" s="16">
        <f>SUMIF('Itemized Calculation'!C:C,B17,'Itemized Calculation'!K:K)</f>
        <v>12.968999999999999</v>
      </c>
      <c r="G17" s="16">
        <f t="shared" si="0"/>
        <v>0.4610000000000003</v>
      </c>
    </row>
    <row r="18" spans="1:7" ht="15" customHeight="1" x14ac:dyDescent="0.25">
      <c r="A18" s="15">
        <v>17</v>
      </c>
      <c r="B18" s="15" t="s">
        <v>325</v>
      </c>
      <c r="C18" s="15" t="s">
        <v>326</v>
      </c>
      <c r="D18" s="15">
        <f>COUNTIF('Itemized Calculation'!C:C,B18)</f>
        <v>1</v>
      </c>
      <c r="E18" s="42">
        <v>17.98</v>
      </c>
      <c r="F18" s="16">
        <f>SUMIF('Itemized Calculation'!C:C,B18,'Itemized Calculation'!K:K)</f>
        <v>17.479999999999997</v>
      </c>
      <c r="G18" s="16">
        <f t="shared" si="0"/>
        <v>0.50000000000000355</v>
      </c>
    </row>
    <row r="19" spans="1:7" ht="15" customHeight="1" x14ac:dyDescent="0.25">
      <c r="A19" s="15">
        <v>18</v>
      </c>
      <c r="B19" s="15" t="s">
        <v>329</v>
      </c>
      <c r="C19" s="15" t="s">
        <v>330</v>
      </c>
      <c r="D19" s="15">
        <f>COUNTIF('Itemized Calculation'!C:C,B19)</f>
        <v>1</v>
      </c>
      <c r="E19" s="42">
        <v>37.74</v>
      </c>
      <c r="F19" s="16">
        <f>SUMIF('Itemized Calculation'!C:C,B19,'Itemized Calculation'!K:K)</f>
        <v>36.180999999999997</v>
      </c>
      <c r="G19" s="16">
        <f t="shared" si="0"/>
        <v>1.5590000000000046</v>
      </c>
    </row>
    <row r="20" spans="1:7" ht="15" customHeight="1" x14ac:dyDescent="0.25">
      <c r="A20" s="15">
        <v>19</v>
      </c>
      <c r="B20" s="15" t="s">
        <v>333</v>
      </c>
      <c r="C20" s="15" t="s">
        <v>334</v>
      </c>
      <c r="D20" s="15">
        <f>COUNTIF('Itemized Calculation'!C:C,B20)</f>
        <v>1</v>
      </c>
      <c r="E20" s="42">
        <v>11.22</v>
      </c>
      <c r="F20" s="16">
        <f>SUMIF('Itemized Calculation'!C:C,B20,'Itemized Calculation'!K:K)</f>
        <v>9.7850000000000001</v>
      </c>
      <c r="G20" s="16">
        <f t="shared" si="0"/>
        <v>1.4350000000000005</v>
      </c>
    </row>
    <row r="21" spans="1:7" ht="15" customHeight="1" x14ac:dyDescent="0.25">
      <c r="A21" s="15">
        <v>20</v>
      </c>
      <c r="B21" s="15" t="s">
        <v>336</v>
      </c>
      <c r="C21" s="15" t="s">
        <v>337</v>
      </c>
      <c r="D21" s="15">
        <f>COUNTIF('Itemized Calculation'!C:C,B21)</f>
        <v>2</v>
      </c>
      <c r="E21" s="42">
        <v>30.56</v>
      </c>
      <c r="F21" s="16">
        <f>SUMIF('Itemized Calculation'!C:C,B21,'Itemized Calculation'!K:K)</f>
        <v>27.812000000000001</v>
      </c>
      <c r="G21" s="16">
        <f t="shared" si="0"/>
        <v>2.7479999999999976</v>
      </c>
    </row>
    <row r="22" spans="1:7" ht="15" customHeight="1" x14ac:dyDescent="0.25">
      <c r="A22" s="15">
        <v>21</v>
      </c>
      <c r="B22" s="15" t="s">
        <v>339</v>
      </c>
      <c r="C22" s="15" t="s">
        <v>340</v>
      </c>
      <c r="D22" s="15">
        <f>COUNTIF('Itemized Calculation'!C:C,B22)</f>
        <v>1</v>
      </c>
      <c r="E22" s="42">
        <v>18.86</v>
      </c>
      <c r="F22" s="16">
        <f>SUMIF('Itemized Calculation'!C:C,B22,'Itemized Calculation'!K:K)</f>
        <v>18.27</v>
      </c>
      <c r="G22" s="16">
        <f t="shared" si="0"/>
        <v>0.58999999999999986</v>
      </c>
    </row>
    <row r="23" spans="1:7" ht="15" customHeight="1" x14ac:dyDescent="0.25">
      <c r="A23" s="15">
        <v>22</v>
      </c>
      <c r="B23" s="15" t="s">
        <v>343</v>
      </c>
      <c r="C23" s="15" t="s">
        <v>344</v>
      </c>
      <c r="D23" s="15">
        <f>COUNTIF('Itemized Calculation'!C:C,B23)</f>
        <v>2</v>
      </c>
      <c r="E23" s="42">
        <v>37.54</v>
      </c>
      <c r="F23" s="16">
        <f>SUMIF('Itemized Calculation'!C:C,B23,'Itemized Calculation'!K:K)</f>
        <v>32.94</v>
      </c>
      <c r="G23" s="16">
        <f t="shared" si="0"/>
        <v>4.6000000000000014</v>
      </c>
    </row>
    <row r="24" spans="1:7" ht="15" customHeight="1" x14ac:dyDescent="0.25">
      <c r="A24" s="15">
        <v>23</v>
      </c>
      <c r="B24" s="15" t="s">
        <v>348</v>
      </c>
      <c r="C24" s="15" t="s">
        <v>349</v>
      </c>
      <c r="D24" s="15">
        <f>COUNTIF('Itemized Calculation'!C:C,B24)</f>
        <v>1</v>
      </c>
      <c r="E24" s="42">
        <v>13.43</v>
      </c>
      <c r="F24" s="16">
        <f>SUMIF('Itemized Calculation'!C:C,B24,'Itemized Calculation'!K:K)</f>
        <v>12.276</v>
      </c>
      <c r="G24" s="16">
        <f t="shared" si="0"/>
        <v>1.1539999999999999</v>
      </c>
    </row>
    <row r="25" spans="1:7" ht="15" customHeight="1" x14ac:dyDescent="0.25">
      <c r="A25" s="15">
        <v>24</v>
      </c>
      <c r="B25" s="15" t="s">
        <v>351</v>
      </c>
      <c r="C25" s="15" t="s">
        <v>352</v>
      </c>
      <c r="D25" s="15">
        <f>COUNTIF('Itemized Calculation'!C:C,B25)</f>
        <v>1</v>
      </c>
      <c r="E25" s="42">
        <v>47.72</v>
      </c>
      <c r="F25" s="16">
        <f>SUMIF('Itemized Calculation'!C:C,B25,'Itemized Calculation'!K:K)</f>
        <v>45.4</v>
      </c>
      <c r="G25" s="16">
        <f t="shared" si="0"/>
        <v>2.3200000000000003</v>
      </c>
    </row>
    <row r="26" spans="1:7" ht="15" customHeight="1" x14ac:dyDescent="0.25">
      <c r="A26" s="15">
        <v>25</v>
      </c>
      <c r="B26" s="15" t="s">
        <v>355</v>
      </c>
      <c r="C26" s="15" t="s">
        <v>356</v>
      </c>
      <c r="D26" s="15">
        <f>COUNTIF('Itemized Calculation'!C:C,B26)</f>
        <v>1</v>
      </c>
      <c r="E26" s="42">
        <v>16.82</v>
      </c>
      <c r="F26" s="16">
        <f>SUMIF('Itemized Calculation'!C:C,B26,'Itemized Calculation'!K:K)</f>
        <v>15.642000000000001</v>
      </c>
      <c r="G26" s="16">
        <f t="shared" si="0"/>
        <v>1.177999999999999</v>
      </c>
    </row>
    <row r="27" spans="1:7" ht="15" customHeight="1" x14ac:dyDescent="0.25">
      <c r="A27" s="15">
        <v>26</v>
      </c>
      <c r="B27" s="15" t="s">
        <v>359</v>
      </c>
      <c r="C27" s="15" t="s">
        <v>360</v>
      </c>
      <c r="D27" s="15">
        <f>COUNTIF('Itemized Calculation'!C:C,B27)</f>
        <v>1</v>
      </c>
      <c r="E27" s="42">
        <v>13.24</v>
      </c>
      <c r="F27" s="16">
        <f>SUMIF('Itemized Calculation'!C:C,B27,'Itemized Calculation'!K:K)</f>
        <v>12.968999999999999</v>
      </c>
      <c r="G27" s="16">
        <f t="shared" si="0"/>
        <v>0.2710000000000008</v>
      </c>
    </row>
    <row r="28" spans="1:7" ht="15" customHeight="1" x14ac:dyDescent="0.25">
      <c r="A28" s="15">
        <v>27</v>
      </c>
      <c r="B28" s="15" t="s">
        <v>363</v>
      </c>
      <c r="C28" s="15" t="s">
        <v>364</v>
      </c>
      <c r="D28" s="15">
        <f>COUNTIF('Itemized Calculation'!C:C,B28)</f>
        <v>1</v>
      </c>
      <c r="E28" s="42">
        <v>15.02</v>
      </c>
      <c r="F28" s="16">
        <f>SUMIF('Itemized Calculation'!C:C,B28,'Itemized Calculation'!K:K)</f>
        <v>14.750999999999999</v>
      </c>
      <c r="G28" s="16">
        <f t="shared" si="0"/>
        <v>0.26900000000000013</v>
      </c>
    </row>
    <row r="29" spans="1:7" ht="15" customHeight="1" x14ac:dyDescent="0.25">
      <c r="A29" s="15">
        <v>28</v>
      </c>
      <c r="B29" s="15" t="s">
        <v>367</v>
      </c>
      <c r="C29" s="15" t="s">
        <v>368</v>
      </c>
      <c r="D29" s="15">
        <f>COUNTIF('Itemized Calculation'!C:C,B29)</f>
        <v>1</v>
      </c>
      <c r="E29" s="42">
        <v>11.46</v>
      </c>
      <c r="F29" s="16">
        <f>SUMIF('Itemized Calculation'!C:C,B29,'Itemized Calculation'!K:K)</f>
        <v>10.395</v>
      </c>
      <c r="G29" s="16">
        <f t="shared" si="0"/>
        <v>1.0650000000000013</v>
      </c>
    </row>
    <row r="30" spans="1:7" ht="15" customHeight="1" x14ac:dyDescent="0.25">
      <c r="A30" s="15">
        <v>29</v>
      </c>
      <c r="B30" s="15" t="s">
        <v>370</v>
      </c>
      <c r="C30" s="15" t="s">
        <v>371</v>
      </c>
      <c r="D30" s="15">
        <f>COUNTIF('Itemized Calculation'!C:C,B30)</f>
        <v>1</v>
      </c>
      <c r="E30" s="42">
        <v>35.74</v>
      </c>
      <c r="F30" s="16">
        <f>SUMIF('Itemized Calculation'!C:C,B30,'Itemized Calculation'!K:K)</f>
        <v>34.5</v>
      </c>
      <c r="G30" s="16">
        <f t="shared" si="0"/>
        <v>1.240000000000002</v>
      </c>
    </row>
    <row r="31" spans="1:7" ht="15" customHeight="1" x14ac:dyDescent="0.25">
      <c r="A31" s="15">
        <v>30</v>
      </c>
      <c r="B31" s="15" t="s">
        <v>374</v>
      </c>
      <c r="C31" s="15" t="s">
        <v>375</v>
      </c>
      <c r="D31" s="15">
        <f>COUNTIF('Itemized Calculation'!C:C,B31)</f>
        <v>1</v>
      </c>
      <c r="E31" s="42">
        <v>5.42</v>
      </c>
      <c r="F31" s="16">
        <f>SUMIF('Itemized Calculation'!C:C,B31,'Itemized Calculation'!K:K)</f>
        <v>5.3460000000000001</v>
      </c>
      <c r="G31" s="16">
        <f t="shared" si="0"/>
        <v>7.3999999999999844E-2</v>
      </c>
    </row>
    <row r="32" spans="1:7" ht="15" customHeight="1" x14ac:dyDescent="0.25">
      <c r="A32" s="15">
        <v>31</v>
      </c>
      <c r="B32" s="15" t="s">
        <v>377</v>
      </c>
      <c r="C32" s="15" t="s">
        <v>378</v>
      </c>
      <c r="D32" s="15">
        <f>COUNTIF('Itemized Calculation'!C:C,B32)</f>
        <v>1</v>
      </c>
      <c r="E32" s="42">
        <v>21.02</v>
      </c>
      <c r="F32" s="16">
        <f>SUMIF('Itemized Calculation'!C:C,B32,'Itemized Calculation'!K:K)</f>
        <v>19.894000000000002</v>
      </c>
      <c r="G32" s="16">
        <f t="shared" si="0"/>
        <v>1.1259999999999977</v>
      </c>
    </row>
    <row r="33" spans="1:7" ht="15" customHeight="1" x14ac:dyDescent="0.25">
      <c r="A33" s="15">
        <v>32</v>
      </c>
      <c r="B33" s="15" t="s">
        <v>381</v>
      </c>
      <c r="C33" s="15" t="s">
        <v>382</v>
      </c>
      <c r="D33" s="15">
        <f>COUNTIF('Itemized Calculation'!C:C,B33)</f>
        <v>1</v>
      </c>
      <c r="E33" s="42">
        <v>16.14</v>
      </c>
      <c r="F33" s="16">
        <f>SUMIF('Itemized Calculation'!C:C,B33,'Itemized Calculation'!K:K)</f>
        <v>14.652000000000001</v>
      </c>
      <c r="G33" s="16">
        <f t="shared" si="0"/>
        <v>1.4879999999999995</v>
      </c>
    </row>
    <row r="34" spans="1:7" ht="15" customHeight="1" x14ac:dyDescent="0.25">
      <c r="A34" s="15">
        <v>33</v>
      </c>
      <c r="B34" s="15" t="s">
        <v>385</v>
      </c>
      <c r="C34" s="15" t="s">
        <v>386</v>
      </c>
      <c r="D34" s="15">
        <f>COUNTIF('Itemized Calculation'!C:C,B34)</f>
        <v>1</v>
      </c>
      <c r="E34" s="42">
        <v>11.3</v>
      </c>
      <c r="F34" s="16">
        <f>SUMIF('Itemized Calculation'!C:C,B34,'Itemized Calculation'!K:K)</f>
        <v>10.395</v>
      </c>
      <c r="G34" s="16">
        <f t="shared" si="0"/>
        <v>0.90500000000000114</v>
      </c>
    </row>
    <row r="35" spans="1:7" ht="15" customHeight="1" x14ac:dyDescent="0.25">
      <c r="A35" s="15">
        <v>34</v>
      </c>
      <c r="B35" s="15" t="s">
        <v>388</v>
      </c>
      <c r="C35" s="15" t="s">
        <v>389</v>
      </c>
      <c r="D35" s="15">
        <f>COUNTIF('Itemized Calculation'!C:C,B35)</f>
        <v>1</v>
      </c>
      <c r="E35" s="42">
        <v>10.9</v>
      </c>
      <c r="F35" s="16">
        <f>SUMIF('Itemized Calculation'!C:C,B35,'Itemized Calculation'!K:K)</f>
        <v>10.545</v>
      </c>
      <c r="G35" s="16">
        <f t="shared" si="0"/>
        <v>0.35500000000000043</v>
      </c>
    </row>
    <row r="36" spans="1:7" ht="15" customHeight="1" x14ac:dyDescent="0.25">
      <c r="A36" s="15">
        <v>35</v>
      </c>
      <c r="B36" s="15" t="s">
        <v>392</v>
      </c>
      <c r="C36" s="15" t="s">
        <v>393</v>
      </c>
      <c r="D36" s="15">
        <f>COUNTIF('Itemized Calculation'!C:C,B36)</f>
        <v>1</v>
      </c>
      <c r="E36" s="42">
        <v>13.11</v>
      </c>
      <c r="F36" s="16">
        <f>SUMIF('Itemized Calculation'!C:C,B36,'Itemized Calculation'!K:K)</f>
        <v>12.968999999999999</v>
      </c>
      <c r="G36" s="16">
        <f t="shared" si="0"/>
        <v>0.14100000000000001</v>
      </c>
    </row>
    <row r="37" spans="1:7" ht="15" customHeight="1" x14ac:dyDescent="0.25">
      <c r="A37" s="15">
        <v>36</v>
      </c>
      <c r="B37" s="15" t="s">
        <v>117</v>
      </c>
      <c r="C37" s="15" t="s">
        <v>395</v>
      </c>
      <c r="D37" s="15">
        <f>COUNTIF('Itemized Calculation'!C:C,B37)</f>
        <v>1</v>
      </c>
      <c r="E37" s="42">
        <v>18.149999999999999</v>
      </c>
      <c r="F37" s="16">
        <f>SUMIF('Itemized Calculation'!C:C,B37,'Itemized Calculation'!K:K)</f>
        <v>14.452999999999999</v>
      </c>
      <c r="G37" s="16">
        <f t="shared" si="0"/>
        <v>3.6969999999999992</v>
      </c>
    </row>
    <row r="38" spans="1:7" ht="15" customHeight="1" x14ac:dyDescent="0.25">
      <c r="A38" s="15">
        <v>37</v>
      </c>
      <c r="B38" s="15" t="s">
        <v>397</v>
      </c>
      <c r="C38" s="15" t="s">
        <v>398</v>
      </c>
      <c r="D38" s="15">
        <f>COUNTIF('Itemized Calculation'!C:C,B38)</f>
        <v>1</v>
      </c>
      <c r="E38" s="42">
        <v>13.88</v>
      </c>
      <c r="F38" s="16">
        <f>SUMIF('Itemized Calculation'!C:C,B38,'Itemized Calculation'!K:K)</f>
        <v>13.1</v>
      </c>
      <c r="G38" s="16">
        <f t="shared" si="0"/>
        <v>0.78000000000000114</v>
      </c>
    </row>
    <row r="39" spans="1:7" ht="15" customHeight="1" x14ac:dyDescent="0.25">
      <c r="A39" s="15">
        <v>38</v>
      </c>
      <c r="B39" s="15" t="s">
        <v>81</v>
      </c>
      <c r="C39" s="15" t="s">
        <v>400</v>
      </c>
      <c r="D39" s="15">
        <f>COUNTIF('Itemized Calculation'!C:C,B39)</f>
        <v>1</v>
      </c>
      <c r="E39" s="42">
        <v>14.69</v>
      </c>
      <c r="F39" s="16">
        <f>SUMIF('Itemized Calculation'!C:C,B39,'Itemized Calculation'!K:K)</f>
        <v>14.725</v>
      </c>
      <c r="G39" s="16">
        <f t="shared" si="0"/>
        <v>-3.5000000000000142E-2</v>
      </c>
    </row>
    <row r="40" spans="1:7" ht="15" customHeight="1" x14ac:dyDescent="0.25">
      <c r="A40" s="15">
        <v>39</v>
      </c>
      <c r="B40" s="15" t="s">
        <v>402</v>
      </c>
      <c r="C40" s="15" t="s">
        <v>403</v>
      </c>
      <c r="D40" s="15">
        <f>COUNTIF('Itemized Calculation'!C:C,B40)</f>
        <v>1</v>
      </c>
      <c r="E40" s="42">
        <v>52.14</v>
      </c>
      <c r="F40" s="16">
        <f>SUMIF('Itemized Calculation'!C:C,B40,'Itemized Calculation'!K:K)</f>
        <v>48.9</v>
      </c>
      <c r="G40" s="16">
        <f t="shared" si="0"/>
        <v>3.240000000000002</v>
      </c>
    </row>
    <row r="41" spans="1:7" ht="15" customHeight="1" x14ac:dyDescent="0.25">
      <c r="A41" s="15">
        <v>40</v>
      </c>
      <c r="B41" s="15" t="s">
        <v>406</v>
      </c>
      <c r="C41" s="15" t="s">
        <v>407</v>
      </c>
      <c r="D41" s="15">
        <f>COUNTIF('Itemized Calculation'!C:C,B41)</f>
        <v>2</v>
      </c>
      <c r="E41" s="42">
        <v>129.38999999999999</v>
      </c>
      <c r="F41" s="16">
        <f>SUMIF('Itemized Calculation'!C:C,B41,'Itemized Calculation'!K:K)</f>
        <v>128.304</v>
      </c>
      <c r="G41" s="16">
        <f t="shared" si="0"/>
        <v>1.0859999999999843</v>
      </c>
    </row>
    <row r="42" spans="1:7" ht="15" customHeight="1" x14ac:dyDescent="0.25">
      <c r="A42" s="15">
        <v>41</v>
      </c>
      <c r="B42" s="15" t="s">
        <v>411</v>
      </c>
      <c r="C42" s="15" t="s">
        <v>412</v>
      </c>
      <c r="D42" s="15">
        <f>COUNTIF('Itemized Calculation'!C:C,B42)</f>
        <v>1</v>
      </c>
      <c r="E42" s="42">
        <v>23.14</v>
      </c>
      <c r="F42" s="16">
        <f>SUMIF('Itemized Calculation'!C:C,B42,'Itemized Calculation'!K:K)</f>
        <v>20.79</v>
      </c>
      <c r="G42" s="16">
        <f t="shared" si="0"/>
        <v>2.3500000000000014</v>
      </c>
    </row>
    <row r="43" spans="1:7" ht="15" customHeight="1" x14ac:dyDescent="0.25">
      <c r="A43" s="15">
        <v>42</v>
      </c>
      <c r="B43" s="15" t="s">
        <v>415</v>
      </c>
      <c r="C43" s="15" t="s">
        <v>416</v>
      </c>
      <c r="D43" s="15">
        <f>COUNTIF('Itemized Calculation'!C:C,B43)</f>
        <v>1</v>
      </c>
      <c r="E43" s="42">
        <v>13.39</v>
      </c>
      <c r="F43" s="16">
        <f>SUMIF('Itemized Calculation'!C:C,B43,'Itemized Calculation'!K:K)</f>
        <v>12.24</v>
      </c>
      <c r="G43" s="16">
        <f t="shared" si="0"/>
        <v>1.1500000000000004</v>
      </c>
    </row>
    <row r="44" spans="1:7" ht="15" customHeight="1" x14ac:dyDescent="0.25">
      <c r="A44" s="15">
        <v>43</v>
      </c>
      <c r="B44" s="15" t="s">
        <v>419</v>
      </c>
      <c r="C44" s="15" t="s">
        <v>420</v>
      </c>
      <c r="D44" s="15">
        <f>COUNTIF('Itemized Calculation'!C:C,B44)</f>
        <v>1</v>
      </c>
      <c r="E44" s="42">
        <v>19.36</v>
      </c>
      <c r="F44" s="16">
        <f>SUMIF('Itemized Calculation'!C:C,B44,'Itemized Calculation'!K:K)</f>
        <v>18.612000000000002</v>
      </c>
      <c r="G44" s="16">
        <f t="shared" si="0"/>
        <v>0.74799999999999756</v>
      </c>
    </row>
    <row r="45" spans="1:7" ht="15" customHeight="1" x14ac:dyDescent="0.25">
      <c r="A45" s="15">
        <v>44</v>
      </c>
      <c r="B45" s="15" t="s">
        <v>423</v>
      </c>
      <c r="C45" s="15" t="s">
        <v>424</v>
      </c>
      <c r="D45" s="15">
        <f>COUNTIF('Itemized Calculation'!C:C,B45)</f>
        <v>1</v>
      </c>
      <c r="E45" s="42">
        <v>18.14</v>
      </c>
      <c r="F45" s="16">
        <f>SUMIF('Itemized Calculation'!C:C,B45,'Itemized Calculation'!K:K)</f>
        <v>16.295999999999999</v>
      </c>
      <c r="G45" s="16">
        <f t="shared" si="0"/>
        <v>1.8440000000000012</v>
      </c>
    </row>
    <row r="46" spans="1:7" ht="15" customHeight="1" x14ac:dyDescent="0.25">
      <c r="A46" s="15">
        <v>45</v>
      </c>
      <c r="B46" s="15" t="s">
        <v>427</v>
      </c>
      <c r="C46" s="15" t="s">
        <v>428</v>
      </c>
      <c r="D46" s="15">
        <f>COUNTIF('Itemized Calculation'!C:C,B46)</f>
        <v>1</v>
      </c>
      <c r="E46" s="42">
        <v>13.15</v>
      </c>
      <c r="F46" s="16">
        <f>SUMIF('Itemized Calculation'!C:C,B46,'Itemized Calculation'!K:K)</f>
        <v>13.365</v>
      </c>
      <c r="G46" s="16">
        <f t="shared" si="0"/>
        <v>-0.21499999999999986</v>
      </c>
    </row>
    <row r="47" spans="1:7" ht="15" customHeight="1" x14ac:dyDescent="0.25">
      <c r="A47" s="15">
        <v>46</v>
      </c>
      <c r="B47" s="15" t="s">
        <v>431</v>
      </c>
      <c r="C47" s="15" t="s">
        <v>432</v>
      </c>
      <c r="D47" s="15">
        <f>COUNTIF('Itemized Calculation'!C:C,B47)</f>
        <v>2</v>
      </c>
      <c r="E47" s="42">
        <v>48.29</v>
      </c>
      <c r="F47" s="16">
        <f>SUMIF('Itemized Calculation'!C:C,B47,'Itemized Calculation'!K:K)</f>
        <v>47.26</v>
      </c>
      <c r="G47" s="16">
        <f t="shared" si="0"/>
        <v>1.0300000000000011</v>
      </c>
    </row>
    <row r="48" spans="1:7" ht="15" customHeight="1" x14ac:dyDescent="0.25">
      <c r="A48" s="15">
        <v>47</v>
      </c>
      <c r="B48" s="15" t="s">
        <v>435</v>
      </c>
      <c r="C48" s="15" t="s">
        <v>436</v>
      </c>
      <c r="D48" s="15">
        <f>COUNTIF('Itemized Calculation'!C:C,B48)</f>
        <v>1</v>
      </c>
      <c r="E48" s="42">
        <v>13.72</v>
      </c>
      <c r="F48" s="16">
        <f>SUMIF('Itemized Calculation'!C:C,B48,'Itemized Calculation'!K:K)</f>
        <v>12.276</v>
      </c>
      <c r="G48" s="16">
        <f t="shared" si="0"/>
        <v>1.4440000000000008</v>
      </c>
    </row>
    <row r="49" spans="1:7" ht="15" customHeight="1" x14ac:dyDescent="0.25">
      <c r="A49" s="15">
        <v>48</v>
      </c>
      <c r="B49" s="15" t="s">
        <v>438</v>
      </c>
      <c r="C49" s="15" t="s">
        <v>439</v>
      </c>
      <c r="D49" s="15">
        <f>COUNTIF('Itemized Calculation'!C:C,B49)</f>
        <v>1</v>
      </c>
      <c r="E49" s="42">
        <v>11.22</v>
      </c>
      <c r="F49" s="16">
        <f>SUMIF('Itemized Calculation'!C:C,B49,'Itemized Calculation'!K:K)</f>
        <v>11.6</v>
      </c>
      <c r="G49" s="16">
        <f t="shared" si="0"/>
        <v>-0.37999999999999901</v>
      </c>
    </row>
    <row r="50" spans="1:7" ht="15" customHeight="1" x14ac:dyDescent="0.25">
      <c r="A50" s="15">
        <v>49</v>
      </c>
      <c r="B50" s="15" t="s">
        <v>442</v>
      </c>
      <c r="C50" s="15" t="s">
        <v>443</v>
      </c>
      <c r="D50" s="15">
        <f>COUNTIF('Itemized Calculation'!C:C,B50)</f>
        <v>1</v>
      </c>
      <c r="E50" s="42">
        <v>21.13</v>
      </c>
      <c r="F50" s="16">
        <f>SUMIF('Itemized Calculation'!C:C,B50,'Itemized Calculation'!K:K)</f>
        <v>19</v>
      </c>
      <c r="G50" s="16">
        <f t="shared" si="0"/>
        <v>2.129999999999999</v>
      </c>
    </row>
    <row r="51" spans="1:7" ht="15" customHeight="1" x14ac:dyDescent="0.25">
      <c r="A51" s="15">
        <v>50</v>
      </c>
      <c r="B51" s="15" t="s">
        <v>446</v>
      </c>
      <c r="C51" s="15" t="s">
        <v>447</v>
      </c>
      <c r="D51" s="15">
        <f>COUNTIF('Itemized Calculation'!C:C,B51)</f>
        <v>1</v>
      </c>
      <c r="E51" s="42">
        <v>16.649999999999999</v>
      </c>
      <c r="F51" s="16">
        <f>SUMIF('Itemized Calculation'!C:C,B51,'Itemized Calculation'!K:K)</f>
        <v>16.137</v>
      </c>
      <c r="G51" s="16">
        <f t="shared" si="0"/>
        <v>0.51299999999999812</v>
      </c>
    </row>
    <row r="52" spans="1:7" ht="15" customHeight="1" x14ac:dyDescent="0.25">
      <c r="A52" s="15">
        <v>51</v>
      </c>
      <c r="B52" s="15" t="s">
        <v>450</v>
      </c>
      <c r="C52" s="15" t="s">
        <v>451</v>
      </c>
      <c r="D52" s="15">
        <f>COUNTIF('Itemized Calculation'!C:C,B52)</f>
        <v>1</v>
      </c>
      <c r="E52" s="42">
        <v>41.81</v>
      </c>
      <c r="F52" s="16">
        <f>SUMIF('Itemized Calculation'!C:C,B52,'Itemized Calculation'!K:K)</f>
        <v>41.085000000000001</v>
      </c>
      <c r="G52" s="16">
        <f t="shared" si="0"/>
        <v>0.72500000000000142</v>
      </c>
    </row>
    <row r="53" spans="1:7" ht="15" customHeight="1" x14ac:dyDescent="0.25">
      <c r="A53" s="15">
        <v>52</v>
      </c>
      <c r="B53" s="15" t="s">
        <v>453</v>
      </c>
      <c r="C53" s="15" t="s">
        <v>454</v>
      </c>
      <c r="D53" s="15">
        <f>COUNTIF('Itemized Calculation'!C:C,B53)</f>
        <v>1</v>
      </c>
      <c r="E53" s="42">
        <v>10.98</v>
      </c>
      <c r="F53" s="16">
        <f>SUMIF('Itemized Calculation'!C:C,B53,'Itemized Calculation'!K:K)</f>
        <v>10.395</v>
      </c>
      <c r="G53" s="16">
        <f t="shared" si="0"/>
        <v>0.58500000000000085</v>
      </c>
    </row>
    <row r="54" spans="1:7" ht="15" customHeight="1" x14ac:dyDescent="0.25">
      <c r="A54" s="15">
        <v>53</v>
      </c>
      <c r="B54" s="15" t="s">
        <v>456</v>
      </c>
      <c r="C54" s="15" t="s">
        <v>457</v>
      </c>
      <c r="D54" s="15">
        <f>COUNTIF('Itemized Calculation'!C:C,B54)</f>
        <v>1</v>
      </c>
      <c r="E54" s="42">
        <v>13.72</v>
      </c>
      <c r="F54" s="16">
        <f>SUMIF('Itemized Calculation'!C:C,B54,'Itemized Calculation'!K:K)</f>
        <v>12.276</v>
      </c>
      <c r="G54" s="16">
        <f t="shared" si="0"/>
        <v>1.4440000000000008</v>
      </c>
    </row>
    <row r="55" spans="1:7" ht="15" customHeight="1" x14ac:dyDescent="0.25">
      <c r="A55" s="15">
        <v>54</v>
      </c>
      <c r="B55" s="15" t="s">
        <v>459</v>
      </c>
      <c r="C55" s="15" t="s">
        <v>460</v>
      </c>
      <c r="D55" s="15">
        <f>COUNTIF('Itemized Calculation'!C:C,B55)</f>
        <v>1</v>
      </c>
      <c r="E55" s="42">
        <v>6.08</v>
      </c>
      <c r="F55" s="16">
        <f>SUMIF('Itemized Calculation'!C:C,B55,'Itemized Calculation'!K:K)</f>
        <v>5.7799999999999994</v>
      </c>
      <c r="G55" s="16">
        <f t="shared" si="0"/>
        <v>0.30000000000000071</v>
      </c>
    </row>
    <row r="56" spans="1:7" ht="15" customHeight="1" x14ac:dyDescent="0.25">
      <c r="A56" s="15">
        <v>55</v>
      </c>
      <c r="B56" s="15" t="s">
        <v>463</v>
      </c>
      <c r="C56" s="15" t="s">
        <v>464</v>
      </c>
      <c r="D56" s="15">
        <f>COUNTIF('Itemized Calculation'!C:C,B56)</f>
        <v>1</v>
      </c>
      <c r="E56" s="42">
        <v>11.46</v>
      </c>
      <c r="F56" s="16">
        <f>SUMIF('Itemized Calculation'!C:C,B56,'Itemized Calculation'!K:K)</f>
        <v>9.6000000000000014</v>
      </c>
      <c r="G56" s="16">
        <f t="shared" si="0"/>
        <v>1.8599999999999994</v>
      </c>
    </row>
    <row r="57" spans="1:7" ht="15" customHeight="1" x14ac:dyDescent="0.25">
      <c r="A57" s="15">
        <v>56</v>
      </c>
      <c r="B57" s="15" t="s">
        <v>467</v>
      </c>
      <c r="C57" s="15" t="s">
        <v>468</v>
      </c>
      <c r="D57" s="15">
        <f>COUNTIF('Itemized Calculation'!C:C,B57)</f>
        <v>1</v>
      </c>
      <c r="E57" s="42">
        <v>13.08</v>
      </c>
      <c r="F57" s="16">
        <f>SUMIF('Itemized Calculation'!C:C,B57,'Itemized Calculation'!K:K)</f>
        <v>13.365</v>
      </c>
      <c r="G57" s="16">
        <f t="shared" si="0"/>
        <v>-0.28500000000000014</v>
      </c>
    </row>
    <row r="58" spans="1:7" ht="15" customHeight="1" x14ac:dyDescent="0.25">
      <c r="A58" s="15">
        <v>57</v>
      </c>
      <c r="B58" s="15" t="s">
        <v>471</v>
      </c>
      <c r="C58" s="15" t="s">
        <v>472</v>
      </c>
      <c r="D58" s="15">
        <f>COUNTIF('Itemized Calculation'!C:C,B58)</f>
        <v>1</v>
      </c>
      <c r="E58" s="42">
        <v>12.81</v>
      </c>
      <c r="F58" s="16">
        <f>SUMIF('Itemized Calculation'!C:C,B58,'Itemized Calculation'!K:K)</f>
        <v>12.11</v>
      </c>
      <c r="G58" s="16">
        <f t="shared" si="0"/>
        <v>0.70000000000000107</v>
      </c>
    </row>
    <row r="59" spans="1:7" ht="15" customHeight="1" x14ac:dyDescent="0.25">
      <c r="A59" s="15">
        <v>58</v>
      </c>
      <c r="B59" s="15" t="s">
        <v>475</v>
      </c>
      <c r="C59" s="15" t="s">
        <v>476</v>
      </c>
      <c r="D59" s="15">
        <f>COUNTIF('Itemized Calculation'!C:C,B59)</f>
        <v>1</v>
      </c>
      <c r="E59" s="42">
        <v>12.71</v>
      </c>
      <c r="F59" s="16">
        <f>SUMIF('Itemized Calculation'!C:C,B59,'Itemized Calculation'!K:K)</f>
        <v>13.365</v>
      </c>
      <c r="G59" s="16">
        <f t="shared" si="0"/>
        <v>-0.65499999999999936</v>
      </c>
    </row>
    <row r="60" spans="1:7" ht="15" customHeight="1" x14ac:dyDescent="0.25">
      <c r="A60" s="15">
        <v>59</v>
      </c>
      <c r="B60" s="15" t="s">
        <v>478</v>
      </c>
      <c r="C60" s="15" t="s">
        <v>479</v>
      </c>
      <c r="D60" s="15">
        <f>COUNTIF('Itemized Calculation'!C:C,B60)</f>
        <v>1</v>
      </c>
      <c r="E60" s="42">
        <v>18.559999999999999</v>
      </c>
      <c r="F60" s="16">
        <f>SUMIF('Itemized Calculation'!C:C,B60,'Itemized Calculation'!K:K)</f>
        <v>18.612000000000002</v>
      </c>
      <c r="G60" s="16">
        <f t="shared" si="0"/>
        <v>-5.2000000000003155E-2</v>
      </c>
    </row>
    <row r="61" spans="1:7" ht="15" customHeight="1" x14ac:dyDescent="0.25">
      <c r="A61" s="15">
        <v>60</v>
      </c>
      <c r="B61" s="15" t="s">
        <v>482</v>
      </c>
      <c r="C61" s="15" t="s">
        <v>479</v>
      </c>
      <c r="D61" s="15">
        <f>COUNTIF('Itemized Calculation'!C:C,B61)</f>
        <v>1</v>
      </c>
      <c r="E61" s="42">
        <v>10.91</v>
      </c>
      <c r="F61" s="16">
        <f>SUMIF('Itemized Calculation'!C:C,B61,'Itemized Calculation'!K:K)</f>
        <v>10.395</v>
      </c>
      <c r="G61" s="16">
        <f t="shared" si="0"/>
        <v>0.51500000000000057</v>
      </c>
    </row>
    <row r="62" spans="1:7" ht="15" customHeight="1" x14ac:dyDescent="0.25">
      <c r="A62" s="15">
        <v>61</v>
      </c>
      <c r="B62" s="15" t="s">
        <v>484</v>
      </c>
      <c r="C62" s="15" t="s">
        <v>485</v>
      </c>
      <c r="D62" s="15">
        <f>COUNTIF('Itemized Calculation'!C:C,B62)</f>
        <v>1</v>
      </c>
      <c r="E62" s="42">
        <v>9.85</v>
      </c>
      <c r="F62" s="16">
        <f>SUMIF('Itemized Calculation'!C:C,B62,'Itemized Calculation'!K:K)</f>
        <v>8.5150000000000006</v>
      </c>
      <c r="G62" s="16">
        <f t="shared" si="0"/>
        <v>1.3349999999999991</v>
      </c>
    </row>
    <row r="63" spans="1:7" ht="15" customHeight="1" x14ac:dyDescent="0.25">
      <c r="A63" s="15">
        <v>62</v>
      </c>
      <c r="B63" s="15" t="s">
        <v>488</v>
      </c>
      <c r="C63" s="15" t="s">
        <v>489</v>
      </c>
      <c r="D63" s="15">
        <f>COUNTIF('Itemized Calculation'!C:C,B63)</f>
        <v>1</v>
      </c>
      <c r="E63" s="42">
        <v>55.78</v>
      </c>
      <c r="F63" s="16">
        <f>SUMIF('Itemized Calculation'!C:C,B63,'Itemized Calculation'!K:K)</f>
        <v>50.3</v>
      </c>
      <c r="G63" s="16">
        <f t="shared" si="0"/>
        <v>5.480000000000004</v>
      </c>
    </row>
    <row r="64" spans="1:7" ht="15" customHeight="1" x14ac:dyDescent="0.25">
      <c r="A64" s="15">
        <v>63</v>
      </c>
      <c r="B64" s="15" t="s">
        <v>492</v>
      </c>
      <c r="C64" s="15" t="s">
        <v>493</v>
      </c>
      <c r="D64" s="15">
        <f>COUNTIF('Itemized Calculation'!C:C,B64)</f>
        <v>1</v>
      </c>
      <c r="E64" s="42">
        <v>25.94</v>
      </c>
      <c r="F64" s="16">
        <f>SUMIF('Itemized Calculation'!C:C,B64,'Itemized Calculation'!K:K)</f>
        <v>23.76</v>
      </c>
      <c r="G64" s="16">
        <f t="shared" si="0"/>
        <v>2.1799999999999997</v>
      </c>
    </row>
    <row r="65" spans="1:7" ht="15" customHeight="1" x14ac:dyDescent="0.25">
      <c r="A65" s="15">
        <v>64</v>
      </c>
      <c r="B65" s="15" t="s">
        <v>496</v>
      </c>
      <c r="C65" s="15" t="s">
        <v>497</v>
      </c>
      <c r="D65" s="15">
        <f>COUNTIF('Itemized Calculation'!C:C,B65)</f>
        <v>1</v>
      </c>
      <c r="E65" s="42">
        <v>10.98</v>
      </c>
      <c r="F65" s="16">
        <f>SUMIF('Itemized Calculation'!C:C,B65,'Itemized Calculation'!K:K)</f>
        <v>10.395</v>
      </c>
      <c r="G65" s="16">
        <f t="shared" si="0"/>
        <v>0.58500000000000085</v>
      </c>
    </row>
    <row r="66" spans="1:7" ht="15" customHeight="1" x14ac:dyDescent="0.25">
      <c r="A66" s="15">
        <v>65</v>
      </c>
      <c r="B66" s="15" t="s">
        <v>499</v>
      </c>
      <c r="C66" s="15" t="s">
        <v>500</v>
      </c>
      <c r="D66" s="15">
        <f>COUNTIF('Itemized Calculation'!C:C,B66)</f>
        <v>1</v>
      </c>
      <c r="E66" s="42">
        <v>52.33</v>
      </c>
      <c r="F66" s="16">
        <f>SUMIF('Itemized Calculation'!C:C,B66,'Itemized Calculation'!K:K)</f>
        <v>48.7</v>
      </c>
      <c r="G66" s="16">
        <f t="shared" ref="G66:G129" si="1">E66-F66</f>
        <v>3.6299999999999955</v>
      </c>
    </row>
    <row r="67" spans="1:7" ht="15" customHeight="1" x14ac:dyDescent="0.25">
      <c r="A67" s="15">
        <v>66</v>
      </c>
      <c r="B67" s="15" t="s">
        <v>503</v>
      </c>
      <c r="C67" s="15" t="s">
        <v>504</v>
      </c>
      <c r="D67" s="15">
        <f>COUNTIF('Itemized Calculation'!C:C,B67)</f>
        <v>1</v>
      </c>
      <c r="E67" s="42">
        <v>26.89</v>
      </c>
      <c r="F67" s="16">
        <f>SUMIF('Itemized Calculation'!C:C,B67,'Itemized Calculation'!K:K)</f>
        <v>25.937999999999999</v>
      </c>
      <c r="G67" s="16">
        <f t="shared" si="1"/>
        <v>0.95200000000000173</v>
      </c>
    </row>
    <row r="68" spans="1:7" ht="15" customHeight="1" x14ac:dyDescent="0.25">
      <c r="A68" s="15">
        <v>67</v>
      </c>
      <c r="B68" s="15" t="s">
        <v>507</v>
      </c>
      <c r="C68" s="15" t="s">
        <v>508</v>
      </c>
      <c r="D68" s="15">
        <f>COUNTIF('Itemized Calculation'!C:C,B68)</f>
        <v>1</v>
      </c>
      <c r="E68" s="42">
        <v>13.64</v>
      </c>
      <c r="F68" s="16">
        <f>SUMIF('Itemized Calculation'!C:C,B68,'Itemized Calculation'!K:K)</f>
        <v>12.276</v>
      </c>
      <c r="G68" s="16">
        <f t="shared" si="1"/>
        <v>1.3640000000000008</v>
      </c>
    </row>
    <row r="69" spans="1:7" ht="15" customHeight="1" x14ac:dyDescent="0.25">
      <c r="A69" s="15">
        <v>68</v>
      </c>
      <c r="B69" s="15" t="s">
        <v>510</v>
      </c>
      <c r="C69" s="15" t="s">
        <v>511</v>
      </c>
      <c r="D69" s="15">
        <f>COUNTIF('Itemized Calculation'!C:C,B69)</f>
        <v>1</v>
      </c>
      <c r="E69" s="42">
        <v>55.78</v>
      </c>
      <c r="F69" s="16">
        <f>SUMIF('Itemized Calculation'!C:C,B69,'Itemized Calculation'!K:K)</f>
        <v>50.3</v>
      </c>
      <c r="G69" s="16">
        <f t="shared" si="1"/>
        <v>5.480000000000004</v>
      </c>
    </row>
    <row r="70" spans="1:7" ht="15" customHeight="1" x14ac:dyDescent="0.25">
      <c r="A70" s="15">
        <v>69</v>
      </c>
      <c r="B70" s="15" t="s">
        <v>513</v>
      </c>
      <c r="C70" s="15" t="s">
        <v>514</v>
      </c>
      <c r="D70" s="15">
        <f>COUNTIF('Itemized Calculation'!C:C,B70)</f>
        <v>1</v>
      </c>
      <c r="E70" s="42">
        <v>13.72</v>
      </c>
      <c r="F70" s="16">
        <f>SUMIF('Itemized Calculation'!C:C,B70,'Itemized Calculation'!K:K)</f>
        <v>12.968999999999999</v>
      </c>
      <c r="G70" s="16">
        <f t="shared" si="1"/>
        <v>0.75100000000000122</v>
      </c>
    </row>
    <row r="71" spans="1:7" ht="15" customHeight="1" x14ac:dyDescent="0.25">
      <c r="A71" s="15">
        <v>70</v>
      </c>
      <c r="B71" s="15" t="s">
        <v>516</v>
      </c>
      <c r="C71" s="15" t="s">
        <v>517</v>
      </c>
      <c r="D71" s="15">
        <f>COUNTIF('Itemized Calculation'!C:C,B71)</f>
        <v>1</v>
      </c>
      <c r="E71" s="42">
        <v>11.22</v>
      </c>
      <c r="F71" s="16">
        <f>SUMIF('Itemized Calculation'!C:C,B71,'Itemized Calculation'!K:K)</f>
        <v>10.494</v>
      </c>
      <c r="G71" s="16">
        <f t="shared" si="1"/>
        <v>0.72600000000000087</v>
      </c>
    </row>
    <row r="72" spans="1:7" ht="15" customHeight="1" x14ac:dyDescent="0.25">
      <c r="A72" s="15">
        <v>71</v>
      </c>
      <c r="B72" s="15" t="s">
        <v>520</v>
      </c>
      <c r="C72" s="15" t="s">
        <v>521</v>
      </c>
      <c r="D72" s="15">
        <f>COUNTIF('Itemized Calculation'!C:C,B72)</f>
        <v>1</v>
      </c>
      <c r="E72" s="42">
        <v>13.32</v>
      </c>
      <c r="F72" s="16">
        <f>SUMIF('Itemized Calculation'!C:C,B72,'Itemized Calculation'!K:K)</f>
        <v>12.968999999999999</v>
      </c>
      <c r="G72" s="16">
        <f t="shared" si="1"/>
        <v>0.35100000000000087</v>
      </c>
    </row>
    <row r="73" spans="1:7" ht="15" customHeight="1" x14ac:dyDescent="0.25">
      <c r="A73" s="15">
        <v>72</v>
      </c>
      <c r="B73" s="15" t="s">
        <v>523</v>
      </c>
      <c r="C73" s="15" t="s">
        <v>524</v>
      </c>
      <c r="D73" s="15">
        <f>COUNTIF('Itemized Calculation'!C:C,B73)</f>
        <v>1</v>
      </c>
      <c r="E73" s="42">
        <v>14.92</v>
      </c>
      <c r="F73" s="16">
        <f>SUMIF('Itemized Calculation'!C:C,B73,'Itemized Calculation'!K:K)</f>
        <v>14.256</v>
      </c>
      <c r="G73" s="16">
        <f t="shared" si="1"/>
        <v>0.6639999999999997</v>
      </c>
    </row>
    <row r="74" spans="1:7" ht="15" customHeight="1" x14ac:dyDescent="0.25">
      <c r="A74" s="15">
        <v>73</v>
      </c>
      <c r="B74" s="15" t="s">
        <v>190</v>
      </c>
      <c r="C74" s="15" t="s">
        <v>526</v>
      </c>
      <c r="D74" s="15">
        <f>COUNTIF('Itemized Calculation'!C:C,B74)</f>
        <v>5</v>
      </c>
      <c r="E74" s="42">
        <v>64.05</v>
      </c>
      <c r="F74" s="16">
        <f>SUMIF('Itemized Calculation'!C:C,B74,'Itemized Calculation'!K:K)</f>
        <v>58.83</v>
      </c>
      <c r="G74" s="16">
        <f t="shared" si="1"/>
        <v>5.2199999999999989</v>
      </c>
    </row>
    <row r="75" spans="1:7" ht="15" customHeight="1" x14ac:dyDescent="0.25">
      <c r="A75" s="15">
        <v>74</v>
      </c>
      <c r="B75" s="15" t="s">
        <v>529</v>
      </c>
      <c r="C75" s="15" t="s">
        <v>530</v>
      </c>
      <c r="D75" s="15">
        <f>COUNTIF('Itemized Calculation'!C:C,B75)</f>
        <v>1</v>
      </c>
      <c r="E75" s="42">
        <v>54.16</v>
      </c>
      <c r="F75" s="16">
        <f>SUMIF('Itemized Calculation'!C:C,B75,'Itemized Calculation'!K:K)</f>
        <v>49.8</v>
      </c>
      <c r="G75" s="16">
        <f t="shared" si="1"/>
        <v>4.3599999999999994</v>
      </c>
    </row>
    <row r="76" spans="1:7" ht="15" customHeight="1" x14ac:dyDescent="0.25">
      <c r="A76" s="15">
        <v>75</v>
      </c>
      <c r="B76" s="15" t="s">
        <v>532</v>
      </c>
      <c r="C76" s="15" t="s">
        <v>533</v>
      </c>
      <c r="D76" s="15">
        <f>COUNTIF('Itemized Calculation'!C:C,B76)</f>
        <v>1</v>
      </c>
      <c r="E76" s="42">
        <v>36.43</v>
      </c>
      <c r="F76" s="16">
        <f>SUMIF('Itemized Calculation'!C:C,B76,'Itemized Calculation'!K:K)</f>
        <v>34.5</v>
      </c>
      <c r="G76" s="16">
        <f t="shared" si="1"/>
        <v>1.9299999999999997</v>
      </c>
    </row>
    <row r="77" spans="1:7" ht="15" customHeight="1" x14ac:dyDescent="0.25">
      <c r="A77" s="15">
        <v>76</v>
      </c>
      <c r="B77" s="15" t="s">
        <v>536</v>
      </c>
      <c r="C77" s="15" t="s">
        <v>537</v>
      </c>
      <c r="D77" s="15">
        <f>COUNTIF('Itemized Calculation'!C:C,B77)</f>
        <v>2</v>
      </c>
      <c r="E77" s="42">
        <v>32.729999999999997</v>
      </c>
      <c r="F77" s="16">
        <f>SUMIF('Itemized Calculation'!C:C,B77,'Itemized Calculation'!K:K)</f>
        <v>29.502000000000002</v>
      </c>
      <c r="G77" s="16">
        <f t="shared" si="1"/>
        <v>3.2279999999999944</v>
      </c>
    </row>
    <row r="78" spans="1:7" ht="15" customHeight="1" x14ac:dyDescent="0.25">
      <c r="A78" s="15">
        <v>77</v>
      </c>
      <c r="B78" s="15" t="s">
        <v>539</v>
      </c>
      <c r="C78" s="15" t="s">
        <v>540</v>
      </c>
      <c r="D78" s="15">
        <f>COUNTIF('Itemized Calculation'!C:C,B78)</f>
        <v>1</v>
      </c>
      <c r="E78" s="42">
        <v>13.44</v>
      </c>
      <c r="F78" s="16">
        <f>SUMIF('Itemized Calculation'!C:C,B78,'Itemized Calculation'!K:K)</f>
        <v>12.276</v>
      </c>
      <c r="G78" s="16">
        <f t="shared" si="1"/>
        <v>1.1639999999999997</v>
      </c>
    </row>
    <row r="79" spans="1:7" ht="15" customHeight="1" x14ac:dyDescent="0.25">
      <c r="A79" s="15">
        <v>78</v>
      </c>
      <c r="B79" s="15" t="s">
        <v>542</v>
      </c>
      <c r="C79" s="15" t="s">
        <v>543</v>
      </c>
      <c r="D79" s="15">
        <f>COUNTIF('Itemized Calculation'!C:C,B79)</f>
        <v>1</v>
      </c>
      <c r="E79" s="42">
        <v>16.12</v>
      </c>
      <c r="F79" s="16">
        <f>SUMIF('Itemized Calculation'!C:C,B79,'Itemized Calculation'!K:K)</f>
        <v>15.642000000000001</v>
      </c>
      <c r="G79" s="16">
        <f t="shared" si="1"/>
        <v>0.47799999999999976</v>
      </c>
    </row>
    <row r="80" spans="1:7" ht="15" customHeight="1" x14ac:dyDescent="0.25">
      <c r="A80" s="15">
        <v>79</v>
      </c>
      <c r="B80" s="15" t="s">
        <v>545</v>
      </c>
      <c r="C80" s="15" t="s">
        <v>546</v>
      </c>
      <c r="D80" s="15">
        <f>COUNTIF('Itemized Calculation'!C:C,B80)</f>
        <v>1</v>
      </c>
      <c r="E80" s="42">
        <v>13.15</v>
      </c>
      <c r="F80" s="16">
        <f>SUMIF('Itemized Calculation'!C:C,B80,'Itemized Calculation'!K:K)</f>
        <v>13.068</v>
      </c>
      <c r="G80" s="16">
        <f t="shared" si="1"/>
        <v>8.2000000000000739E-2</v>
      </c>
    </row>
    <row r="81" spans="1:7" ht="15" customHeight="1" x14ac:dyDescent="0.25">
      <c r="A81" s="15">
        <v>80</v>
      </c>
      <c r="B81" s="15" t="s">
        <v>549</v>
      </c>
      <c r="C81" s="15" t="s">
        <v>550</v>
      </c>
      <c r="D81" s="15">
        <f>COUNTIF('Itemized Calculation'!C:C,B81)</f>
        <v>1</v>
      </c>
      <c r="E81" s="42">
        <v>10.94</v>
      </c>
      <c r="F81" s="16">
        <f>SUMIF('Itemized Calculation'!C:C,B81,'Itemized Calculation'!K:K)</f>
        <v>10.593</v>
      </c>
      <c r="G81" s="16">
        <f t="shared" si="1"/>
        <v>0.34699999999999953</v>
      </c>
    </row>
    <row r="82" spans="1:7" ht="15" customHeight="1" x14ac:dyDescent="0.25">
      <c r="A82" s="15">
        <v>81</v>
      </c>
      <c r="B82" s="15" t="s">
        <v>552</v>
      </c>
      <c r="C82" s="15" t="s">
        <v>553</v>
      </c>
      <c r="D82" s="15">
        <f>COUNTIF('Itemized Calculation'!C:C,B82)</f>
        <v>1</v>
      </c>
      <c r="E82" s="42">
        <v>13.43</v>
      </c>
      <c r="F82" s="16">
        <f>SUMIF('Itemized Calculation'!C:C,B82,'Itemized Calculation'!K:K)</f>
        <v>12.968999999999999</v>
      </c>
      <c r="G82" s="16">
        <f t="shared" si="1"/>
        <v>0.4610000000000003</v>
      </c>
    </row>
    <row r="83" spans="1:7" ht="15" customHeight="1" x14ac:dyDescent="0.25">
      <c r="A83" s="15">
        <v>82</v>
      </c>
      <c r="B83" s="15" t="s">
        <v>556</v>
      </c>
      <c r="C83" s="15" t="s">
        <v>557</v>
      </c>
      <c r="D83" s="15">
        <f>COUNTIF('Itemized Calculation'!C:C,B83)</f>
        <v>1</v>
      </c>
      <c r="E83" s="42">
        <v>13.72</v>
      </c>
      <c r="F83" s="16">
        <f>SUMIF('Itemized Calculation'!C:C,B83,'Itemized Calculation'!K:K)</f>
        <v>12.968999999999999</v>
      </c>
      <c r="G83" s="16">
        <f t="shared" si="1"/>
        <v>0.75100000000000122</v>
      </c>
    </row>
    <row r="84" spans="1:7" ht="15" customHeight="1" x14ac:dyDescent="0.25">
      <c r="A84" s="15">
        <v>83</v>
      </c>
      <c r="B84" s="15" t="s">
        <v>559</v>
      </c>
      <c r="C84" s="15" t="s">
        <v>560</v>
      </c>
      <c r="D84" s="15">
        <f>COUNTIF('Itemized Calculation'!C:C,B84)</f>
        <v>1</v>
      </c>
      <c r="E84" s="42">
        <v>20.36</v>
      </c>
      <c r="F84" s="16">
        <f>SUMIF('Itemized Calculation'!C:C,B84,'Itemized Calculation'!K:K)</f>
        <v>19.894000000000002</v>
      </c>
      <c r="G84" s="16">
        <f t="shared" si="1"/>
        <v>0.46599999999999753</v>
      </c>
    </row>
    <row r="85" spans="1:7" ht="15" customHeight="1" x14ac:dyDescent="0.25">
      <c r="A85" s="15">
        <v>84</v>
      </c>
      <c r="B85" s="15" t="s">
        <v>563</v>
      </c>
      <c r="C85" s="15" t="s">
        <v>564</v>
      </c>
      <c r="D85" s="15">
        <f>COUNTIF('Itemized Calculation'!C:C,B85)</f>
        <v>1</v>
      </c>
      <c r="E85" s="42">
        <v>11.06</v>
      </c>
      <c r="F85" s="16">
        <f>SUMIF('Itemized Calculation'!C:C,B85,'Itemized Calculation'!K:K)</f>
        <v>10.494</v>
      </c>
      <c r="G85" s="16">
        <f t="shared" si="1"/>
        <v>0.56600000000000072</v>
      </c>
    </row>
    <row r="86" spans="1:7" ht="15" customHeight="1" x14ac:dyDescent="0.25">
      <c r="A86" s="15">
        <v>85</v>
      </c>
      <c r="B86" s="15" t="s">
        <v>567</v>
      </c>
      <c r="C86" s="15" t="s">
        <v>568</v>
      </c>
      <c r="D86" s="15">
        <f>COUNTIF('Itemized Calculation'!C:C,B86)</f>
        <v>1</v>
      </c>
      <c r="E86" s="42">
        <v>29.01</v>
      </c>
      <c r="F86" s="16">
        <f>SUMIF('Itemized Calculation'!C:C,B86,'Itemized Calculation'!K:K)</f>
        <v>26.79</v>
      </c>
      <c r="G86" s="16">
        <f t="shared" si="1"/>
        <v>2.2200000000000024</v>
      </c>
    </row>
    <row r="87" spans="1:7" ht="15" customHeight="1" x14ac:dyDescent="0.25">
      <c r="A87" s="15">
        <v>86</v>
      </c>
      <c r="B87" s="15" t="s">
        <v>571</v>
      </c>
      <c r="C87" s="15" t="s">
        <v>572</v>
      </c>
      <c r="D87" s="15">
        <f>COUNTIF('Itemized Calculation'!C:C,B87)</f>
        <v>1</v>
      </c>
      <c r="E87" s="42">
        <v>12.86</v>
      </c>
      <c r="F87" s="16">
        <f>SUMIF('Itemized Calculation'!C:C,B87,'Itemized Calculation'!K:K)</f>
        <v>12.968999999999999</v>
      </c>
      <c r="G87" s="16">
        <f t="shared" si="1"/>
        <v>-0.10899999999999999</v>
      </c>
    </row>
    <row r="88" spans="1:7" ht="15" customHeight="1" x14ac:dyDescent="0.25">
      <c r="A88" s="15">
        <v>87</v>
      </c>
      <c r="B88" s="15" t="s">
        <v>60</v>
      </c>
      <c r="C88" s="15" t="s">
        <v>573</v>
      </c>
      <c r="D88" s="15">
        <f>COUNTIF('Itemized Calculation'!C:C,B88)</f>
        <v>1</v>
      </c>
      <c r="E88" s="42">
        <v>8.2799999999999994</v>
      </c>
      <c r="F88" s="16">
        <f>SUMIF('Itemized Calculation'!C:C,B88,'Itemized Calculation'!K:K)</f>
        <v>8.61</v>
      </c>
      <c r="G88" s="16">
        <f t="shared" si="1"/>
        <v>-0.33000000000000007</v>
      </c>
    </row>
    <row r="89" spans="1:7" ht="15" customHeight="1" x14ac:dyDescent="0.25">
      <c r="A89" s="15">
        <v>88</v>
      </c>
      <c r="B89" s="15" t="s">
        <v>575</v>
      </c>
      <c r="C89" s="15" t="s">
        <v>576</v>
      </c>
      <c r="D89" s="15">
        <f>COUNTIF('Itemized Calculation'!C:C,B89)</f>
        <v>1</v>
      </c>
      <c r="E89" s="42">
        <v>20.73</v>
      </c>
      <c r="F89" s="16">
        <f>SUMIF('Itemized Calculation'!C:C,B89,'Itemized Calculation'!K:K)</f>
        <v>19.894000000000002</v>
      </c>
      <c r="G89" s="16">
        <f t="shared" si="1"/>
        <v>0.83599999999999852</v>
      </c>
    </row>
    <row r="90" spans="1:7" ht="15" customHeight="1" x14ac:dyDescent="0.25">
      <c r="A90" s="15">
        <v>89</v>
      </c>
      <c r="B90" s="15" t="s">
        <v>148</v>
      </c>
      <c r="C90" s="15" t="s">
        <v>577</v>
      </c>
      <c r="D90" s="15">
        <f>COUNTIF('Itemized Calculation'!C:C,B90)</f>
        <v>1</v>
      </c>
      <c r="E90" s="42">
        <v>29</v>
      </c>
      <c r="F90" s="16">
        <f>SUMIF('Itemized Calculation'!C:C,B90,'Itemized Calculation'!K:K)</f>
        <v>31.184999999999999</v>
      </c>
      <c r="G90" s="16">
        <f t="shared" si="1"/>
        <v>-2.1849999999999987</v>
      </c>
    </row>
    <row r="91" spans="1:7" ht="15" customHeight="1" x14ac:dyDescent="0.25">
      <c r="A91" s="15">
        <v>90</v>
      </c>
      <c r="B91" s="15" t="s">
        <v>579</v>
      </c>
      <c r="C91" s="15" t="s">
        <v>580</v>
      </c>
      <c r="D91" s="15">
        <f>COUNTIF('Itemized Calculation'!C:C,B91)</f>
        <v>1</v>
      </c>
      <c r="E91" s="42">
        <v>12.98</v>
      </c>
      <c r="F91" s="16">
        <f>SUMIF('Itemized Calculation'!C:C,B91,'Itemized Calculation'!K:K)</f>
        <v>13.365</v>
      </c>
      <c r="G91" s="16">
        <f t="shared" si="1"/>
        <v>-0.38499999999999979</v>
      </c>
    </row>
    <row r="92" spans="1:7" ht="15" customHeight="1" x14ac:dyDescent="0.25">
      <c r="A92" s="15">
        <v>91</v>
      </c>
      <c r="B92" s="15" t="s">
        <v>165</v>
      </c>
      <c r="C92" s="15" t="s">
        <v>581</v>
      </c>
      <c r="D92" s="15">
        <f>COUNTIF('Itemized Calculation'!C:C,B92)</f>
        <v>1</v>
      </c>
      <c r="E92" s="42">
        <v>17.53</v>
      </c>
      <c r="F92" s="16">
        <f>SUMIF('Itemized Calculation'!C:C,B92,'Itemized Calculation'!K:K)</f>
        <v>17.385000000000002</v>
      </c>
      <c r="G92" s="16">
        <f t="shared" si="1"/>
        <v>0.14499999999999957</v>
      </c>
    </row>
    <row r="93" spans="1:7" ht="15" customHeight="1" x14ac:dyDescent="0.25">
      <c r="A93" s="15">
        <v>92</v>
      </c>
      <c r="B93" s="15" t="s">
        <v>583</v>
      </c>
      <c r="C93" s="15" t="s">
        <v>584</v>
      </c>
      <c r="D93" s="15">
        <f>COUNTIF('Itemized Calculation'!C:C,B93)</f>
        <v>1</v>
      </c>
      <c r="E93" s="42">
        <v>11.38</v>
      </c>
      <c r="F93" s="16">
        <f>SUMIF('Itemized Calculation'!C:C,B93,'Itemized Calculation'!K:K)</f>
        <v>9.5039999999999996</v>
      </c>
      <c r="G93" s="16">
        <f t="shared" si="1"/>
        <v>1.8760000000000012</v>
      </c>
    </row>
    <row r="94" spans="1:7" ht="15" customHeight="1" x14ac:dyDescent="0.25">
      <c r="A94" s="15">
        <v>93</v>
      </c>
      <c r="B94" s="15" t="s">
        <v>587</v>
      </c>
      <c r="C94" s="15" t="s">
        <v>588</v>
      </c>
      <c r="D94" s="15">
        <f>COUNTIF('Itemized Calculation'!C:C,B94)</f>
        <v>1</v>
      </c>
      <c r="E94" s="42">
        <v>16.239999999999998</v>
      </c>
      <c r="F94" s="16">
        <f>SUMIF('Itemized Calculation'!C:C,B94,'Itemized Calculation'!K:K)</f>
        <v>16.137</v>
      </c>
      <c r="G94" s="16">
        <f t="shared" si="1"/>
        <v>0.10299999999999798</v>
      </c>
    </row>
    <row r="95" spans="1:7" ht="15" customHeight="1" x14ac:dyDescent="0.25">
      <c r="A95" s="15">
        <v>94</v>
      </c>
      <c r="B95" s="15" t="s">
        <v>590</v>
      </c>
      <c r="C95" s="15" t="s">
        <v>591</v>
      </c>
      <c r="D95" s="15">
        <f>COUNTIF('Itemized Calculation'!C:C,B95)</f>
        <v>1</v>
      </c>
      <c r="E95" s="42">
        <v>23.06</v>
      </c>
      <c r="F95" s="16">
        <f>SUMIF('Itemized Calculation'!C:C,B95,'Itemized Calculation'!K:K)</f>
        <v>20.6</v>
      </c>
      <c r="G95" s="16">
        <f t="shared" si="1"/>
        <v>2.4599999999999973</v>
      </c>
    </row>
    <row r="96" spans="1:7" ht="15" customHeight="1" x14ac:dyDescent="0.25">
      <c r="A96" s="15">
        <v>95</v>
      </c>
      <c r="B96" s="15" t="s">
        <v>158</v>
      </c>
      <c r="C96" s="15" t="s">
        <v>593</v>
      </c>
      <c r="D96" s="15">
        <f>COUNTIF('Itemized Calculation'!C:C,B96)</f>
        <v>2</v>
      </c>
      <c r="E96" s="42">
        <v>31.53</v>
      </c>
      <c r="F96" s="16">
        <f>SUMIF('Itemized Calculation'!C:C,B96,'Itemized Calculation'!K:K)</f>
        <v>29.600999999999999</v>
      </c>
      <c r="G96" s="16">
        <f t="shared" si="1"/>
        <v>1.929000000000002</v>
      </c>
    </row>
    <row r="97" spans="1:7" ht="15" customHeight="1" x14ac:dyDescent="0.25">
      <c r="A97" s="15">
        <v>96</v>
      </c>
      <c r="B97" s="15" t="s">
        <v>596</v>
      </c>
      <c r="C97" s="15" t="s">
        <v>597</v>
      </c>
      <c r="D97" s="15">
        <f>COUNTIF('Itemized Calculation'!C:C,B97)</f>
        <v>1</v>
      </c>
      <c r="E97" s="42">
        <v>15.87</v>
      </c>
      <c r="F97" s="16">
        <f>SUMIF('Itemized Calculation'!C:C,B97,'Itemized Calculation'!K:K)</f>
        <v>15.484999999999999</v>
      </c>
      <c r="G97" s="16">
        <f t="shared" si="1"/>
        <v>0.38499999999999979</v>
      </c>
    </row>
    <row r="98" spans="1:7" ht="15" customHeight="1" x14ac:dyDescent="0.25">
      <c r="A98" s="15">
        <v>97</v>
      </c>
      <c r="B98" s="15" t="s">
        <v>600</v>
      </c>
      <c r="C98" s="15" t="s">
        <v>601</v>
      </c>
      <c r="D98" s="15">
        <f>COUNTIF('Itemized Calculation'!C:C,B98)</f>
        <v>1</v>
      </c>
      <c r="E98" s="42">
        <v>46.75</v>
      </c>
      <c r="F98" s="16">
        <f>SUMIF('Itemized Calculation'!C:C,B98,'Itemized Calculation'!K:K)</f>
        <v>39.5</v>
      </c>
      <c r="G98" s="16">
        <f t="shared" si="1"/>
        <v>7.25</v>
      </c>
    </row>
    <row r="99" spans="1:7" ht="15" customHeight="1" x14ac:dyDescent="0.25">
      <c r="A99" s="15">
        <v>98</v>
      </c>
      <c r="B99" s="15" t="s">
        <v>604</v>
      </c>
      <c r="C99" s="15" t="s">
        <v>605</v>
      </c>
      <c r="D99" s="15">
        <f>COUNTIF('Itemized Calculation'!C:C,B99)</f>
        <v>1</v>
      </c>
      <c r="E99" s="42">
        <v>16.3</v>
      </c>
      <c r="F99" s="16">
        <f>SUMIF('Itemized Calculation'!C:C,B99,'Itemized Calculation'!K:K)</f>
        <v>13.950000000000001</v>
      </c>
      <c r="G99" s="16">
        <f t="shared" si="1"/>
        <v>2.3499999999999996</v>
      </c>
    </row>
    <row r="100" spans="1:7" ht="15" customHeight="1" x14ac:dyDescent="0.25">
      <c r="A100" s="15">
        <v>99</v>
      </c>
      <c r="B100" s="15" t="s">
        <v>608</v>
      </c>
      <c r="C100" s="15" t="s">
        <v>609</v>
      </c>
      <c r="D100" s="15">
        <f>COUNTIF('Itemized Calculation'!C:C,B100)</f>
        <v>1</v>
      </c>
      <c r="E100" s="42">
        <v>15.63</v>
      </c>
      <c r="F100" s="16">
        <f>SUMIF('Itemized Calculation'!C:C,B100,'Itemized Calculation'!K:K)</f>
        <v>14.652000000000001</v>
      </c>
      <c r="G100" s="16">
        <f t="shared" si="1"/>
        <v>0.97799999999999976</v>
      </c>
    </row>
    <row r="101" spans="1:7" ht="15" customHeight="1" x14ac:dyDescent="0.25">
      <c r="A101" s="15">
        <v>100</v>
      </c>
      <c r="B101" s="15" t="s">
        <v>86</v>
      </c>
      <c r="C101" s="15" t="s">
        <v>610</v>
      </c>
      <c r="D101" s="15">
        <f>COUNTIF('Itemized Calculation'!C:C,B101)</f>
        <v>1</v>
      </c>
      <c r="E101" s="42">
        <v>13.97</v>
      </c>
      <c r="F101" s="16">
        <f>SUMIF('Itemized Calculation'!C:C,B101,'Itemized Calculation'!K:K)</f>
        <v>14.914999999999999</v>
      </c>
      <c r="G101" s="16">
        <f t="shared" si="1"/>
        <v>-0.94499999999999851</v>
      </c>
    </row>
    <row r="102" spans="1:7" ht="15" customHeight="1" x14ac:dyDescent="0.25">
      <c r="A102" s="15">
        <v>101</v>
      </c>
      <c r="B102" s="15" t="s">
        <v>612</v>
      </c>
      <c r="C102" s="15" t="s">
        <v>613</v>
      </c>
      <c r="D102" s="15">
        <f>COUNTIF('Itemized Calculation'!C:C,B102)</f>
        <v>1</v>
      </c>
      <c r="E102" s="42">
        <v>20.55</v>
      </c>
      <c r="F102" s="16">
        <f>SUMIF('Itemized Calculation'!C:C,B102,'Itemized Calculation'!K:K)</f>
        <v>19</v>
      </c>
      <c r="G102" s="16">
        <f t="shared" si="1"/>
        <v>1.5500000000000007</v>
      </c>
    </row>
    <row r="103" spans="1:7" ht="15" customHeight="1" x14ac:dyDescent="0.25">
      <c r="A103" s="15">
        <v>102</v>
      </c>
      <c r="B103" s="15" t="s">
        <v>615</v>
      </c>
      <c r="C103" s="15" t="s">
        <v>616</v>
      </c>
      <c r="D103" s="15">
        <f>COUNTIF('Itemized Calculation'!C:C,B103)</f>
        <v>2</v>
      </c>
      <c r="E103" s="42">
        <v>30.35</v>
      </c>
      <c r="F103" s="16">
        <f>SUMIF('Itemized Calculation'!C:C,B103,'Itemized Calculation'!K:K)</f>
        <v>27.218</v>
      </c>
      <c r="G103" s="16">
        <f t="shared" si="1"/>
        <v>3.1320000000000014</v>
      </c>
    </row>
    <row r="104" spans="1:7" ht="15" customHeight="1" x14ac:dyDescent="0.25">
      <c r="A104" s="15">
        <v>103</v>
      </c>
      <c r="B104" s="15" t="s">
        <v>619</v>
      </c>
      <c r="C104" s="15" t="s">
        <v>620</v>
      </c>
      <c r="D104" s="15">
        <f>COUNTIF('Itemized Calculation'!C:C,B104)</f>
        <v>1</v>
      </c>
      <c r="E104" s="42">
        <v>7.06</v>
      </c>
      <c r="F104" s="16">
        <f>SUMIF('Itemized Calculation'!C:C,B104,'Itemized Calculation'!K:K)</f>
        <v>6.6000000000000005</v>
      </c>
      <c r="G104" s="16">
        <f t="shared" si="1"/>
        <v>0.45999999999999908</v>
      </c>
    </row>
    <row r="105" spans="1:7" ht="15" customHeight="1" x14ac:dyDescent="0.25">
      <c r="A105" s="15">
        <v>104</v>
      </c>
      <c r="B105" s="15" t="s">
        <v>623</v>
      </c>
      <c r="C105" s="15" t="s">
        <v>624</v>
      </c>
      <c r="D105" s="15">
        <f>COUNTIF('Itemized Calculation'!C:C,B105)</f>
        <v>1</v>
      </c>
      <c r="E105" s="42">
        <v>14.19</v>
      </c>
      <c r="F105" s="16">
        <f>SUMIF('Itemized Calculation'!C:C,B105,'Itemized Calculation'!K:K)</f>
        <v>14.256</v>
      </c>
      <c r="G105" s="16">
        <f t="shared" si="1"/>
        <v>-6.6000000000000725E-2</v>
      </c>
    </row>
    <row r="106" spans="1:7" ht="15" customHeight="1" x14ac:dyDescent="0.25">
      <c r="A106" s="15">
        <v>105</v>
      </c>
      <c r="B106" s="15" t="s">
        <v>627</v>
      </c>
      <c r="C106" s="15" t="s">
        <v>628</v>
      </c>
      <c r="D106" s="15">
        <f>COUNTIF('Itemized Calculation'!C:C,B106)</f>
        <v>1</v>
      </c>
      <c r="E106" s="42">
        <v>6.62</v>
      </c>
      <c r="F106" s="16">
        <f>SUMIF('Itemized Calculation'!C:C,B106,'Itemized Calculation'!K:K)</f>
        <v>6.1749999999999998</v>
      </c>
      <c r="G106" s="16">
        <f t="shared" si="1"/>
        <v>0.44500000000000028</v>
      </c>
    </row>
    <row r="107" spans="1:7" ht="15" customHeight="1" x14ac:dyDescent="0.25">
      <c r="A107" s="15">
        <v>106</v>
      </c>
      <c r="B107" s="15" t="s">
        <v>631</v>
      </c>
      <c r="C107" s="15" t="s">
        <v>632</v>
      </c>
      <c r="D107" s="15">
        <f>COUNTIF('Itemized Calculation'!C:C,B107)</f>
        <v>1</v>
      </c>
      <c r="E107" s="42">
        <v>17.420000000000002</v>
      </c>
      <c r="F107" s="16">
        <f>SUMIF('Itemized Calculation'!C:C,B107,'Itemized Calculation'!K:K)</f>
        <v>16.8</v>
      </c>
      <c r="G107" s="16">
        <f t="shared" si="1"/>
        <v>0.62000000000000099</v>
      </c>
    </row>
    <row r="108" spans="1:7" ht="15" customHeight="1" x14ac:dyDescent="0.25">
      <c r="A108" s="15">
        <v>107</v>
      </c>
      <c r="B108" s="15" t="s">
        <v>635</v>
      </c>
      <c r="C108" s="15" t="s">
        <v>636</v>
      </c>
      <c r="D108" s="15">
        <f>COUNTIF('Itemized Calculation'!C:C,B108)</f>
        <v>2</v>
      </c>
      <c r="E108" s="42">
        <v>96.2</v>
      </c>
      <c r="F108" s="16">
        <f>SUMIF('Itemized Calculation'!C:C,B108,'Itemized Calculation'!K:K)</f>
        <v>90.597999999999999</v>
      </c>
      <c r="G108" s="16">
        <f t="shared" si="1"/>
        <v>5.6020000000000039</v>
      </c>
    </row>
    <row r="109" spans="1:7" ht="15" customHeight="1" x14ac:dyDescent="0.25">
      <c r="A109" s="15">
        <v>108</v>
      </c>
      <c r="B109" s="15" t="s">
        <v>640</v>
      </c>
      <c r="C109" s="15" t="s">
        <v>641</v>
      </c>
      <c r="D109" s="15">
        <f>COUNTIF('Itemized Calculation'!C:C,B109)</f>
        <v>1</v>
      </c>
      <c r="E109" s="42">
        <v>44.54</v>
      </c>
      <c r="F109" s="16">
        <f>SUMIF('Itemized Calculation'!C:C,B109,'Itemized Calculation'!K:K)</f>
        <v>39.5</v>
      </c>
      <c r="G109" s="16">
        <f t="shared" si="1"/>
        <v>5.0399999999999991</v>
      </c>
    </row>
    <row r="110" spans="1:7" ht="15" customHeight="1" x14ac:dyDescent="0.25">
      <c r="A110" s="15">
        <v>109</v>
      </c>
      <c r="B110" s="15" t="s">
        <v>89</v>
      </c>
      <c r="C110" s="15" t="s">
        <v>643</v>
      </c>
      <c r="D110" s="15">
        <f>COUNTIF('Itemized Calculation'!C:C,B110)</f>
        <v>1</v>
      </c>
      <c r="E110" s="42">
        <v>13.97</v>
      </c>
      <c r="F110" s="16">
        <f>SUMIF('Itemized Calculation'!C:C,B110,'Itemized Calculation'!K:K)</f>
        <v>14.914999999999999</v>
      </c>
      <c r="G110" s="16">
        <f t="shared" si="1"/>
        <v>-0.94499999999999851</v>
      </c>
    </row>
    <row r="111" spans="1:7" ht="15" customHeight="1" x14ac:dyDescent="0.25">
      <c r="A111" s="15">
        <v>110</v>
      </c>
      <c r="B111" s="15" t="s">
        <v>91</v>
      </c>
      <c r="C111" s="15" t="s">
        <v>644</v>
      </c>
      <c r="D111" s="15">
        <f>COUNTIF('Itemized Calculation'!C:C,B111)</f>
        <v>2</v>
      </c>
      <c r="E111" s="42">
        <v>29.45</v>
      </c>
      <c r="F111" s="16">
        <f>SUMIF('Itemized Calculation'!C:C,B111,'Itemized Calculation'!K:K)</f>
        <v>28.536999999999999</v>
      </c>
      <c r="G111" s="16">
        <f t="shared" si="1"/>
        <v>0.91300000000000026</v>
      </c>
    </row>
    <row r="112" spans="1:7" ht="15" customHeight="1" x14ac:dyDescent="0.25">
      <c r="A112" s="15">
        <v>111</v>
      </c>
      <c r="B112" s="15" t="s">
        <v>647</v>
      </c>
      <c r="C112" s="15" t="s">
        <v>648</v>
      </c>
      <c r="D112" s="15">
        <f>COUNTIF('Itemized Calculation'!C:C,B112)</f>
        <v>1</v>
      </c>
      <c r="E112" s="42">
        <v>34.9</v>
      </c>
      <c r="F112" s="16">
        <f>SUMIF('Itemized Calculation'!C:C,B112,'Itemized Calculation'!K:K)</f>
        <v>34.93</v>
      </c>
      <c r="G112" s="16">
        <f t="shared" si="1"/>
        <v>-3.0000000000001137E-2</v>
      </c>
    </row>
    <row r="113" spans="1:7" ht="15" customHeight="1" x14ac:dyDescent="0.25">
      <c r="A113" s="15">
        <v>112</v>
      </c>
      <c r="B113" s="15" t="s">
        <v>651</v>
      </c>
      <c r="C113" s="15" t="s">
        <v>652</v>
      </c>
      <c r="D113" s="15">
        <f>COUNTIF('Itemized Calculation'!C:C,B113)</f>
        <v>2</v>
      </c>
      <c r="E113" s="42">
        <v>22.5</v>
      </c>
      <c r="F113" s="16">
        <f>SUMIF('Itemized Calculation'!C:C,B113,'Itemized Calculation'!K:K)</f>
        <v>20.79</v>
      </c>
      <c r="G113" s="16">
        <f t="shared" si="1"/>
        <v>1.7100000000000009</v>
      </c>
    </row>
    <row r="114" spans="1:7" ht="15" customHeight="1" x14ac:dyDescent="0.25">
      <c r="A114" s="15">
        <v>113</v>
      </c>
      <c r="B114" s="15" t="s">
        <v>655</v>
      </c>
      <c r="C114" s="15" t="s">
        <v>656</v>
      </c>
      <c r="D114" s="15">
        <f>COUNTIF('Itemized Calculation'!C:C,B114)</f>
        <v>1</v>
      </c>
      <c r="E114" s="42">
        <v>11.52</v>
      </c>
      <c r="F114" s="16">
        <f>SUMIF('Itemized Calculation'!C:C,B114,'Itemized Calculation'!K:K)</f>
        <v>10.593</v>
      </c>
      <c r="G114" s="16">
        <f t="shared" si="1"/>
        <v>0.9269999999999996</v>
      </c>
    </row>
    <row r="115" spans="1:7" ht="15" customHeight="1" x14ac:dyDescent="0.25">
      <c r="A115" s="15">
        <v>114</v>
      </c>
      <c r="B115" s="15" t="s">
        <v>658</v>
      </c>
      <c r="C115" s="15" t="s">
        <v>659</v>
      </c>
      <c r="D115" s="15">
        <f>COUNTIF('Itemized Calculation'!C:C,B115)</f>
        <v>1</v>
      </c>
      <c r="E115" s="42">
        <v>-8.48</v>
      </c>
      <c r="F115" s="16">
        <f>SUMIF('Itemized Calculation'!C:C,B115,'Itemized Calculation'!K:K)</f>
        <v>0</v>
      </c>
      <c r="G115" s="16">
        <f t="shared" si="1"/>
        <v>-8.48</v>
      </c>
    </row>
    <row r="116" spans="1:7" ht="15" customHeight="1" x14ac:dyDescent="0.25">
      <c r="A116" s="15">
        <v>115</v>
      </c>
      <c r="B116" s="15" t="s">
        <v>140</v>
      </c>
      <c r="C116" s="15" t="s">
        <v>660</v>
      </c>
      <c r="D116" s="15">
        <f>COUNTIF('Itemized Calculation'!C:C,B116)</f>
        <v>1</v>
      </c>
      <c r="E116" s="42">
        <v>14.69</v>
      </c>
      <c r="F116" s="16">
        <f>SUMIF('Itemized Calculation'!C:C,B116,'Itemized Calculation'!K:K)</f>
        <v>14.85</v>
      </c>
      <c r="G116" s="16">
        <f t="shared" si="1"/>
        <v>-0.16000000000000014</v>
      </c>
    </row>
    <row r="117" spans="1:7" ht="15" customHeight="1" x14ac:dyDescent="0.25">
      <c r="A117" s="15">
        <v>116</v>
      </c>
      <c r="B117" s="15" t="s">
        <v>662</v>
      </c>
      <c r="C117" s="15" t="s">
        <v>663</v>
      </c>
      <c r="D117" s="15">
        <f>COUNTIF('Itemized Calculation'!C:C,B117)</f>
        <v>1</v>
      </c>
      <c r="E117" s="42">
        <v>8.5500000000000007</v>
      </c>
      <c r="F117" s="16">
        <f>SUMIF('Itemized Calculation'!C:C,B117,'Itemized Calculation'!K:K)</f>
        <v>7.2149999999999999</v>
      </c>
      <c r="G117" s="16">
        <f t="shared" si="1"/>
        <v>1.3350000000000009</v>
      </c>
    </row>
    <row r="118" spans="1:7" ht="15" customHeight="1" x14ac:dyDescent="0.25">
      <c r="A118" s="15">
        <v>117</v>
      </c>
      <c r="B118" s="15" t="s">
        <v>666</v>
      </c>
      <c r="C118" s="15" t="s">
        <v>667</v>
      </c>
      <c r="D118" s="15">
        <f>COUNTIF('Itemized Calculation'!C:C,B118)</f>
        <v>1</v>
      </c>
      <c r="E118" s="42">
        <v>11.26</v>
      </c>
      <c r="F118" s="16">
        <f>SUMIF('Itemized Calculation'!C:C,B118,'Itemized Calculation'!K:K)</f>
        <v>11.187000000000001</v>
      </c>
      <c r="G118" s="16">
        <f t="shared" si="1"/>
        <v>7.2999999999998622E-2</v>
      </c>
    </row>
    <row r="119" spans="1:7" ht="15" customHeight="1" x14ac:dyDescent="0.25">
      <c r="A119" s="15">
        <v>118</v>
      </c>
      <c r="B119" s="15" t="s">
        <v>669</v>
      </c>
      <c r="C119" s="15" t="s">
        <v>670</v>
      </c>
      <c r="D119" s="15">
        <f>COUNTIF('Itemized Calculation'!C:C,B119)</f>
        <v>1</v>
      </c>
      <c r="E119" s="42">
        <v>39.590000000000003</v>
      </c>
      <c r="F119" s="16">
        <f>SUMIF('Itemized Calculation'!C:C,B119,'Itemized Calculation'!K:K)</f>
        <v>36.1</v>
      </c>
      <c r="G119" s="16">
        <f t="shared" si="1"/>
        <v>3.490000000000002</v>
      </c>
    </row>
    <row r="120" spans="1:7" ht="15" customHeight="1" x14ac:dyDescent="0.25">
      <c r="A120" s="15">
        <v>119</v>
      </c>
      <c r="B120" s="15" t="s">
        <v>673</v>
      </c>
      <c r="C120" s="15" t="s">
        <v>674</v>
      </c>
      <c r="D120" s="15">
        <f>COUNTIF('Itemized Calculation'!C:C,B120)</f>
        <v>1</v>
      </c>
      <c r="E120" s="42">
        <v>13.05</v>
      </c>
      <c r="F120" s="16">
        <f>SUMIF('Itemized Calculation'!C:C,B120,'Itemized Calculation'!K:K)</f>
        <v>13.365</v>
      </c>
      <c r="G120" s="16">
        <f t="shared" si="1"/>
        <v>-0.3149999999999995</v>
      </c>
    </row>
    <row r="121" spans="1:7" ht="15" customHeight="1" x14ac:dyDescent="0.25">
      <c r="A121" s="15">
        <v>120</v>
      </c>
      <c r="B121" s="15" t="s">
        <v>676</v>
      </c>
      <c r="C121" s="15" t="s">
        <v>677</v>
      </c>
      <c r="D121" s="15">
        <f>COUNTIF('Itemized Calculation'!C:C,B121)</f>
        <v>1</v>
      </c>
      <c r="E121" s="42">
        <v>11.51</v>
      </c>
      <c r="F121" s="16">
        <f>SUMIF('Itemized Calculation'!C:C,B121,'Itemized Calculation'!K:K)</f>
        <v>11.187000000000001</v>
      </c>
      <c r="G121" s="16">
        <f t="shared" si="1"/>
        <v>0.32299999999999862</v>
      </c>
    </row>
    <row r="122" spans="1:7" ht="15" customHeight="1" x14ac:dyDescent="0.25">
      <c r="A122" s="15">
        <v>121</v>
      </c>
      <c r="B122" s="15" t="s">
        <v>680</v>
      </c>
      <c r="C122" s="15" t="s">
        <v>681</v>
      </c>
      <c r="D122" s="15">
        <f>COUNTIF('Itemized Calculation'!C:C,B122)</f>
        <v>1</v>
      </c>
      <c r="E122" s="42">
        <v>15.69</v>
      </c>
      <c r="F122" s="16">
        <f>SUMIF('Itemized Calculation'!C:C,B122,'Itemized Calculation'!K:K)</f>
        <v>14.652000000000001</v>
      </c>
      <c r="G122" s="16">
        <f t="shared" si="1"/>
        <v>1.0379999999999985</v>
      </c>
    </row>
    <row r="123" spans="1:7" ht="15" customHeight="1" x14ac:dyDescent="0.25">
      <c r="A123" s="15">
        <v>122</v>
      </c>
      <c r="B123" s="15" t="s">
        <v>683</v>
      </c>
      <c r="C123" s="15" t="s">
        <v>684</v>
      </c>
      <c r="D123" s="15">
        <f>COUNTIF('Itemized Calculation'!C:C,B123)</f>
        <v>1</v>
      </c>
      <c r="E123" s="42">
        <v>12.89</v>
      </c>
      <c r="F123" s="16">
        <f>SUMIF('Itemized Calculation'!C:C,B123,'Itemized Calculation'!K:K)</f>
        <v>13.068</v>
      </c>
      <c r="G123" s="16">
        <f t="shared" si="1"/>
        <v>-0.17799999999999905</v>
      </c>
    </row>
    <row r="124" spans="1:7" ht="15" customHeight="1" x14ac:dyDescent="0.25">
      <c r="A124" s="15">
        <v>123</v>
      </c>
      <c r="B124" s="15" t="s">
        <v>686</v>
      </c>
      <c r="C124" s="15" t="s">
        <v>687</v>
      </c>
      <c r="D124" s="15">
        <f>COUNTIF('Itemized Calculation'!C:C,B124)</f>
        <v>1</v>
      </c>
      <c r="E124" s="42">
        <v>13.15</v>
      </c>
      <c r="F124" s="16">
        <f>SUMIF('Itemized Calculation'!C:C,B124,'Itemized Calculation'!K:K)</f>
        <v>12.276</v>
      </c>
      <c r="G124" s="16">
        <f t="shared" si="1"/>
        <v>0.87400000000000055</v>
      </c>
    </row>
    <row r="125" spans="1:7" ht="15" customHeight="1" x14ac:dyDescent="0.25">
      <c r="A125" s="15">
        <v>124</v>
      </c>
      <c r="B125" s="15" t="s">
        <v>689</v>
      </c>
      <c r="C125" s="15" t="s">
        <v>690</v>
      </c>
      <c r="D125" s="15">
        <f>COUNTIF('Itemized Calculation'!C:C,B125)</f>
        <v>1</v>
      </c>
      <c r="E125" s="42">
        <v>10.66</v>
      </c>
      <c r="F125" s="16">
        <f>SUMIF('Itemized Calculation'!C:C,B125,'Itemized Calculation'!K:K)</f>
        <v>10.395</v>
      </c>
      <c r="G125" s="16">
        <f t="shared" si="1"/>
        <v>0.26500000000000057</v>
      </c>
    </row>
    <row r="126" spans="1:7" ht="15" customHeight="1" x14ac:dyDescent="0.25">
      <c r="A126" s="15">
        <v>125</v>
      </c>
      <c r="B126" s="15" t="s">
        <v>692</v>
      </c>
      <c r="C126" s="15" t="s">
        <v>693</v>
      </c>
      <c r="D126" s="15">
        <f>COUNTIF('Itemized Calculation'!C:C,B126)</f>
        <v>1</v>
      </c>
      <c r="E126" s="42">
        <v>39.630000000000003</v>
      </c>
      <c r="F126" s="16">
        <f>SUMIF('Itemized Calculation'!C:C,B126,'Itemized Calculation'!K:K)</f>
        <v>37.715000000000003</v>
      </c>
      <c r="G126" s="16">
        <f t="shared" si="1"/>
        <v>1.9149999999999991</v>
      </c>
    </row>
    <row r="127" spans="1:7" ht="15" customHeight="1" x14ac:dyDescent="0.25">
      <c r="A127" s="15">
        <v>126</v>
      </c>
      <c r="B127" s="15" t="s">
        <v>93</v>
      </c>
      <c r="C127" s="15" t="s">
        <v>695</v>
      </c>
      <c r="D127" s="15">
        <f>COUNTIF('Itemized Calculation'!C:C,B127)</f>
        <v>1</v>
      </c>
      <c r="E127" s="42">
        <v>14.28</v>
      </c>
      <c r="F127" s="16">
        <f>SUMIF('Itemized Calculation'!C:C,B127,'Itemized Calculation'!K:K)</f>
        <v>14.725</v>
      </c>
      <c r="G127" s="16">
        <f t="shared" si="1"/>
        <v>-0.44500000000000028</v>
      </c>
    </row>
    <row r="128" spans="1:7" ht="15" customHeight="1" x14ac:dyDescent="0.25">
      <c r="A128" s="15">
        <v>127</v>
      </c>
      <c r="B128" s="15" t="s">
        <v>697</v>
      </c>
      <c r="C128" s="15" t="s">
        <v>698</v>
      </c>
      <c r="D128" s="15">
        <f>COUNTIF('Itemized Calculation'!C:C,B128)</f>
        <v>1</v>
      </c>
      <c r="E128" s="42">
        <v>11.37</v>
      </c>
      <c r="F128" s="16">
        <f>SUMIF('Itemized Calculation'!C:C,B128,'Itemized Calculation'!K:K)</f>
        <v>11.187000000000001</v>
      </c>
      <c r="G128" s="16">
        <f t="shared" si="1"/>
        <v>0.18299999999999805</v>
      </c>
    </row>
    <row r="129" spans="1:7" ht="15" customHeight="1" x14ac:dyDescent="0.25">
      <c r="A129" s="15">
        <v>128</v>
      </c>
      <c r="B129" s="15" t="s">
        <v>700</v>
      </c>
      <c r="C129" s="15" t="s">
        <v>701</v>
      </c>
      <c r="D129" s="15">
        <f>COUNTIF('Itemized Calculation'!C:C,B129)</f>
        <v>1</v>
      </c>
      <c r="E129" s="42">
        <v>28.97</v>
      </c>
      <c r="F129" s="16">
        <f>SUMIF('Itemized Calculation'!C:C,B129,'Itemized Calculation'!K:K)</f>
        <v>29.200000000000003</v>
      </c>
      <c r="G129" s="16">
        <f t="shared" si="1"/>
        <v>-0.23000000000000398</v>
      </c>
    </row>
    <row r="130" spans="1:7" ht="15" customHeight="1" x14ac:dyDescent="0.25">
      <c r="A130" s="15">
        <v>129</v>
      </c>
      <c r="B130" s="15" t="s">
        <v>704</v>
      </c>
      <c r="C130" s="15" t="s">
        <v>705</v>
      </c>
      <c r="D130" s="15">
        <f>COUNTIF('Itemized Calculation'!C:C,B130)</f>
        <v>1</v>
      </c>
      <c r="E130" s="42">
        <v>11.77</v>
      </c>
      <c r="F130" s="16">
        <f>SUMIF('Itemized Calculation'!C:C,B130,'Itemized Calculation'!K:K)</f>
        <v>10.593</v>
      </c>
      <c r="G130" s="16">
        <f t="shared" ref="G130:G193" si="2">E130-F130</f>
        <v>1.1769999999999996</v>
      </c>
    </row>
    <row r="131" spans="1:7" ht="15" customHeight="1" x14ac:dyDescent="0.25">
      <c r="A131" s="15">
        <v>130</v>
      </c>
      <c r="B131" s="15" t="s">
        <v>707</v>
      </c>
      <c r="C131" s="15" t="s">
        <v>708</v>
      </c>
      <c r="D131" s="15">
        <f>COUNTIF('Itemized Calculation'!C:C,B131)</f>
        <v>1</v>
      </c>
      <c r="E131" s="42">
        <v>15.18</v>
      </c>
      <c r="F131" s="16">
        <f>SUMIF('Itemized Calculation'!C:C,B131,'Itemized Calculation'!K:K)</f>
        <v>14.85</v>
      </c>
      <c r="G131" s="16">
        <f t="shared" si="2"/>
        <v>0.33000000000000007</v>
      </c>
    </row>
    <row r="132" spans="1:7" ht="15" customHeight="1" x14ac:dyDescent="0.25">
      <c r="A132" s="15">
        <v>131</v>
      </c>
      <c r="B132" s="15" t="s">
        <v>710</v>
      </c>
      <c r="C132" s="15" t="s">
        <v>711</v>
      </c>
      <c r="D132" s="15">
        <f>COUNTIF('Itemized Calculation'!C:C,B132)</f>
        <v>1</v>
      </c>
      <c r="E132" s="42">
        <v>27.21</v>
      </c>
      <c r="F132" s="16">
        <f>SUMIF('Itemized Calculation'!C:C,B132,'Itemized Calculation'!K:K)</f>
        <v>24.552</v>
      </c>
      <c r="G132" s="16">
        <f t="shared" si="2"/>
        <v>2.6580000000000013</v>
      </c>
    </row>
    <row r="133" spans="1:7" ht="15" customHeight="1" x14ac:dyDescent="0.25">
      <c r="A133" s="15">
        <v>132</v>
      </c>
      <c r="B133" s="15" t="s">
        <v>713</v>
      </c>
      <c r="C133" s="15" t="s">
        <v>714</v>
      </c>
      <c r="D133" s="15">
        <f>COUNTIF('Itemized Calculation'!C:C,B133)</f>
        <v>1</v>
      </c>
      <c r="E133" s="42">
        <v>29.82</v>
      </c>
      <c r="F133" s="16">
        <f>SUMIF('Itemized Calculation'!C:C,B133,'Itemized Calculation'!K:K)</f>
        <v>27.8</v>
      </c>
      <c r="G133" s="16">
        <f t="shared" si="2"/>
        <v>2.0199999999999996</v>
      </c>
    </row>
    <row r="134" spans="1:7" ht="15" customHeight="1" x14ac:dyDescent="0.25">
      <c r="A134" s="15">
        <v>133</v>
      </c>
      <c r="B134" s="15" t="s">
        <v>717</v>
      </c>
      <c r="C134" s="15" t="s">
        <v>718</v>
      </c>
      <c r="D134" s="15">
        <f>COUNTIF('Itemized Calculation'!C:C,B134)</f>
        <v>1</v>
      </c>
      <c r="E134" s="42">
        <v>39.619999999999997</v>
      </c>
      <c r="F134" s="16">
        <f>SUMIF('Itemized Calculation'!C:C,B134,'Itemized Calculation'!K:K)</f>
        <v>38.07</v>
      </c>
      <c r="G134" s="16">
        <f t="shared" si="2"/>
        <v>1.5499999999999972</v>
      </c>
    </row>
    <row r="135" spans="1:7" ht="15" customHeight="1" x14ac:dyDescent="0.25">
      <c r="A135" s="15">
        <v>134</v>
      </c>
      <c r="B135" s="15" t="s">
        <v>721</v>
      </c>
      <c r="C135" s="15" t="s">
        <v>722</v>
      </c>
      <c r="D135" s="15">
        <f>COUNTIF('Itemized Calculation'!C:C,B135)</f>
        <v>1</v>
      </c>
      <c r="E135" s="42">
        <v>28.15</v>
      </c>
      <c r="F135" s="16">
        <f>SUMIF('Itemized Calculation'!C:C,B135,'Itemized Calculation'!K:K)</f>
        <v>29.924999999999997</v>
      </c>
      <c r="G135" s="16">
        <f t="shared" si="2"/>
        <v>-1.7749999999999986</v>
      </c>
    </row>
    <row r="136" spans="1:7" ht="15" customHeight="1" x14ac:dyDescent="0.25">
      <c r="A136" s="15">
        <v>135</v>
      </c>
      <c r="B136" s="15" t="s">
        <v>725</v>
      </c>
      <c r="C136" s="15" t="s">
        <v>726</v>
      </c>
      <c r="D136" s="15">
        <f>COUNTIF('Itemized Calculation'!C:C,B136)</f>
        <v>1</v>
      </c>
      <c r="E136" s="42">
        <v>18.43</v>
      </c>
      <c r="F136" s="16">
        <f>SUMIF('Itemized Calculation'!C:C,B136,'Itemized Calculation'!K:K)</f>
        <v>18.612000000000002</v>
      </c>
      <c r="G136" s="16">
        <f t="shared" si="2"/>
        <v>-0.18200000000000216</v>
      </c>
    </row>
    <row r="137" spans="1:7" ht="15" customHeight="1" x14ac:dyDescent="0.25">
      <c r="A137" s="15">
        <v>136</v>
      </c>
      <c r="B137" s="15" t="s">
        <v>729</v>
      </c>
      <c r="C137" s="15" t="s">
        <v>730</v>
      </c>
      <c r="D137" s="15">
        <f>COUNTIF('Itemized Calculation'!C:C,B137)</f>
        <v>1</v>
      </c>
      <c r="E137" s="42">
        <v>50.34</v>
      </c>
      <c r="F137" s="16">
        <f>SUMIF('Itemized Calculation'!C:C,B137,'Itemized Calculation'!K:K)</f>
        <v>47</v>
      </c>
      <c r="G137" s="16">
        <f t="shared" si="2"/>
        <v>3.3400000000000034</v>
      </c>
    </row>
    <row r="138" spans="1:7" ht="15" customHeight="1" x14ac:dyDescent="0.25">
      <c r="A138" s="15">
        <v>137</v>
      </c>
      <c r="B138" s="15" t="s">
        <v>733</v>
      </c>
      <c r="C138" s="15" t="s">
        <v>734</v>
      </c>
      <c r="D138" s="15">
        <f>COUNTIF('Itemized Calculation'!C:C,B138)</f>
        <v>1</v>
      </c>
      <c r="E138" s="42">
        <v>27.52</v>
      </c>
      <c r="F138" s="16">
        <f>SUMIF('Itemized Calculation'!C:C,B138,'Itemized Calculation'!K:K)</f>
        <v>26.58</v>
      </c>
      <c r="G138" s="16">
        <f t="shared" si="2"/>
        <v>0.94000000000000128</v>
      </c>
    </row>
    <row r="139" spans="1:7" ht="15" customHeight="1" x14ac:dyDescent="0.25">
      <c r="A139" s="15">
        <v>138</v>
      </c>
      <c r="B139" s="15" t="s">
        <v>737</v>
      </c>
      <c r="C139" s="15" t="s">
        <v>738</v>
      </c>
      <c r="D139" s="15">
        <f>COUNTIF('Itemized Calculation'!C:C,B139)</f>
        <v>1</v>
      </c>
      <c r="E139" s="42">
        <v>10.98</v>
      </c>
      <c r="F139" s="16">
        <f>SUMIF('Itemized Calculation'!C:C,B139,'Itemized Calculation'!K:K)</f>
        <v>10.395</v>
      </c>
      <c r="G139" s="16">
        <f t="shared" si="2"/>
        <v>0.58500000000000085</v>
      </c>
    </row>
    <row r="140" spans="1:7" ht="15" customHeight="1" x14ac:dyDescent="0.25">
      <c r="A140" s="15">
        <v>139</v>
      </c>
      <c r="B140" s="15" t="s">
        <v>95</v>
      </c>
      <c r="C140" s="15" t="s">
        <v>739</v>
      </c>
      <c r="D140" s="15">
        <f>COUNTIF('Itemized Calculation'!C:C,B140)</f>
        <v>1</v>
      </c>
      <c r="E140" s="42">
        <v>14.03</v>
      </c>
      <c r="F140" s="16">
        <f>SUMIF('Itemized Calculation'!C:C,B140,'Itemized Calculation'!K:K)</f>
        <v>14.914999999999999</v>
      </c>
      <c r="G140" s="16">
        <f t="shared" si="2"/>
        <v>-0.88499999999999979</v>
      </c>
    </row>
    <row r="141" spans="1:7" ht="15" customHeight="1" x14ac:dyDescent="0.25">
      <c r="A141" s="15">
        <v>140</v>
      </c>
      <c r="B141" s="15" t="s">
        <v>741</v>
      </c>
      <c r="C141" s="15" t="s">
        <v>742</v>
      </c>
      <c r="D141" s="15">
        <f>COUNTIF('Itemized Calculation'!C:C,B141)</f>
        <v>1</v>
      </c>
      <c r="E141" s="42">
        <v>28.8</v>
      </c>
      <c r="F141" s="16">
        <f>SUMIF('Itemized Calculation'!C:C,B141,'Itemized Calculation'!K:K)</f>
        <v>27.12</v>
      </c>
      <c r="G141" s="16">
        <f t="shared" si="2"/>
        <v>1.6799999999999997</v>
      </c>
    </row>
    <row r="142" spans="1:7" ht="15" customHeight="1" x14ac:dyDescent="0.25">
      <c r="A142" s="15">
        <v>141</v>
      </c>
      <c r="B142" s="15" t="s">
        <v>745</v>
      </c>
      <c r="C142" s="15" t="s">
        <v>746</v>
      </c>
      <c r="D142" s="15">
        <f>COUNTIF('Itemized Calculation'!C:C,B142)</f>
        <v>1</v>
      </c>
      <c r="E142" s="42">
        <v>17.350000000000001</v>
      </c>
      <c r="F142" s="16">
        <f>SUMIF('Itemized Calculation'!C:C,B142,'Itemized Calculation'!K:K)</f>
        <v>17.86</v>
      </c>
      <c r="G142" s="16">
        <f t="shared" si="2"/>
        <v>-0.50999999999999801</v>
      </c>
    </row>
    <row r="143" spans="1:7" ht="15" customHeight="1" x14ac:dyDescent="0.25">
      <c r="A143" s="15">
        <v>142</v>
      </c>
      <c r="B143" s="15" t="s">
        <v>749</v>
      </c>
      <c r="C143" s="15" t="s">
        <v>750</v>
      </c>
      <c r="D143" s="15">
        <f>COUNTIF('Itemized Calculation'!C:C,B143)</f>
        <v>1</v>
      </c>
      <c r="E143" s="42">
        <v>14.42</v>
      </c>
      <c r="F143" s="16">
        <f>SUMIF('Itemized Calculation'!C:C,B143,'Itemized Calculation'!K:K)</f>
        <v>13.524000000000001</v>
      </c>
      <c r="G143" s="16">
        <f t="shared" si="2"/>
        <v>0.89599999999999902</v>
      </c>
    </row>
    <row r="144" spans="1:7" ht="15" customHeight="1" x14ac:dyDescent="0.25">
      <c r="A144" s="15">
        <v>143</v>
      </c>
      <c r="B144" s="15" t="s">
        <v>753</v>
      </c>
      <c r="C144" s="15" t="s">
        <v>754</v>
      </c>
      <c r="D144" s="15">
        <f>COUNTIF('Itemized Calculation'!C:C,B144)</f>
        <v>1</v>
      </c>
      <c r="E144" s="42">
        <v>13.02</v>
      </c>
      <c r="F144" s="16">
        <f>SUMIF('Itemized Calculation'!C:C,B144,'Itemized Calculation'!K:K)</f>
        <v>12.11</v>
      </c>
      <c r="G144" s="16">
        <f t="shared" si="2"/>
        <v>0.91000000000000014</v>
      </c>
    </row>
    <row r="145" spans="1:7" ht="15" customHeight="1" x14ac:dyDescent="0.25">
      <c r="A145" s="15">
        <v>144</v>
      </c>
      <c r="B145" s="15" t="s">
        <v>757</v>
      </c>
      <c r="C145" s="15" t="s">
        <v>758</v>
      </c>
      <c r="D145" s="15">
        <f>COUNTIF('Itemized Calculation'!C:C,B145)</f>
        <v>2</v>
      </c>
      <c r="E145" s="42">
        <v>24.19</v>
      </c>
      <c r="F145" s="16">
        <f>SUMIF('Itemized Calculation'!C:C,B145,'Itemized Calculation'!K:K)</f>
        <v>23.957999999999998</v>
      </c>
      <c r="G145" s="16">
        <f t="shared" si="2"/>
        <v>0.23200000000000287</v>
      </c>
    </row>
    <row r="146" spans="1:7" ht="15" customHeight="1" x14ac:dyDescent="0.25">
      <c r="A146" s="15">
        <v>145</v>
      </c>
      <c r="B146" s="15" t="s">
        <v>760</v>
      </c>
      <c r="C146" s="15" t="s">
        <v>761</v>
      </c>
      <c r="D146" s="15">
        <f>COUNTIF('Itemized Calculation'!C:C,B146)</f>
        <v>1</v>
      </c>
      <c r="E146" s="42">
        <v>11.87</v>
      </c>
      <c r="F146" s="16">
        <f>SUMIF('Itemized Calculation'!C:C,B146,'Itemized Calculation'!K:K)</f>
        <v>11.187000000000001</v>
      </c>
      <c r="G146" s="16">
        <f t="shared" si="2"/>
        <v>0.68299999999999805</v>
      </c>
    </row>
    <row r="147" spans="1:7" ht="15" customHeight="1" x14ac:dyDescent="0.25">
      <c r="A147" s="15">
        <v>146</v>
      </c>
      <c r="B147" s="15" t="s">
        <v>764</v>
      </c>
      <c r="C147" s="15" t="s">
        <v>765</v>
      </c>
      <c r="D147" s="15">
        <f>COUNTIF('Itemized Calculation'!C:C,B147)</f>
        <v>1</v>
      </c>
      <c r="E147" s="42">
        <v>23.46</v>
      </c>
      <c r="F147" s="16">
        <f>SUMIF('Itemized Calculation'!C:C,B147,'Itemized Calculation'!K:K)</f>
        <v>20.988</v>
      </c>
      <c r="G147" s="16">
        <f t="shared" si="2"/>
        <v>2.4720000000000013</v>
      </c>
    </row>
    <row r="148" spans="1:7" ht="15" customHeight="1" x14ac:dyDescent="0.25">
      <c r="A148" s="15">
        <v>147</v>
      </c>
      <c r="B148" s="15" t="s">
        <v>768</v>
      </c>
      <c r="C148" s="15" t="s">
        <v>769</v>
      </c>
      <c r="D148" s="15">
        <f>COUNTIF('Itemized Calculation'!C:C,B148)</f>
        <v>1</v>
      </c>
      <c r="E148" s="42">
        <v>13.73</v>
      </c>
      <c r="F148" s="16">
        <f>SUMIF('Itemized Calculation'!C:C,B148,'Itemized Calculation'!K:K)</f>
        <v>12.968999999999999</v>
      </c>
      <c r="G148" s="16">
        <f t="shared" si="2"/>
        <v>0.76100000000000101</v>
      </c>
    </row>
    <row r="149" spans="1:7" ht="15" customHeight="1" x14ac:dyDescent="0.25">
      <c r="A149" s="15">
        <v>148</v>
      </c>
      <c r="B149" s="15" t="s">
        <v>771</v>
      </c>
      <c r="C149" s="15" t="s">
        <v>772</v>
      </c>
      <c r="D149" s="15">
        <f>COUNTIF('Itemized Calculation'!C:C,B149)</f>
        <v>1</v>
      </c>
      <c r="E149" s="42">
        <v>11.27</v>
      </c>
      <c r="F149" s="16">
        <f>SUMIF('Itemized Calculation'!C:C,B149,'Itemized Calculation'!K:K)</f>
        <v>10.395</v>
      </c>
      <c r="G149" s="16">
        <f t="shared" si="2"/>
        <v>0.875</v>
      </c>
    </row>
    <row r="150" spans="1:7" ht="15" customHeight="1" x14ac:dyDescent="0.25">
      <c r="A150" s="15">
        <v>149</v>
      </c>
      <c r="B150" s="15" t="s">
        <v>775</v>
      </c>
      <c r="C150" s="15" t="s">
        <v>776</v>
      </c>
      <c r="D150" s="15">
        <f>COUNTIF('Itemized Calculation'!C:C,B150)</f>
        <v>1</v>
      </c>
      <c r="E150" s="42">
        <v>15.82</v>
      </c>
      <c r="F150" s="16">
        <f>SUMIF('Itemized Calculation'!C:C,B150,'Itemized Calculation'!K:K)</f>
        <v>14.652000000000001</v>
      </c>
      <c r="G150" s="16">
        <f t="shared" si="2"/>
        <v>1.1679999999999993</v>
      </c>
    </row>
    <row r="151" spans="1:7" ht="15" customHeight="1" x14ac:dyDescent="0.25">
      <c r="A151" s="15">
        <v>150</v>
      </c>
      <c r="B151" s="15" t="s">
        <v>779</v>
      </c>
      <c r="C151" s="15" t="s">
        <v>780</v>
      </c>
      <c r="D151" s="15">
        <f>COUNTIF('Itemized Calculation'!C:C,B151)</f>
        <v>1</v>
      </c>
      <c r="E151" s="42">
        <v>24.75</v>
      </c>
      <c r="F151" s="16">
        <f>SUMIF('Itemized Calculation'!C:C,B151,'Itemized Calculation'!K:K)</f>
        <v>21.42</v>
      </c>
      <c r="G151" s="16">
        <f t="shared" si="2"/>
        <v>3.3299999999999983</v>
      </c>
    </row>
    <row r="152" spans="1:7" ht="15" customHeight="1" x14ac:dyDescent="0.25">
      <c r="A152" s="15">
        <v>151</v>
      </c>
      <c r="B152" s="15" t="s">
        <v>783</v>
      </c>
      <c r="C152" s="15" t="s">
        <v>784</v>
      </c>
      <c r="D152" s="15">
        <f>COUNTIF('Itemized Calculation'!C:C,B152)</f>
        <v>1</v>
      </c>
      <c r="E152" s="42">
        <v>25.86</v>
      </c>
      <c r="F152" s="16">
        <f>SUMIF('Itemized Calculation'!C:C,B152,'Itemized Calculation'!K:K)</f>
        <v>25.745000000000001</v>
      </c>
      <c r="G152" s="16">
        <f t="shared" si="2"/>
        <v>0.11499999999999844</v>
      </c>
    </row>
    <row r="153" spans="1:7" ht="15" customHeight="1" x14ac:dyDescent="0.25">
      <c r="A153" s="15">
        <v>152</v>
      </c>
      <c r="B153" s="15" t="s">
        <v>787</v>
      </c>
      <c r="C153" s="15" t="s">
        <v>788</v>
      </c>
      <c r="D153" s="15">
        <f>COUNTIF('Itemized Calculation'!C:C,B153)</f>
        <v>1</v>
      </c>
      <c r="E153" s="42">
        <v>11.46</v>
      </c>
      <c r="F153" s="16">
        <f>SUMIF('Itemized Calculation'!C:C,B153,'Itemized Calculation'!K:K)</f>
        <v>10.395</v>
      </c>
      <c r="G153" s="16">
        <f t="shared" si="2"/>
        <v>1.0650000000000013</v>
      </c>
    </row>
    <row r="154" spans="1:7" ht="15" customHeight="1" x14ac:dyDescent="0.25">
      <c r="A154" s="15">
        <v>153</v>
      </c>
      <c r="B154" s="15" t="s">
        <v>790</v>
      </c>
      <c r="C154" s="15" t="s">
        <v>791</v>
      </c>
      <c r="D154" s="15">
        <f>COUNTIF('Itemized Calculation'!C:C,B154)</f>
        <v>1</v>
      </c>
      <c r="E154" s="42">
        <v>11.91</v>
      </c>
      <c r="F154" s="16">
        <f>SUMIF('Itemized Calculation'!C:C,B154,'Itemized Calculation'!K:K)</f>
        <v>10.88</v>
      </c>
      <c r="G154" s="16">
        <f t="shared" si="2"/>
        <v>1.0299999999999994</v>
      </c>
    </row>
    <row r="155" spans="1:7" ht="15" customHeight="1" x14ac:dyDescent="0.25">
      <c r="A155" s="15">
        <v>154</v>
      </c>
      <c r="B155" s="15" t="s">
        <v>794</v>
      </c>
      <c r="C155" s="15" t="s">
        <v>795</v>
      </c>
      <c r="D155" s="15">
        <f>COUNTIF('Itemized Calculation'!C:C,B155)</f>
        <v>1</v>
      </c>
      <c r="E155" s="42">
        <v>13.43</v>
      </c>
      <c r="F155" s="16">
        <f>SUMIF('Itemized Calculation'!C:C,B155,'Itemized Calculation'!K:K)</f>
        <v>12.276</v>
      </c>
      <c r="G155" s="16">
        <f t="shared" si="2"/>
        <v>1.1539999999999999</v>
      </c>
    </row>
    <row r="156" spans="1:7" ht="15" customHeight="1" x14ac:dyDescent="0.25">
      <c r="A156" s="15">
        <v>155</v>
      </c>
      <c r="B156" s="15" t="s">
        <v>797</v>
      </c>
      <c r="C156" s="15" t="s">
        <v>798</v>
      </c>
      <c r="D156" s="15">
        <f>COUNTIF('Itemized Calculation'!C:C,B156)</f>
        <v>1</v>
      </c>
      <c r="E156" s="42">
        <v>11.3</v>
      </c>
      <c r="F156" s="16">
        <f>SUMIF('Itemized Calculation'!C:C,B156,'Itemized Calculation'!K:K)</f>
        <v>10.593</v>
      </c>
      <c r="G156" s="16">
        <f t="shared" si="2"/>
        <v>0.70700000000000074</v>
      </c>
    </row>
    <row r="157" spans="1:7" ht="15" customHeight="1" x14ac:dyDescent="0.25">
      <c r="A157" s="15">
        <v>156</v>
      </c>
      <c r="B157" s="15" t="s">
        <v>97</v>
      </c>
      <c r="C157" s="15" t="s">
        <v>799</v>
      </c>
      <c r="D157" s="15">
        <f>COUNTIF('Itemized Calculation'!C:C,B157)</f>
        <v>1</v>
      </c>
      <c r="E157" s="42">
        <v>15.87</v>
      </c>
      <c r="F157" s="16">
        <f>SUMIF('Itemized Calculation'!C:C,B157,'Itemized Calculation'!K:K)</f>
        <v>16.245000000000001</v>
      </c>
      <c r="G157" s="16">
        <f t="shared" si="2"/>
        <v>-0.37500000000000178</v>
      </c>
    </row>
    <row r="158" spans="1:7" ht="15" customHeight="1" x14ac:dyDescent="0.25">
      <c r="A158" s="15">
        <v>157</v>
      </c>
      <c r="B158" s="15" t="s">
        <v>801</v>
      </c>
      <c r="C158" s="15" t="s">
        <v>802</v>
      </c>
      <c r="D158" s="15">
        <f>COUNTIF('Itemized Calculation'!C:C,B158)</f>
        <v>1</v>
      </c>
      <c r="E158" s="42">
        <v>46.75</v>
      </c>
      <c r="F158" s="16">
        <f>SUMIF('Itemized Calculation'!C:C,B158,'Itemized Calculation'!K:K)</f>
        <v>39.5</v>
      </c>
      <c r="G158" s="16">
        <f t="shared" si="2"/>
        <v>7.25</v>
      </c>
    </row>
    <row r="159" spans="1:7" ht="15" customHeight="1" x14ac:dyDescent="0.25">
      <c r="A159" s="15">
        <v>158</v>
      </c>
      <c r="B159" s="15" t="s">
        <v>805</v>
      </c>
      <c r="C159" s="15" t="s">
        <v>806</v>
      </c>
      <c r="D159" s="15">
        <f>COUNTIF('Itemized Calculation'!C:C,B159)</f>
        <v>1</v>
      </c>
      <c r="E159" s="42">
        <v>13.72</v>
      </c>
      <c r="F159" s="16">
        <f>SUMIF('Itemized Calculation'!C:C,B159,'Itemized Calculation'!K:K)</f>
        <v>13.365</v>
      </c>
      <c r="G159" s="16">
        <f t="shared" si="2"/>
        <v>0.35500000000000043</v>
      </c>
    </row>
    <row r="160" spans="1:7" ht="15" customHeight="1" x14ac:dyDescent="0.25">
      <c r="A160" s="15">
        <v>159</v>
      </c>
      <c r="B160" s="15" t="s">
        <v>808</v>
      </c>
      <c r="C160" s="15" t="s">
        <v>809</v>
      </c>
      <c r="D160" s="15">
        <f>COUNTIF('Itemized Calculation'!C:C,B160)</f>
        <v>1</v>
      </c>
      <c r="E160" s="42">
        <v>23.95</v>
      </c>
      <c r="F160" s="16">
        <f>SUMIF('Itemized Calculation'!C:C,B160,'Itemized Calculation'!K:K)</f>
        <v>0</v>
      </c>
      <c r="G160" s="16">
        <f t="shared" si="2"/>
        <v>23.95</v>
      </c>
    </row>
    <row r="161" spans="1:7" ht="15" customHeight="1" x14ac:dyDescent="0.25">
      <c r="A161" s="15">
        <v>160</v>
      </c>
      <c r="B161" s="15" t="s">
        <v>812</v>
      </c>
      <c r="C161" s="15" t="s">
        <v>813</v>
      </c>
      <c r="D161" s="15">
        <f>COUNTIF('Itemized Calculation'!C:C,B161)</f>
        <v>1</v>
      </c>
      <c r="E161" s="42">
        <v>13.72</v>
      </c>
      <c r="F161" s="16">
        <f>SUMIF('Itemized Calculation'!C:C,B161,'Itemized Calculation'!K:K)</f>
        <v>12.968999999999999</v>
      </c>
      <c r="G161" s="16">
        <f t="shared" si="2"/>
        <v>0.75100000000000122</v>
      </c>
    </row>
    <row r="162" spans="1:7" ht="15" customHeight="1" x14ac:dyDescent="0.25">
      <c r="A162" s="15">
        <v>161</v>
      </c>
      <c r="B162" s="15" t="s">
        <v>815</v>
      </c>
      <c r="C162" s="15" t="s">
        <v>816</v>
      </c>
      <c r="D162" s="15">
        <f>COUNTIF('Itemized Calculation'!C:C,B162)</f>
        <v>1</v>
      </c>
      <c r="E162" s="42">
        <v>55.69</v>
      </c>
      <c r="F162" s="16">
        <f>SUMIF('Itemized Calculation'!C:C,B162,'Itemized Calculation'!K:K)</f>
        <v>48.2</v>
      </c>
      <c r="G162" s="16">
        <f t="shared" si="2"/>
        <v>7.4899999999999949</v>
      </c>
    </row>
    <row r="163" spans="1:7" ht="15" customHeight="1" x14ac:dyDescent="0.25">
      <c r="A163" s="15">
        <v>162</v>
      </c>
      <c r="B163" s="15" t="s">
        <v>819</v>
      </c>
      <c r="C163" s="15" t="s">
        <v>820</v>
      </c>
      <c r="D163" s="15">
        <f>COUNTIF('Itemized Calculation'!C:C,B163)</f>
        <v>1</v>
      </c>
      <c r="E163" s="42">
        <v>13.43</v>
      </c>
      <c r="F163" s="16">
        <f>SUMIF('Itemized Calculation'!C:C,B163,'Itemized Calculation'!K:K)</f>
        <v>13.365</v>
      </c>
      <c r="G163" s="16">
        <f t="shared" si="2"/>
        <v>6.4999999999999503E-2</v>
      </c>
    </row>
    <row r="164" spans="1:7" ht="15" customHeight="1" x14ac:dyDescent="0.25">
      <c r="A164" s="15">
        <v>163</v>
      </c>
      <c r="B164" s="15" t="s">
        <v>822</v>
      </c>
      <c r="C164" s="15" t="s">
        <v>823</v>
      </c>
      <c r="D164" s="15">
        <f>COUNTIF('Itemized Calculation'!C:C,B164)</f>
        <v>1</v>
      </c>
      <c r="E164" s="42">
        <v>11.12</v>
      </c>
      <c r="F164" s="16">
        <f>SUMIF('Itemized Calculation'!C:C,B164,'Itemized Calculation'!K:K)</f>
        <v>10.151999999999999</v>
      </c>
      <c r="G164" s="16">
        <f t="shared" si="2"/>
        <v>0.96799999999999997</v>
      </c>
    </row>
    <row r="165" spans="1:7" ht="15" customHeight="1" x14ac:dyDescent="0.25">
      <c r="A165" s="15">
        <v>164</v>
      </c>
      <c r="B165" s="15" t="s">
        <v>826</v>
      </c>
      <c r="C165" s="15" t="s">
        <v>827</v>
      </c>
      <c r="D165" s="15">
        <f>COUNTIF('Itemized Calculation'!C:C,B165)</f>
        <v>1</v>
      </c>
      <c r="E165" s="42">
        <v>16.920000000000002</v>
      </c>
      <c r="F165" s="16">
        <f>SUMIF('Itemized Calculation'!C:C,B165,'Itemized Calculation'!K:K)</f>
        <v>14.04</v>
      </c>
      <c r="G165" s="16">
        <f t="shared" si="2"/>
        <v>2.8800000000000026</v>
      </c>
    </row>
    <row r="166" spans="1:7" ht="15" customHeight="1" x14ac:dyDescent="0.25">
      <c r="A166" s="15">
        <v>165</v>
      </c>
      <c r="B166" s="15" t="s">
        <v>249</v>
      </c>
      <c r="C166" s="15" t="s">
        <v>829</v>
      </c>
      <c r="D166" s="15">
        <f>COUNTIF('Itemized Calculation'!C:C,B166)</f>
        <v>1</v>
      </c>
      <c r="E166" s="42">
        <v>5.8</v>
      </c>
      <c r="F166" s="16">
        <f>SUMIF('Itemized Calculation'!C:C,B166,'Itemized Calculation'!K:K)</f>
        <v>5.794999999999999</v>
      </c>
      <c r="G166" s="16">
        <f t="shared" si="2"/>
        <v>5.0000000000007816E-3</v>
      </c>
    </row>
    <row r="167" spans="1:7" ht="15" customHeight="1" x14ac:dyDescent="0.25">
      <c r="A167" s="15">
        <v>166</v>
      </c>
      <c r="B167" s="15" t="s">
        <v>831</v>
      </c>
      <c r="C167" s="15" t="s">
        <v>832</v>
      </c>
      <c r="D167" s="15">
        <f>COUNTIF('Itemized Calculation'!C:C,B167)</f>
        <v>2</v>
      </c>
      <c r="E167" s="42">
        <v>58.11</v>
      </c>
      <c r="F167" s="16">
        <f>SUMIF('Itemized Calculation'!C:C,B167,'Itemized Calculation'!K:K)</f>
        <v>52.46</v>
      </c>
      <c r="G167" s="16">
        <f t="shared" si="2"/>
        <v>5.6499999999999986</v>
      </c>
    </row>
    <row r="168" spans="1:7" ht="15" customHeight="1" x14ac:dyDescent="0.25">
      <c r="A168" s="15">
        <v>167</v>
      </c>
      <c r="B168" s="15" t="s">
        <v>836</v>
      </c>
      <c r="C168" s="15" t="s">
        <v>837</v>
      </c>
      <c r="D168" s="15">
        <f>COUNTIF('Itemized Calculation'!C:C,B168)</f>
        <v>1</v>
      </c>
      <c r="E168" s="42">
        <v>15</v>
      </c>
      <c r="F168" s="16">
        <f>SUMIF('Itemized Calculation'!C:C,B168,'Itemized Calculation'!K:K)</f>
        <v>13.871</v>
      </c>
      <c r="G168" s="16">
        <f t="shared" si="2"/>
        <v>1.1289999999999996</v>
      </c>
    </row>
    <row r="169" spans="1:7" ht="15" customHeight="1" x14ac:dyDescent="0.25">
      <c r="A169" s="15">
        <v>168</v>
      </c>
      <c r="B169" s="15" t="s">
        <v>840</v>
      </c>
      <c r="C169" s="15" t="s">
        <v>841</v>
      </c>
      <c r="D169" s="15">
        <f>COUNTIF('Itemized Calculation'!C:C,B169)</f>
        <v>2</v>
      </c>
      <c r="E169" s="42">
        <v>18.38</v>
      </c>
      <c r="F169" s="16">
        <f>SUMIF('Itemized Calculation'!C:C,B169,'Itemized Calculation'!K:K)</f>
        <v>16.981999999999999</v>
      </c>
      <c r="G169" s="16">
        <f t="shared" si="2"/>
        <v>1.3979999999999997</v>
      </c>
    </row>
    <row r="170" spans="1:7" ht="15" customHeight="1" x14ac:dyDescent="0.25">
      <c r="A170" s="15">
        <v>169</v>
      </c>
      <c r="B170" s="15" t="s">
        <v>844</v>
      </c>
      <c r="C170" s="15" t="s">
        <v>845</v>
      </c>
      <c r="D170" s="15">
        <f>COUNTIF('Itemized Calculation'!C:C,B170)</f>
        <v>1</v>
      </c>
      <c r="E170" s="42">
        <v>54.82</v>
      </c>
      <c r="F170" s="16">
        <f>SUMIF('Itemized Calculation'!C:C,B170,'Itemized Calculation'!K:K)</f>
        <v>50.3</v>
      </c>
      <c r="G170" s="16">
        <f t="shared" si="2"/>
        <v>4.5200000000000031</v>
      </c>
    </row>
    <row r="171" spans="1:7" ht="15" customHeight="1" x14ac:dyDescent="0.25">
      <c r="A171" s="15">
        <v>170</v>
      </c>
      <c r="B171" s="15" t="s">
        <v>847</v>
      </c>
      <c r="C171" s="15" t="s">
        <v>848</v>
      </c>
      <c r="D171" s="15">
        <f>COUNTIF('Itemized Calculation'!C:C,B171)</f>
        <v>1</v>
      </c>
      <c r="E171" s="42">
        <v>47.72</v>
      </c>
      <c r="F171" s="16">
        <f>SUMIF('Itemized Calculation'!C:C,B171,'Itemized Calculation'!K:K)</f>
        <v>39.5</v>
      </c>
      <c r="G171" s="16">
        <f t="shared" si="2"/>
        <v>8.2199999999999989</v>
      </c>
    </row>
    <row r="172" spans="1:7" ht="15" customHeight="1" x14ac:dyDescent="0.25">
      <c r="A172" s="15">
        <v>171</v>
      </c>
      <c r="B172" s="15" t="s">
        <v>850</v>
      </c>
      <c r="C172" s="15" t="s">
        <v>851</v>
      </c>
      <c r="D172" s="15">
        <f>COUNTIF('Itemized Calculation'!C:C,B172)</f>
        <v>2</v>
      </c>
      <c r="E172" s="42">
        <v>26.37</v>
      </c>
      <c r="F172" s="16">
        <f>SUMIF('Itemized Calculation'!C:C,B172,'Itemized Calculation'!K:K)</f>
        <v>24.552</v>
      </c>
      <c r="G172" s="16">
        <f t="shared" si="2"/>
        <v>1.8180000000000014</v>
      </c>
    </row>
    <row r="173" spans="1:7" ht="15" customHeight="1" x14ac:dyDescent="0.25">
      <c r="A173" s="15">
        <v>172</v>
      </c>
      <c r="B173" s="15" t="s">
        <v>853</v>
      </c>
      <c r="C173" s="15" t="s">
        <v>854</v>
      </c>
      <c r="D173" s="15">
        <f>COUNTIF('Itemized Calculation'!C:C,B173)</f>
        <v>1</v>
      </c>
      <c r="E173" s="42">
        <v>13.43</v>
      </c>
      <c r="F173" s="16">
        <f>SUMIF('Itemized Calculation'!C:C,B173,'Itemized Calculation'!K:K)</f>
        <v>12.968999999999999</v>
      </c>
      <c r="G173" s="16">
        <f t="shared" si="2"/>
        <v>0.4610000000000003</v>
      </c>
    </row>
    <row r="174" spans="1:7" ht="15" customHeight="1" x14ac:dyDescent="0.25">
      <c r="A174" s="15">
        <v>173</v>
      </c>
      <c r="B174" s="15" t="s">
        <v>856</v>
      </c>
      <c r="C174" s="15" t="s">
        <v>857</v>
      </c>
      <c r="D174" s="15">
        <f>COUNTIF('Itemized Calculation'!C:C,B174)</f>
        <v>2</v>
      </c>
      <c r="E174" s="42">
        <v>30.4</v>
      </c>
      <c r="F174" s="16">
        <f>SUMIF('Itemized Calculation'!C:C,B174,'Itemized Calculation'!K:K)</f>
        <v>27.818999999999999</v>
      </c>
      <c r="G174" s="16">
        <f t="shared" si="2"/>
        <v>2.5809999999999995</v>
      </c>
    </row>
    <row r="175" spans="1:7" ht="15" customHeight="1" x14ac:dyDescent="0.25">
      <c r="A175" s="15">
        <v>174</v>
      </c>
      <c r="B175" s="15" t="s">
        <v>860</v>
      </c>
      <c r="C175" s="15" t="s">
        <v>861</v>
      </c>
      <c r="D175" s="15">
        <f>COUNTIF('Itemized Calculation'!C:C,B175)</f>
        <v>1</v>
      </c>
      <c r="E175" s="42">
        <v>28.07</v>
      </c>
      <c r="F175" s="16">
        <f>SUMIF('Itemized Calculation'!C:C,B175,'Itemized Calculation'!K:K)</f>
        <v>25.745000000000001</v>
      </c>
      <c r="G175" s="16">
        <f t="shared" si="2"/>
        <v>2.3249999999999993</v>
      </c>
    </row>
    <row r="176" spans="1:7" ht="15" customHeight="1" x14ac:dyDescent="0.25">
      <c r="A176" s="15">
        <v>175</v>
      </c>
      <c r="B176" s="15" t="s">
        <v>864</v>
      </c>
      <c r="C176" s="15" t="s">
        <v>865</v>
      </c>
      <c r="D176" s="15">
        <f>COUNTIF('Itemized Calculation'!C:C,B176)</f>
        <v>1</v>
      </c>
      <c r="E176" s="42">
        <v>7.76</v>
      </c>
      <c r="F176" s="16">
        <f>SUMIF('Itemized Calculation'!C:C,B176,'Itemized Calculation'!K:K)</f>
        <v>7.0200000000000005</v>
      </c>
      <c r="G176" s="16">
        <f t="shared" si="2"/>
        <v>0.73999999999999932</v>
      </c>
    </row>
    <row r="177" spans="1:7" ht="15" customHeight="1" x14ac:dyDescent="0.25">
      <c r="A177" s="15">
        <v>176</v>
      </c>
      <c r="B177" s="15" t="s">
        <v>868</v>
      </c>
      <c r="C177" s="15" t="s">
        <v>869</v>
      </c>
      <c r="D177" s="15">
        <f>COUNTIF('Itemized Calculation'!C:C,B177)</f>
        <v>1</v>
      </c>
      <c r="E177" s="42">
        <v>15.3</v>
      </c>
      <c r="F177" s="16">
        <f>SUMIF('Itemized Calculation'!C:C,B177,'Itemized Calculation'!K:K)</f>
        <v>14.64</v>
      </c>
      <c r="G177" s="16">
        <f t="shared" si="2"/>
        <v>0.66000000000000014</v>
      </c>
    </row>
    <row r="178" spans="1:7" ht="15" customHeight="1" x14ac:dyDescent="0.25">
      <c r="A178" s="15">
        <v>177</v>
      </c>
      <c r="B178" s="15" t="s">
        <v>872</v>
      </c>
      <c r="C178" s="15" t="s">
        <v>873</v>
      </c>
      <c r="D178" s="15">
        <f>COUNTIF('Itemized Calculation'!C:C,B178)</f>
        <v>1</v>
      </c>
      <c r="E178" s="42">
        <v>21.46</v>
      </c>
      <c r="F178" s="16">
        <f>SUMIF('Itemized Calculation'!C:C,B178,'Itemized Calculation'!K:K)</f>
        <v>19.894000000000002</v>
      </c>
      <c r="G178" s="16">
        <f t="shared" si="2"/>
        <v>1.5659999999999989</v>
      </c>
    </row>
    <row r="179" spans="1:7" ht="15" customHeight="1" x14ac:dyDescent="0.25">
      <c r="A179" s="15">
        <v>178</v>
      </c>
      <c r="B179" s="15" t="s">
        <v>223</v>
      </c>
      <c r="C179" s="15" t="s">
        <v>875</v>
      </c>
      <c r="D179" s="15">
        <f>COUNTIF('Itemized Calculation'!C:C,B179)</f>
        <v>2</v>
      </c>
      <c r="E179" s="42">
        <v>58.56</v>
      </c>
      <c r="F179" s="16">
        <f>SUMIF('Itemized Calculation'!C:C,B179,'Itemized Calculation'!K:K)</f>
        <v>55.836000000000006</v>
      </c>
      <c r="G179" s="16">
        <f t="shared" si="2"/>
        <v>2.7239999999999966</v>
      </c>
    </row>
    <row r="180" spans="1:7" ht="15" customHeight="1" x14ac:dyDescent="0.25">
      <c r="A180" s="15">
        <v>179</v>
      </c>
      <c r="B180" s="15" t="s">
        <v>877</v>
      </c>
      <c r="C180" s="15" t="s">
        <v>878</v>
      </c>
      <c r="D180" s="15">
        <f>COUNTIF('Itemized Calculation'!C:C,B180)</f>
        <v>1</v>
      </c>
      <c r="E180" s="42">
        <v>7.39</v>
      </c>
      <c r="F180" s="16">
        <f>SUMIF('Itemized Calculation'!C:C,B180,'Itemized Calculation'!K:K)</f>
        <v>7.0400000000000009</v>
      </c>
      <c r="G180" s="16">
        <f t="shared" si="2"/>
        <v>0.34999999999999876</v>
      </c>
    </row>
    <row r="181" spans="1:7" ht="15" customHeight="1" x14ac:dyDescent="0.25">
      <c r="A181" s="15">
        <v>180</v>
      </c>
      <c r="B181" s="15" t="s">
        <v>881</v>
      </c>
      <c r="C181" s="15" t="s">
        <v>882</v>
      </c>
      <c r="D181" s="15">
        <f>COUNTIF('Itemized Calculation'!C:C,B181)</f>
        <v>1</v>
      </c>
      <c r="E181" s="42">
        <v>15.89</v>
      </c>
      <c r="F181" s="16">
        <f>SUMIF('Itemized Calculation'!C:C,B181,'Itemized Calculation'!K:K)</f>
        <v>15.484999999999999</v>
      </c>
      <c r="G181" s="16">
        <f t="shared" si="2"/>
        <v>0.40500000000000114</v>
      </c>
    </row>
    <row r="182" spans="1:7" ht="15" customHeight="1" x14ac:dyDescent="0.25">
      <c r="A182" s="15">
        <v>181</v>
      </c>
      <c r="B182" s="15" t="s">
        <v>246</v>
      </c>
      <c r="C182" s="15" t="s">
        <v>884</v>
      </c>
      <c r="D182" s="15">
        <f>COUNTIF('Itemized Calculation'!C:C,B182)</f>
        <v>2</v>
      </c>
      <c r="E182" s="42">
        <v>36.58</v>
      </c>
      <c r="F182" s="16">
        <f>SUMIF('Itemized Calculation'!C:C,B182,'Itemized Calculation'!K:K)</f>
        <v>30.875</v>
      </c>
      <c r="G182" s="16">
        <f t="shared" si="2"/>
        <v>5.7049999999999983</v>
      </c>
    </row>
    <row r="183" spans="1:7" ht="15" customHeight="1" x14ac:dyDescent="0.25">
      <c r="A183" s="15">
        <v>182</v>
      </c>
      <c r="B183" s="15" t="s">
        <v>886</v>
      </c>
      <c r="C183" s="15" t="s">
        <v>887</v>
      </c>
      <c r="D183" s="15">
        <f>COUNTIF('Itemized Calculation'!C:C,B183)</f>
        <v>1</v>
      </c>
      <c r="E183" s="42">
        <v>19.010000000000002</v>
      </c>
      <c r="F183" s="16">
        <f>SUMIF('Itemized Calculation'!C:C,B183,'Itemized Calculation'!K:K)</f>
        <v>16.984000000000002</v>
      </c>
      <c r="G183" s="16">
        <f t="shared" si="2"/>
        <v>2.0259999999999998</v>
      </c>
    </row>
    <row r="184" spans="1:7" ht="15" customHeight="1" x14ac:dyDescent="0.25">
      <c r="A184" s="15">
        <v>183</v>
      </c>
      <c r="B184" s="15" t="s">
        <v>890</v>
      </c>
      <c r="C184" s="15" t="s">
        <v>891</v>
      </c>
      <c r="D184" s="15">
        <f>COUNTIF('Itemized Calculation'!C:C,B184)</f>
        <v>1</v>
      </c>
      <c r="E184" s="42">
        <v>188.86</v>
      </c>
      <c r="F184" s="16">
        <f>SUMIF('Itemized Calculation'!C:C,B184,'Itemized Calculation'!K:K)</f>
        <v>184.142</v>
      </c>
      <c r="G184" s="16">
        <f t="shared" si="2"/>
        <v>4.7180000000000177</v>
      </c>
    </row>
    <row r="185" spans="1:7" ht="15" customHeight="1" x14ac:dyDescent="0.25">
      <c r="A185" s="15">
        <v>184</v>
      </c>
      <c r="B185" s="15" t="s">
        <v>894</v>
      </c>
      <c r="C185" s="15" t="s">
        <v>895</v>
      </c>
      <c r="D185" s="15">
        <f>COUNTIF('Itemized Calculation'!C:C,B185)</f>
        <v>1</v>
      </c>
      <c r="E185" s="42">
        <v>14.2</v>
      </c>
      <c r="F185" s="16">
        <f>SUMIF('Itemized Calculation'!C:C,B185,'Itemized Calculation'!K:K)</f>
        <v>11.408000000000001</v>
      </c>
      <c r="G185" s="16">
        <f t="shared" si="2"/>
        <v>2.791999999999998</v>
      </c>
    </row>
    <row r="186" spans="1:7" ht="15" customHeight="1" x14ac:dyDescent="0.25">
      <c r="A186" s="15">
        <v>185</v>
      </c>
      <c r="B186" s="15" t="s">
        <v>898</v>
      </c>
      <c r="C186" s="15" t="s">
        <v>899</v>
      </c>
      <c r="D186" s="15">
        <f>COUNTIF('Itemized Calculation'!C:C,B186)</f>
        <v>1</v>
      </c>
      <c r="E186" s="42">
        <v>16.82</v>
      </c>
      <c r="F186" s="16">
        <f>SUMIF('Itemized Calculation'!C:C,B186,'Itemized Calculation'!K:K)</f>
        <v>15.642000000000001</v>
      </c>
      <c r="G186" s="16">
        <f t="shared" si="2"/>
        <v>1.177999999999999</v>
      </c>
    </row>
    <row r="187" spans="1:7" ht="15" customHeight="1" x14ac:dyDescent="0.25">
      <c r="A187" s="15">
        <v>186</v>
      </c>
      <c r="B187" s="15" t="s">
        <v>901</v>
      </c>
      <c r="C187" s="15" t="s">
        <v>902</v>
      </c>
      <c r="D187" s="15">
        <f>COUNTIF('Itemized Calculation'!C:C,B187)</f>
        <v>1</v>
      </c>
      <c r="E187" s="42">
        <v>13.59</v>
      </c>
      <c r="F187" s="16">
        <f>SUMIF('Itemized Calculation'!C:C,B187,'Itemized Calculation'!K:K)</f>
        <v>13.1</v>
      </c>
      <c r="G187" s="16">
        <f t="shared" si="2"/>
        <v>0.49000000000000021</v>
      </c>
    </row>
    <row r="188" spans="1:7" ht="15" customHeight="1" x14ac:dyDescent="0.25">
      <c r="A188" s="15">
        <v>187</v>
      </c>
      <c r="B188" s="15" t="s">
        <v>905</v>
      </c>
      <c r="C188" s="15" t="s">
        <v>906</v>
      </c>
      <c r="D188" s="15">
        <f>COUNTIF('Itemized Calculation'!C:C,B188)</f>
        <v>1</v>
      </c>
      <c r="E188" s="42">
        <v>16.3</v>
      </c>
      <c r="F188" s="16">
        <f>SUMIF('Itemized Calculation'!C:C,B188,'Itemized Calculation'!K:K)</f>
        <v>13.950000000000001</v>
      </c>
      <c r="G188" s="16">
        <f t="shared" si="2"/>
        <v>2.3499999999999996</v>
      </c>
    </row>
    <row r="189" spans="1:7" ht="15" customHeight="1" x14ac:dyDescent="0.25">
      <c r="A189" s="15">
        <v>188</v>
      </c>
      <c r="B189" s="15" t="s">
        <v>909</v>
      </c>
      <c r="C189" s="15" t="s">
        <v>910</v>
      </c>
      <c r="D189" s="15">
        <f>COUNTIF('Itemized Calculation'!C:C,B189)</f>
        <v>1</v>
      </c>
      <c r="E189" s="42">
        <v>9.17</v>
      </c>
      <c r="F189" s="16">
        <f>SUMIF('Itemized Calculation'!C:C,B189,'Itemized Calculation'!K:K)</f>
        <v>8.2649999999999988</v>
      </c>
      <c r="G189" s="16">
        <f t="shared" si="2"/>
        <v>0.90500000000000114</v>
      </c>
    </row>
    <row r="190" spans="1:7" ht="15" customHeight="1" x14ac:dyDescent="0.25">
      <c r="A190" s="15">
        <v>189</v>
      </c>
      <c r="B190" s="15" t="s">
        <v>913</v>
      </c>
      <c r="C190" s="15" t="s">
        <v>914</v>
      </c>
      <c r="D190" s="15">
        <f>COUNTIF('Itemized Calculation'!C:C,B190)</f>
        <v>2</v>
      </c>
      <c r="E190" s="42">
        <v>26.9</v>
      </c>
      <c r="F190" s="16">
        <f>SUMIF('Itemized Calculation'!C:C,B190,'Itemized Calculation'!K:K)</f>
        <v>26.334</v>
      </c>
      <c r="G190" s="16">
        <f t="shared" si="2"/>
        <v>0.56599999999999895</v>
      </c>
    </row>
    <row r="191" spans="1:7" ht="15" customHeight="1" x14ac:dyDescent="0.25">
      <c r="A191" s="15">
        <v>190</v>
      </c>
      <c r="B191" s="15" t="s">
        <v>916</v>
      </c>
      <c r="C191" s="15" t="s">
        <v>917</v>
      </c>
      <c r="D191" s="15">
        <f>COUNTIF('Itemized Calculation'!C:C,B191)</f>
        <v>1</v>
      </c>
      <c r="E191" s="42">
        <v>13.45</v>
      </c>
      <c r="F191" s="16">
        <f>SUMIF('Itemized Calculation'!C:C,B191,'Itemized Calculation'!K:K)</f>
        <v>12.968999999999999</v>
      </c>
      <c r="G191" s="16">
        <f t="shared" si="2"/>
        <v>0.48099999999999987</v>
      </c>
    </row>
    <row r="192" spans="1:7" ht="15" customHeight="1" x14ac:dyDescent="0.25">
      <c r="A192" s="15">
        <v>191</v>
      </c>
      <c r="B192" s="15" t="s">
        <v>919</v>
      </c>
      <c r="C192" s="15" t="s">
        <v>920</v>
      </c>
      <c r="D192" s="15">
        <f>COUNTIF('Itemized Calculation'!C:C,B192)</f>
        <v>1</v>
      </c>
      <c r="E192" s="42">
        <v>22.98</v>
      </c>
      <c r="F192" s="16">
        <f>SUMIF('Itemized Calculation'!C:C,B192,'Itemized Calculation'!K:K)</f>
        <v>21.186</v>
      </c>
      <c r="G192" s="16">
        <f t="shared" si="2"/>
        <v>1.7940000000000005</v>
      </c>
    </row>
    <row r="193" spans="1:7" ht="15" customHeight="1" x14ac:dyDescent="0.25">
      <c r="A193" s="15">
        <v>192</v>
      </c>
      <c r="B193" s="15" t="s">
        <v>922</v>
      </c>
      <c r="C193" s="15" t="s">
        <v>923</v>
      </c>
      <c r="D193" s="15">
        <f>COUNTIF('Itemized Calculation'!C:C,B193)</f>
        <v>1</v>
      </c>
      <c r="E193" s="42">
        <v>13.72</v>
      </c>
      <c r="F193" s="16">
        <f>SUMIF('Itemized Calculation'!C:C,B193,'Itemized Calculation'!K:K)</f>
        <v>13.365</v>
      </c>
      <c r="G193" s="16">
        <f t="shared" si="2"/>
        <v>0.35500000000000043</v>
      </c>
    </row>
    <row r="194" spans="1:7" ht="15" customHeight="1" x14ac:dyDescent="0.25">
      <c r="A194" s="15">
        <v>193</v>
      </c>
      <c r="B194" s="15" t="s">
        <v>925</v>
      </c>
      <c r="C194" s="15" t="s">
        <v>926</v>
      </c>
      <c r="D194" s="15">
        <f>COUNTIF('Itemized Calculation'!C:C,B194)</f>
        <v>1</v>
      </c>
      <c r="E194" s="42">
        <v>13.43</v>
      </c>
      <c r="F194" s="16">
        <f>SUMIF('Itemized Calculation'!C:C,B194,'Itemized Calculation'!K:K)</f>
        <v>12.276</v>
      </c>
      <c r="G194" s="16">
        <f t="shared" ref="G194:G257" si="3">E194-F194</f>
        <v>1.1539999999999999</v>
      </c>
    </row>
    <row r="195" spans="1:7" ht="15" customHeight="1" x14ac:dyDescent="0.25">
      <c r="A195" s="15">
        <v>194</v>
      </c>
      <c r="B195" s="15" t="s">
        <v>928</v>
      </c>
      <c r="C195" s="15" t="s">
        <v>929</v>
      </c>
      <c r="D195" s="15">
        <f>COUNTIF('Itemized Calculation'!C:C,B195)</f>
        <v>1</v>
      </c>
      <c r="E195" s="42">
        <v>53.94</v>
      </c>
      <c r="F195" s="16">
        <f>SUMIF('Itemized Calculation'!C:C,B195,'Itemized Calculation'!K:K)</f>
        <v>50.3</v>
      </c>
      <c r="G195" s="16">
        <f t="shared" si="3"/>
        <v>3.6400000000000006</v>
      </c>
    </row>
    <row r="196" spans="1:7" ht="15" customHeight="1" x14ac:dyDescent="0.25">
      <c r="A196" s="15">
        <v>195</v>
      </c>
      <c r="B196" s="15" t="s">
        <v>932</v>
      </c>
      <c r="C196" s="15" t="s">
        <v>933</v>
      </c>
      <c r="D196" s="15">
        <f>COUNTIF('Itemized Calculation'!C:C,B196)</f>
        <v>1</v>
      </c>
      <c r="E196" s="42">
        <v>25.93</v>
      </c>
      <c r="F196" s="16">
        <f>SUMIF('Itemized Calculation'!C:C,B196,'Itemized Calculation'!K:K)</f>
        <v>23.618000000000002</v>
      </c>
      <c r="G196" s="16">
        <f t="shared" si="3"/>
        <v>2.3119999999999976</v>
      </c>
    </row>
    <row r="197" spans="1:7" ht="15" customHeight="1" x14ac:dyDescent="0.25">
      <c r="A197" s="15">
        <v>196</v>
      </c>
      <c r="B197" s="15" t="s">
        <v>936</v>
      </c>
      <c r="C197" s="15" t="s">
        <v>937</v>
      </c>
      <c r="D197" s="15">
        <f>COUNTIF('Itemized Calculation'!C:C,B197)</f>
        <v>1</v>
      </c>
      <c r="E197" s="42">
        <v>13.53</v>
      </c>
      <c r="F197" s="16">
        <f>SUMIF('Itemized Calculation'!C:C,B197,'Itemized Calculation'!K:K)</f>
        <v>12.968999999999999</v>
      </c>
      <c r="G197" s="16">
        <f t="shared" si="3"/>
        <v>0.56099999999999994</v>
      </c>
    </row>
    <row r="198" spans="1:7" ht="15" customHeight="1" x14ac:dyDescent="0.25">
      <c r="A198" s="15">
        <v>197</v>
      </c>
      <c r="B198" s="15" t="s">
        <v>939</v>
      </c>
      <c r="C198" s="15" t="s">
        <v>940</v>
      </c>
      <c r="D198" s="15">
        <f>COUNTIF('Itemized Calculation'!C:C,B198)</f>
        <v>1</v>
      </c>
      <c r="E198" s="42">
        <v>13.72</v>
      </c>
      <c r="F198" s="16">
        <f>SUMIF('Itemized Calculation'!C:C,B198,'Itemized Calculation'!K:K)</f>
        <v>13.068</v>
      </c>
      <c r="G198" s="16">
        <f t="shared" si="3"/>
        <v>0.65200000000000102</v>
      </c>
    </row>
    <row r="199" spans="1:7" ht="15" customHeight="1" x14ac:dyDescent="0.25">
      <c r="A199" s="15">
        <v>198</v>
      </c>
      <c r="B199" s="15" t="s">
        <v>942</v>
      </c>
      <c r="C199" s="15" t="s">
        <v>943</v>
      </c>
      <c r="D199" s="15">
        <f>COUNTIF('Itemized Calculation'!C:C,B199)</f>
        <v>1</v>
      </c>
      <c r="E199" s="42">
        <v>10.98</v>
      </c>
      <c r="F199" s="16">
        <f>SUMIF('Itemized Calculation'!C:C,B199,'Itemized Calculation'!K:K)</f>
        <v>10.494</v>
      </c>
      <c r="G199" s="16">
        <f t="shared" si="3"/>
        <v>0.48600000000000065</v>
      </c>
    </row>
    <row r="200" spans="1:7" ht="15" customHeight="1" x14ac:dyDescent="0.25">
      <c r="A200" s="15">
        <v>199</v>
      </c>
      <c r="B200" s="15" t="s">
        <v>945</v>
      </c>
      <c r="C200" s="15" t="s">
        <v>946</v>
      </c>
      <c r="D200" s="15">
        <f>COUNTIF('Itemized Calculation'!C:C,B200)</f>
        <v>1</v>
      </c>
      <c r="E200" s="42">
        <v>19.09</v>
      </c>
      <c r="F200" s="16">
        <f>SUMIF('Itemized Calculation'!C:C,B200,'Itemized Calculation'!K:K)</f>
        <v>18.612000000000002</v>
      </c>
      <c r="G200" s="16">
        <f t="shared" si="3"/>
        <v>0.47799999999999798</v>
      </c>
    </row>
    <row r="201" spans="1:7" ht="15" customHeight="1" x14ac:dyDescent="0.25">
      <c r="A201" s="15">
        <v>200</v>
      </c>
      <c r="B201" s="15" t="s">
        <v>948</v>
      </c>
      <c r="C201" s="15" t="s">
        <v>949</v>
      </c>
      <c r="D201" s="15">
        <f>COUNTIF('Itemized Calculation'!C:C,B201)</f>
        <v>2</v>
      </c>
      <c r="E201" s="42">
        <v>52.48</v>
      </c>
      <c r="F201" s="16">
        <f>SUMIF('Itemized Calculation'!C:C,B201,'Itemized Calculation'!K:K)</f>
        <v>49.140999999999998</v>
      </c>
      <c r="G201" s="16">
        <f t="shared" si="3"/>
        <v>3.3389999999999986</v>
      </c>
    </row>
    <row r="202" spans="1:7" ht="15" customHeight="1" x14ac:dyDescent="0.25">
      <c r="A202" s="15">
        <v>201</v>
      </c>
      <c r="B202" s="15" t="s">
        <v>952</v>
      </c>
      <c r="C202" s="15" t="s">
        <v>953</v>
      </c>
      <c r="D202" s="15">
        <f>COUNTIF('Itemized Calculation'!C:C,B202)</f>
        <v>1</v>
      </c>
      <c r="E202" s="42">
        <v>40.049999999999997</v>
      </c>
      <c r="F202" s="16">
        <f>SUMIF('Itemized Calculation'!C:C,B202,'Itemized Calculation'!K:K)</f>
        <v>41.085000000000001</v>
      </c>
      <c r="G202" s="16">
        <f t="shared" si="3"/>
        <v>-1.0350000000000037</v>
      </c>
    </row>
    <row r="203" spans="1:7" ht="15" customHeight="1" x14ac:dyDescent="0.25">
      <c r="A203" s="15">
        <v>202</v>
      </c>
      <c r="B203" s="15" t="s">
        <v>955</v>
      </c>
      <c r="C203" s="15" t="s">
        <v>956</v>
      </c>
      <c r="D203" s="15">
        <f>COUNTIF('Itemized Calculation'!C:C,B203)</f>
        <v>1</v>
      </c>
      <c r="E203" s="42">
        <v>42.8</v>
      </c>
      <c r="F203" s="16">
        <f>SUMIF('Itemized Calculation'!C:C,B203,'Itemized Calculation'!K:K)</f>
        <v>38</v>
      </c>
      <c r="G203" s="16">
        <f t="shared" si="3"/>
        <v>4.7999999999999972</v>
      </c>
    </row>
    <row r="204" spans="1:7" ht="15" customHeight="1" x14ac:dyDescent="0.25">
      <c r="A204" s="15">
        <v>203</v>
      </c>
      <c r="B204" s="15" t="s">
        <v>958</v>
      </c>
      <c r="C204" s="15" t="s">
        <v>959</v>
      </c>
      <c r="D204" s="15">
        <f>COUNTIF('Itemized Calculation'!C:C,B204)</f>
        <v>2</v>
      </c>
      <c r="E204" s="42">
        <v>23.46</v>
      </c>
      <c r="F204" s="16">
        <f>SUMIF('Itemized Calculation'!C:C,B204,'Itemized Calculation'!K:K)</f>
        <v>21.087</v>
      </c>
      <c r="G204" s="16">
        <f t="shared" si="3"/>
        <v>2.3730000000000011</v>
      </c>
    </row>
    <row r="205" spans="1:7" ht="15" customHeight="1" x14ac:dyDescent="0.25">
      <c r="A205" s="15">
        <v>204</v>
      </c>
      <c r="B205" s="15" t="s">
        <v>961</v>
      </c>
      <c r="C205" s="15" t="s">
        <v>962</v>
      </c>
      <c r="D205" s="15">
        <f>COUNTIF('Itemized Calculation'!C:C,B205)</f>
        <v>1</v>
      </c>
      <c r="E205" s="42">
        <v>11.46</v>
      </c>
      <c r="F205" s="16">
        <f>SUMIF('Itemized Calculation'!C:C,B205,'Itemized Calculation'!K:K)</f>
        <v>9.6000000000000014</v>
      </c>
      <c r="G205" s="16">
        <f t="shared" si="3"/>
        <v>1.8599999999999994</v>
      </c>
    </row>
    <row r="206" spans="1:7" ht="15" customHeight="1" x14ac:dyDescent="0.25">
      <c r="A206" s="15">
        <v>205</v>
      </c>
      <c r="B206" s="15" t="s">
        <v>965</v>
      </c>
      <c r="C206" s="15" t="s">
        <v>966</v>
      </c>
      <c r="D206" s="15">
        <f>COUNTIF('Itemized Calculation'!C:C,B206)</f>
        <v>2</v>
      </c>
      <c r="E206" s="42">
        <v>39.79</v>
      </c>
      <c r="F206" s="16">
        <f>SUMIF('Itemized Calculation'!C:C,B206,'Itemized Calculation'!K:K)</f>
        <v>35.6</v>
      </c>
      <c r="G206" s="16">
        <f t="shared" si="3"/>
        <v>4.1899999999999977</v>
      </c>
    </row>
    <row r="207" spans="1:7" ht="15" customHeight="1" x14ac:dyDescent="0.25">
      <c r="A207" s="15">
        <v>206</v>
      </c>
      <c r="B207" s="15" t="s">
        <v>970</v>
      </c>
      <c r="C207" s="15" t="s">
        <v>971</v>
      </c>
      <c r="D207" s="15">
        <f>COUNTIF('Itemized Calculation'!C:C,B207)</f>
        <v>1</v>
      </c>
      <c r="E207" s="42">
        <v>13.75</v>
      </c>
      <c r="F207" s="16">
        <f>SUMIF('Itemized Calculation'!C:C,B207,'Itemized Calculation'!K:K)</f>
        <v>12.968999999999999</v>
      </c>
      <c r="G207" s="16">
        <f t="shared" si="3"/>
        <v>0.78100000000000058</v>
      </c>
    </row>
    <row r="208" spans="1:7" ht="15" customHeight="1" x14ac:dyDescent="0.25">
      <c r="A208" s="15">
        <v>207</v>
      </c>
      <c r="B208" s="15" t="s">
        <v>974</v>
      </c>
      <c r="C208" s="15" t="s">
        <v>975</v>
      </c>
      <c r="D208" s="15">
        <f>COUNTIF('Itemized Calculation'!C:C,B208)</f>
        <v>1</v>
      </c>
      <c r="E208" s="42">
        <v>19.52</v>
      </c>
      <c r="F208" s="16">
        <f>SUMIF('Itemized Calculation'!C:C,B208,'Itemized Calculation'!K:K)</f>
        <v>16.899999999999999</v>
      </c>
      <c r="G208" s="16">
        <f t="shared" si="3"/>
        <v>2.620000000000001</v>
      </c>
    </row>
    <row r="209" spans="1:7" ht="15" customHeight="1" x14ac:dyDescent="0.25">
      <c r="A209" s="15">
        <v>208</v>
      </c>
      <c r="B209" s="15" t="s">
        <v>978</v>
      </c>
      <c r="C209" s="15" t="s">
        <v>979</v>
      </c>
      <c r="D209" s="15">
        <f>COUNTIF('Itemized Calculation'!C:C,B209)</f>
        <v>1</v>
      </c>
      <c r="E209" s="42">
        <v>29.05</v>
      </c>
      <c r="F209" s="16">
        <f>SUMIF('Itemized Calculation'!C:C,B209,'Itemized Calculation'!K:K)</f>
        <v>31.184999999999999</v>
      </c>
      <c r="G209" s="16">
        <f t="shared" si="3"/>
        <v>-2.134999999999998</v>
      </c>
    </row>
    <row r="210" spans="1:7" ht="15" customHeight="1" x14ac:dyDescent="0.25">
      <c r="A210" s="15">
        <v>209</v>
      </c>
      <c r="B210" s="15" t="s">
        <v>981</v>
      </c>
      <c r="C210" s="15" t="s">
        <v>982</v>
      </c>
      <c r="D210" s="15">
        <f>COUNTIF('Itemized Calculation'!C:C,B210)</f>
        <v>1</v>
      </c>
      <c r="E210" s="42">
        <v>25.49</v>
      </c>
      <c r="F210" s="16">
        <f>SUMIF('Itemized Calculation'!C:C,B210,'Itemized Calculation'!K:K)</f>
        <v>22.61</v>
      </c>
      <c r="G210" s="16">
        <f t="shared" si="3"/>
        <v>2.879999999999999</v>
      </c>
    </row>
    <row r="211" spans="1:7" ht="15" customHeight="1" x14ac:dyDescent="0.25">
      <c r="A211" s="15">
        <v>210</v>
      </c>
      <c r="B211" s="15" t="s">
        <v>985</v>
      </c>
      <c r="C211" s="15" t="s">
        <v>986</v>
      </c>
      <c r="D211" s="15">
        <f>COUNTIF('Itemized Calculation'!C:C,B211)</f>
        <v>1</v>
      </c>
      <c r="E211" s="42">
        <v>13.5</v>
      </c>
      <c r="F211" s="16">
        <f>SUMIF('Itemized Calculation'!C:C,B211,'Itemized Calculation'!K:K)</f>
        <v>13.068</v>
      </c>
      <c r="G211" s="16">
        <f t="shared" si="3"/>
        <v>0.43200000000000038</v>
      </c>
    </row>
    <row r="212" spans="1:7" ht="15" customHeight="1" x14ac:dyDescent="0.25">
      <c r="A212" s="15">
        <v>211</v>
      </c>
      <c r="B212" s="15" t="s">
        <v>988</v>
      </c>
      <c r="C212" s="15" t="s">
        <v>989</v>
      </c>
      <c r="D212" s="15">
        <f>COUNTIF('Itemized Calculation'!C:C,B212)</f>
        <v>1</v>
      </c>
      <c r="E212" s="42">
        <v>13.43</v>
      </c>
      <c r="F212" s="16">
        <f>SUMIF('Itemized Calculation'!C:C,B212,'Itemized Calculation'!K:K)</f>
        <v>13.068</v>
      </c>
      <c r="G212" s="16">
        <f t="shared" si="3"/>
        <v>0.3620000000000001</v>
      </c>
    </row>
    <row r="213" spans="1:7" ht="15" customHeight="1" x14ac:dyDescent="0.25">
      <c r="A213" s="15">
        <v>212</v>
      </c>
      <c r="B213" s="15" t="s">
        <v>991</v>
      </c>
      <c r="C213" s="15" t="s">
        <v>992</v>
      </c>
      <c r="D213" s="15">
        <f>COUNTIF('Itemized Calculation'!C:C,B213)</f>
        <v>1</v>
      </c>
      <c r="E213" s="42">
        <v>11.46</v>
      </c>
      <c r="F213" s="16">
        <f>SUMIF('Itemized Calculation'!C:C,B213,'Itemized Calculation'!K:K)</f>
        <v>10.395</v>
      </c>
      <c r="G213" s="16">
        <f t="shared" si="3"/>
        <v>1.0650000000000013</v>
      </c>
    </row>
    <row r="214" spans="1:7" ht="15" customHeight="1" x14ac:dyDescent="0.25">
      <c r="A214" s="15">
        <v>213</v>
      </c>
      <c r="B214" s="15" t="s">
        <v>995</v>
      </c>
      <c r="C214" s="15" t="s">
        <v>996</v>
      </c>
      <c r="D214" s="15">
        <f>COUNTIF('Itemized Calculation'!C:C,B214)</f>
        <v>1</v>
      </c>
      <c r="E214" s="42">
        <v>18.55</v>
      </c>
      <c r="F214" s="16">
        <f>SUMIF('Itemized Calculation'!C:C,B214,'Itemized Calculation'!K:K)</f>
        <v>17.385000000000002</v>
      </c>
      <c r="G214" s="16">
        <f t="shared" si="3"/>
        <v>1.1649999999999991</v>
      </c>
    </row>
    <row r="215" spans="1:7" ht="15" customHeight="1" x14ac:dyDescent="0.25">
      <c r="A215" s="15">
        <v>214</v>
      </c>
      <c r="B215" s="15" t="s">
        <v>168</v>
      </c>
      <c r="C215" s="15" t="s">
        <v>998</v>
      </c>
      <c r="D215" s="15">
        <f>COUNTIF('Itemized Calculation'!C:C,B215)</f>
        <v>1</v>
      </c>
      <c r="E215" s="42">
        <v>17.899999999999999</v>
      </c>
      <c r="F215" s="16">
        <f>SUMIF('Itemized Calculation'!C:C,B215,'Itemized Calculation'!K:K)</f>
        <v>17.385000000000002</v>
      </c>
      <c r="G215" s="16">
        <f t="shared" si="3"/>
        <v>0.51499999999999702</v>
      </c>
    </row>
    <row r="216" spans="1:7" ht="15" customHeight="1" x14ac:dyDescent="0.25">
      <c r="A216" s="15">
        <v>215</v>
      </c>
      <c r="B216" s="15" t="s">
        <v>1000</v>
      </c>
      <c r="C216" s="15" t="s">
        <v>1001</v>
      </c>
      <c r="D216" s="15">
        <f>COUNTIF('Itemized Calculation'!C:C,B216)</f>
        <v>1</v>
      </c>
      <c r="E216" s="42">
        <v>18.96</v>
      </c>
      <c r="F216" s="16">
        <f>SUMIF('Itemized Calculation'!C:C,B216,'Itemized Calculation'!K:K)</f>
        <v>18.612000000000002</v>
      </c>
      <c r="G216" s="16">
        <f t="shared" si="3"/>
        <v>0.34799999999999898</v>
      </c>
    </row>
    <row r="217" spans="1:7" ht="15" customHeight="1" x14ac:dyDescent="0.25">
      <c r="A217" s="15">
        <v>216</v>
      </c>
      <c r="B217" s="15" t="s">
        <v>1003</v>
      </c>
      <c r="C217" s="15" t="s">
        <v>1004</v>
      </c>
      <c r="D217" s="15">
        <f>COUNTIF('Itemized Calculation'!C:C,B217)</f>
        <v>1</v>
      </c>
      <c r="E217" s="42">
        <v>16.14</v>
      </c>
      <c r="F217" s="16">
        <f>SUMIF('Itemized Calculation'!C:C,B217,'Itemized Calculation'!K:K)</f>
        <v>14.652000000000001</v>
      </c>
      <c r="G217" s="16">
        <f t="shared" si="3"/>
        <v>1.4879999999999995</v>
      </c>
    </row>
    <row r="218" spans="1:7" ht="15" customHeight="1" x14ac:dyDescent="0.25">
      <c r="A218" s="15">
        <v>217</v>
      </c>
      <c r="B218" s="15" t="s">
        <v>1006</v>
      </c>
      <c r="C218" s="15" t="s">
        <v>1007</v>
      </c>
      <c r="D218" s="15">
        <f>COUNTIF('Itemized Calculation'!C:C,B218)</f>
        <v>2</v>
      </c>
      <c r="E218" s="42">
        <v>23.29</v>
      </c>
      <c r="F218" s="16">
        <f>SUMIF('Itemized Calculation'!C:C,B218,'Itemized Calculation'!K:K)</f>
        <v>21.681000000000001</v>
      </c>
      <c r="G218" s="16">
        <f t="shared" si="3"/>
        <v>1.6089999999999982</v>
      </c>
    </row>
    <row r="219" spans="1:7" ht="15" customHeight="1" x14ac:dyDescent="0.25">
      <c r="A219" s="15">
        <v>218</v>
      </c>
      <c r="B219" s="15" t="s">
        <v>1009</v>
      </c>
      <c r="C219" s="15" t="s">
        <v>1010</v>
      </c>
      <c r="D219" s="15">
        <f>COUNTIF('Itemized Calculation'!C:C,B219)</f>
        <v>1</v>
      </c>
      <c r="E219" s="42">
        <v>53.19</v>
      </c>
      <c r="F219" s="16">
        <f>SUMIF('Itemized Calculation'!C:C,B219,'Itemized Calculation'!K:K)</f>
        <v>49.5</v>
      </c>
      <c r="G219" s="16">
        <f t="shared" si="3"/>
        <v>3.6899999999999977</v>
      </c>
    </row>
    <row r="220" spans="1:7" ht="15" customHeight="1" x14ac:dyDescent="0.25">
      <c r="A220" s="15">
        <v>219</v>
      </c>
      <c r="B220" s="15" t="s">
        <v>1013</v>
      </c>
      <c r="C220" s="15" t="s">
        <v>1014</v>
      </c>
      <c r="D220" s="15">
        <f>COUNTIF('Itemized Calculation'!C:C,B220)</f>
        <v>1</v>
      </c>
      <c r="E220" s="42">
        <v>15.19</v>
      </c>
      <c r="F220" s="16">
        <f>SUMIF('Itemized Calculation'!C:C,B220,'Itemized Calculation'!K:K)</f>
        <v>14.64</v>
      </c>
      <c r="G220" s="16">
        <f t="shared" si="3"/>
        <v>0.54999999999999893</v>
      </c>
    </row>
    <row r="221" spans="1:7" ht="15" customHeight="1" x14ac:dyDescent="0.25">
      <c r="A221" s="15">
        <v>220</v>
      </c>
      <c r="B221" s="15" t="s">
        <v>1017</v>
      </c>
      <c r="C221" s="15" t="s">
        <v>1018</v>
      </c>
      <c r="D221" s="15">
        <f>COUNTIF('Itemized Calculation'!C:C,B221)</f>
        <v>1</v>
      </c>
      <c r="E221" s="42">
        <v>13.52</v>
      </c>
      <c r="F221" s="16">
        <f>SUMIF('Itemized Calculation'!C:C,B221,'Itemized Calculation'!K:K)</f>
        <v>13.068</v>
      </c>
      <c r="G221" s="16">
        <f t="shared" si="3"/>
        <v>0.45199999999999996</v>
      </c>
    </row>
    <row r="222" spans="1:7" ht="15" customHeight="1" x14ac:dyDescent="0.25">
      <c r="A222" s="15">
        <v>221</v>
      </c>
      <c r="B222" s="15" t="s">
        <v>1020</v>
      </c>
      <c r="C222" s="15" t="s">
        <v>1021</v>
      </c>
      <c r="D222" s="15">
        <f>COUNTIF('Itemized Calculation'!C:C,B222)</f>
        <v>1</v>
      </c>
      <c r="E222" s="42">
        <v>27.98</v>
      </c>
      <c r="F222" s="16">
        <f>SUMIF('Itemized Calculation'!C:C,B222,'Itemized Calculation'!K:K)</f>
        <v>24.552</v>
      </c>
      <c r="G222" s="16">
        <f t="shared" si="3"/>
        <v>3.4280000000000008</v>
      </c>
    </row>
    <row r="223" spans="1:7" ht="15" customHeight="1" x14ac:dyDescent="0.25">
      <c r="A223" s="15">
        <v>222</v>
      </c>
      <c r="B223" s="15" t="s">
        <v>1023</v>
      </c>
      <c r="C223" s="15" t="s">
        <v>1024</v>
      </c>
      <c r="D223" s="15">
        <f>COUNTIF('Itemized Calculation'!C:C,B223)</f>
        <v>1</v>
      </c>
      <c r="E223" s="42">
        <v>11.31</v>
      </c>
      <c r="F223" s="16">
        <f>SUMIF('Itemized Calculation'!C:C,B223,'Itemized Calculation'!K:K)</f>
        <v>10.494</v>
      </c>
      <c r="G223" s="16">
        <f t="shared" si="3"/>
        <v>0.81600000000000072</v>
      </c>
    </row>
    <row r="224" spans="1:7" ht="15" customHeight="1" x14ac:dyDescent="0.25">
      <c r="A224" s="15">
        <v>223</v>
      </c>
      <c r="B224" s="15" t="s">
        <v>1026</v>
      </c>
      <c r="C224" s="15" t="s">
        <v>1027</v>
      </c>
      <c r="D224" s="15">
        <f>COUNTIF('Itemized Calculation'!C:C,B224)</f>
        <v>1</v>
      </c>
      <c r="E224" s="42">
        <v>26.9</v>
      </c>
      <c r="F224" s="16">
        <f>SUMIF('Itemized Calculation'!C:C,B224,'Itemized Calculation'!K:K)</f>
        <v>25.937999999999999</v>
      </c>
      <c r="G224" s="16">
        <f t="shared" si="3"/>
        <v>0.96199999999999974</v>
      </c>
    </row>
    <row r="225" spans="1:7" ht="15" customHeight="1" x14ac:dyDescent="0.25">
      <c r="A225" s="15">
        <v>224</v>
      </c>
      <c r="B225" s="15" t="s">
        <v>1029</v>
      </c>
      <c r="C225" s="15" t="s">
        <v>1030</v>
      </c>
      <c r="D225" s="15">
        <f>COUNTIF('Itemized Calculation'!C:C,B225)</f>
        <v>1</v>
      </c>
      <c r="E225" s="42">
        <v>7.59</v>
      </c>
      <c r="F225" s="16">
        <f>SUMIF('Itemized Calculation'!C:C,B225,'Itemized Calculation'!K:K)</f>
        <v>7.0200000000000005</v>
      </c>
      <c r="G225" s="16">
        <f t="shared" si="3"/>
        <v>0.5699999999999994</v>
      </c>
    </row>
    <row r="226" spans="1:7" ht="15" customHeight="1" x14ac:dyDescent="0.25">
      <c r="A226" s="15">
        <v>225</v>
      </c>
      <c r="B226" s="15" t="s">
        <v>1033</v>
      </c>
      <c r="C226" s="15" t="s">
        <v>1034</v>
      </c>
      <c r="D226" s="15">
        <f>COUNTIF('Itemized Calculation'!C:C,B226)</f>
        <v>1</v>
      </c>
      <c r="E226" s="42">
        <v>24.67</v>
      </c>
      <c r="F226" s="16">
        <f>SUMIF('Itemized Calculation'!C:C,B226,'Itemized Calculation'!K:K)</f>
        <v>22.374000000000002</v>
      </c>
      <c r="G226" s="16">
        <f t="shared" si="3"/>
        <v>2.2959999999999994</v>
      </c>
    </row>
    <row r="227" spans="1:7" ht="15" customHeight="1" x14ac:dyDescent="0.25">
      <c r="A227" s="15">
        <v>226</v>
      </c>
      <c r="B227" s="15" t="s">
        <v>1036</v>
      </c>
      <c r="C227" s="15" t="s">
        <v>1037</v>
      </c>
      <c r="D227" s="15">
        <f>COUNTIF('Itemized Calculation'!C:C,B227)</f>
        <v>1</v>
      </c>
      <c r="E227" s="42">
        <v>11.06</v>
      </c>
      <c r="F227" s="16">
        <f>SUMIF('Itemized Calculation'!C:C,B227,'Itemized Calculation'!K:K)</f>
        <v>10.395</v>
      </c>
      <c r="G227" s="16">
        <f t="shared" si="3"/>
        <v>0.66500000000000092</v>
      </c>
    </row>
    <row r="228" spans="1:7" ht="15" customHeight="1" x14ac:dyDescent="0.25">
      <c r="A228" s="15">
        <v>227</v>
      </c>
      <c r="B228" s="15" t="s">
        <v>178</v>
      </c>
      <c r="C228" s="15" t="s">
        <v>1038</v>
      </c>
      <c r="D228" s="15">
        <f>COUNTIF('Itemized Calculation'!C:C,B228)</f>
        <v>1</v>
      </c>
      <c r="E228" s="42">
        <v>37.03</v>
      </c>
      <c r="F228" s="16">
        <f>SUMIF('Itemized Calculation'!C:C,B228,'Itemized Calculation'!K:K)</f>
        <v>33.561000000000007</v>
      </c>
      <c r="G228" s="16">
        <f t="shared" si="3"/>
        <v>3.4689999999999941</v>
      </c>
    </row>
    <row r="229" spans="1:7" ht="15" customHeight="1" x14ac:dyDescent="0.25">
      <c r="A229" s="15">
        <v>228</v>
      </c>
      <c r="B229" s="15" t="s">
        <v>1040</v>
      </c>
      <c r="C229" s="15" t="s">
        <v>1041</v>
      </c>
      <c r="D229" s="15">
        <f>COUNTIF('Itemized Calculation'!C:C,B229)</f>
        <v>1</v>
      </c>
      <c r="E229" s="42">
        <v>13.72</v>
      </c>
      <c r="F229" s="16">
        <f>SUMIF('Itemized Calculation'!C:C,B229,'Itemized Calculation'!K:K)</f>
        <v>12.968999999999999</v>
      </c>
      <c r="G229" s="16">
        <f t="shared" si="3"/>
        <v>0.75100000000000122</v>
      </c>
    </row>
    <row r="230" spans="1:7" ht="15" customHeight="1" x14ac:dyDescent="0.25">
      <c r="A230" s="15">
        <v>229</v>
      </c>
      <c r="B230" s="15" t="s">
        <v>1043</v>
      </c>
      <c r="C230" s="15" t="s">
        <v>1044</v>
      </c>
      <c r="D230" s="15">
        <f>COUNTIF('Itemized Calculation'!C:C,B230)</f>
        <v>1</v>
      </c>
      <c r="E230" s="42">
        <v>14.15</v>
      </c>
      <c r="F230" s="16">
        <f>SUMIF('Itemized Calculation'!C:C,B230,'Itemized Calculation'!K:K)</f>
        <v>14.154999999999999</v>
      </c>
      <c r="G230" s="16">
        <f t="shared" si="3"/>
        <v>-4.9999999999990052E-3</v>
      </c>
    </row>
    <row r="231" spans="1:7" ht="15" customHeight="1" x14ac:dyDescent="0.25">
      <c r="A231" s="15">
        <v>230</v>
      </c>
      <c r="B231" s="15" t="s">
        <v>1047</v>
      </c>
      <c r="C231" s="15" t="s">
        <v>1048</v>
      </c>
      <c r="D231" s="15">
        <f>COUNTIF('Itemized Calculation'!C:C,B231)</f>
        <v>1</v>
      </c>
      <c r="E231" s="42">
        <v>13.75</v>
      </c>
      <c r="F231" s="16">
        <f>SUMIF('Itemized Calculation'!C:C,B231,'Itemized Calculation'!K:K)</f>
        <v>12.968999999999999</v>
      </c>
      <c r="G231" s="16">
        <f t="shared" si="3"/>
        <v>0.78100000000000058</v>
      </c>
    </row>
    <row r="232" spans="1:7" ht="15" customHeight="1" x14ac:dyDescent="0.25">
      <c r="A232" s="15">
        <v>231</v>
      </c>
      <c r="B232" s="15" t="s">
        <v>1050</v>
      </c>
      <c r="C232" s="15" t="s">
        <v>1051</v>
      </c>
      <c r="D232" s="15">
        <f>COUNTIF('Itemized Calculation'!C:C,B232)</f>
        <v>1</v>
      </c>
      <c r="E232" s="42">
        <v>18.170000000000002</v>
      </c>
      <c r="F232" s="16">
        <f>SUMIF('Itemized Calculation'!C:C,B232,'Itemized Calculation'!K:K)</f>
        <v>17.385000000000002</v>
      </c>
      <c r="G232" s="16">
        <f t="shared" si="3"/>
        <v>0.78500000000000014</v>
      </c>
    </row>
    <row r="233" spans="1:7" ht="15" customHeight="1" x14ac:dyDescent="0.25">
      <c r="A233" s="15">
        <v>232</v>
      </c>
      <c r="B233" s="15" t="s">
        <v>1054</v>
      </c>
      <c r="C233" s="15" t="s">
        <v>1055</v>
      </c>
      <c r="D233" s="15">
        <f>COUNTIF('Itemized Calculation'!C:C,B233)</f>
        <v>1</v>
      </c>
      <c r="E233" s="42">
        <v>21.94</v>
      </c>
      <c r="F233" s="16">
        <f>SUMIF('Itemized Calculation'!C:C,B233,'Itemized Calculation'!K:K)</f>
        <v>20.3</v>
      </c>
      <c r="G233" s="16">
        <f t="shared" si="3"/>
        <v>1.6400000000000006</v>
      </c>
    </row>
    <row r="234" spans="1:7" ht="15" customHeight="1" x14ac:dyDescent="0.25">
      <c r="A234" s="15">
        <v>233</v>
      </c>
      <c r="B234" s="15" t="s">
        <v>1058</v>
      </c>
      <c r="C234" s="15" t="s">
        <v>1059</v>
      </c>
      <c r="D234" s="15">
        <f>COUNTIF('Itemized Calculation'!C:C,B234)</f>
        <v>1</v>
      </c>
      <c r="E234" s="42">
        <v>27.22</v>
      </c>
      <c r="F234" s="16">
        <f>SUMIF('Itemized Calculation'!C:C,B234,'Itemized Calculation'!K:K)</f>
        <v>25.92</v>
      </c>
      <c r="G234" s="16">
        <f t="shared" si="3"/>
        <v>1.2999999999999972</v>
      </c>
    </row>
    <row r="235" spans="1:7" ht="15" customHeight="1" x14ac:dyDescent="0.25">
      <c r="A235" s="15">
        <v>234</v>
      </c>
      <c r="B235" s="15" t="s">
        <v>1062</v>
      </c>
      <c r="C235" s="15" t="s">
        <v>1063</v>
      </c>
      <c r="D235" s="15">
        <f>COUNTIF('Itemized Calculation'!C:C,B235)</f>
        <v>1</v>
      </c>
      <c r="E235" s="42">
        <v>52.55</v>
      </c>
      <c r="F235" s="16">
        <f>SUMIF('Itemized Calculation'!C:C,B235,'Itemized Calculation'!K:K)</f>
        <v>52.2</v>
      </c>
      <c r="G235" s="16">
        <f t="shared" si="3"/>
        <v>0.34999999999999432</v>
      </c>
    </row>
    <row r="236" spans="1:7" ht="15" customHeight="1" x14ac:dyDescent="0.25">
      <c r="A236" s="15">
        <v>235</v>
      </c>
      <c r="B236" s="15" t="s">
        <v>1066</v>
      </c>
      <c r="C236" s="15" t="s">
        <v>1067</v>
      </c>
      <c r="D236" s="15">
        <f>COUNTIF('Itemized Calculation'!C:C,B236)</f>
        <v>1</v>
      </c>
      <c r="E236" s="42">
        <v>19.36</v>
      </c>
      <c r="F236" s="16">
        <f>SUMIF('Itemized Calculation'!C:C,B236,'Itemized Calculation'!K:K)</f>
        <v>18.612000000000002</v>
      </c>
      <c r="G236" s="16">
        <f t="shared" si="3"/>
        <v>0.74799999999999756</v>
      </c>
    </row>
    <row r="237" spans="1:7" ht="15" customHeight="1" x14ac:dyDescent="0.25">
      <c r="A237" s="15">
        <v>236</v>
      </c>
      <c r="B237" s="15" t="s">
        <v>1069</v>
      </c>
      <c r="C237" s="15" t="s">
        <v>1070</v>
      </c>
      <c r="D237" s="15">
        <f>COUNTIF('Itemized Calculation'!C:C,B237)</f>
        <v>1</v>
      </c>
      <c r="E237" s="42">
        <v>23.54</v>
      </c>
      <c r="F237" s="16">
        <f>SUMIF('Itemized Calculation'!C:C,B237,'Itemized Calculation'!K:K)</f>
        <v>20.6</v>
      </c>
      <c r="G237" s="16">
        <f t="shared" si="3"/>
        <v>2.9399999999999977</v>
      </c>
    </row>
    <row r="238" spans="1:7" ht="15" customHeight="1" x14ac:dyDescent="0.25">
      <c r="A238" s="15">
        <v>237</v>
      </c>
      <c r="B238" s="15" t="s">
        <v>1072</v>
      </c>
      <c r="C238" s="15" t="s">
        <v>1073</v>
      </c>
      <c r="D238" s="15">
        <f>COUNTIF('Itemized Calculation'!C:C,B238)</f>
        <v>1</v>
      </c>
      <c r="E238" s="42">
        <v>11.85</v>
      </c>
      <c r="F238" s="16">
        <f>SUMIF('Itemized Calculation'!C:C,B238,'Itemized Calculation'!K:K)</f>
        <v>11.187000000000001</v>
      </c>
      <c r="G238" s="16">
        <f t="shared" si="3"/>
        <v>0.66299999999999848</v>
      </c>
    </row>
    <row r="239" spans="1:7" ht="15" customHeight="1" x14ac:dyDescent="0.25">
      <c r="A239" s="15">
        <v>238</v>
      </c>
      <c r="B239" s="15" t="s">
        <v>1075</v>
      </c>
      <c r="C239" s="15" t="s">
        <v>1076</v>
      </c>
      <c r="D239" s="15">
        <f>COUNTIF('Itemized Calculation'!C:C,B239)</f>
        <v>1</v>
      </c>
      <c r="E239" s="42">
        <v>18.96</v>
      </c>
      <c r="F239" s="16">
        <f>SUMIF('Itemized Calculation'!C:C,B239,'Itemized Calculation'!K:K)</f>
        <v>18.612000000000002</v>
      </c>
      <c r="G239" s="16">
        <f t="shared" si="3"/>
        <v>0.34799999999999898</v>
      </c>
    </row>
    <row r="240" spans="1:7" ht="15" customHeight="1" x14ac:dyDescent="0.25">
      <c r="A240" s="15">
        <v>239</v>
      </c>
      <c r="B240" s="15" t="s">
        <v>1078</v>
      </c>
      <c r="C240" s="15" t="s">
        <v>1079</v>
      </c>
      <c r="D240" s="15">
        <f>COUNTIF('Itemized Calculation'!C:C,B240)</f>
        <v>2</v>
      </c>
      <c r="E240" s="42">
        <v>28.78</v>
      </c>
      <c r="F240" s="16">
        <f>SUMIF('Itemized Calculation'!C:C,B240,'Itemized Calculation'!K:K)</f>
        <v>27.621000000000002</v>
      </c>
      <c r="G240" s="16">
        <f t="shared" si="3"/>
        <v>1.1589999999999989</v>
      </c>
    </row>
    <row r="241" spans="1:7" ht="15" customHeight="1" x14ac:dyDescent="0.25">
      <c r="A241" s="15">
        <v>240</v>
      </c>
      <c r="B241" s="15" t="s">
        <v>1081</v>
      </c>
      <c r="C241" s="15" t="s">
        <v>1082</v>
      </c>
      <c r="D241" s="15">
        <f>COUNTIF('Itemized Calculation'!C:C,B241)</f>
        <v>1</v>
      </c>
      <c r="E241" s="42">
        <v>16.3</v>
      </c>
      <c r="F241" s="16">
        <f>SUMIF('Itemized Calculation'!C:C,B241,'Itemized Calculation'!K:K)</f>
        <v>14.559999999999999</v>
      </c>
      <c r="G241" s="16">
        <f t="shared" si="3"/>
        <v>1.740000000000002</v>
      </c>
    </row>
    <row r="242" spans="1:7" ht="15" customHeight="1" x14ac:dyDescent="0.25">
      <c r="A242" s="15">
        <v>241</v>
      </c>
      <c r="B242" s="15" t="s">
        <v>1085</v>
      </c>
      <c r="C242" s="15" t="s">
        <v>1086</v>
      </c>
      <c r="D242" s="15">
        <f>COUNTIF('Itemized Calculation'!C:C,B242)</f>
        <v>1</v>
      </c>
      <c r="E242" s="42">
        <v>14.63</v>
      </c>
      <c r="F242" s="16">
        <f>SUMIF('Itemized Calculation'!C:C,B242,'Itemized Calculation'!K:K)</f>
        <v>13.622</v>
      </c>
      <c r="G242" s="16">
        <f t="shared" si="3"/>
        <v>1.0080000000000009</v>
      </c>
    </row>
    <row r="243" spans="1:7" ht="15" customHeight="1" x14ac:dyDescent="0.25">
      <c r="A243" s="15">
        <v>242</v>
      </c>
      <c r="B243" s="15" t="s">
        <v>1089</v>
      </c>
      <c r="C243" s="15" t="s">
        <v>1090</v>
      </c>
      <c r="D243" s="15">
        <f>COUNTIF('Itemized Calculation'!C:C,B243)</f>
        <v>2</v>
      </c>
      <c r="E243" s="42">
        <v>22.98</v>
      </c>
      <c r="F243" s="16">
        <f>SUMIF('Itemized Calculation'!C:C,B243,'Itemized Calculation'!K:K)</f>
        <v>20.79</v>
      </c>
      <c r="G243" s="16">
        <f t="shared" si="3"/>
        <v>2.1900000000000013</v>
      </c>
    </row>
    <row r="244" spans="1:7" ht="15" customHeight="1" x14ac:dyDescent="0.25">
      <c r="A244" s="15">
        <v>243</v>
      </c>
      <c r="B244" s="15" t="s">
        <v>197</v>
      </c>
      <c r="C244" s="15" t="s">
        <v>1091</v>
      </c>
      <c r="D244" s="15">
        <f>COUNTIF('Itemized Calculation'!C:C,B244)</f>
        <v>5</v>
      </c>
      <c r="E244" s="42">
        <v>77.260000000000005</v>
      </c>
      <c r="F244" s="16">
        <f>SUMIF('Itemized Calculation'!C:C,B244,'Itemized Calculation'!K:K)</f>
        <v>72.191000000000003</v>
      </c>
      <c r="G244" s="16">
        <f t="shared" si="3"/>
        <v>5.0690000000000026</v>
      </c>
    </row>
    <row r="245" spans="1:7" ht="15" customHeight="1" x14ac:dyDescent="0.25">
      <c r="A245" s="15">
        <v>244</v>
      </c>
      <c r="B245" s="15" t="s">
        <v>1093</v>
      </c>
      <c r="C245" s="15" t="s">
        <v>1094</v>
      </c>
      <c r="D245" s="15">
        <f>COUNTIF('Itemized Calculation'!C:C,B245)</f>
        <v>1</v>
      </c>
      <c r="E245" s="42">
        <v>14.22</v>
      </c>
      <c r="F245" s="16">
        <f>SUMIF('Itemized Calculation'!C:C,B245,'Itemized Calculation'!K:K)</f>
        <v>12.975000000000001</v>
      </c>
      <c r="G245" s="16">
        <f t="shared" si="3"/>
        <v>1.2449999999999992</v>
      </c>
    </row>
    <row r="246" spans="1:7" ht="15" customHeight="1" x14ac:dyDescent="0.25">
      <c r="A246" s="15">
        <v>245</v>
      </c>
      <c r="B246" s="15" t="s">
        <v>1097</v>
      </c>
      <c r="C246" s="15" t="s">
        <v>1098</v>
      </c>
      <c r="D246" s="15">
        <f>COUNTIF('Itemized Calculation'!C:C,B246)</f>
        <v>1</v>
      </c>
      <c r="E246" s="42">
        <v>54.16</v>
      </c>
      <c r="F246" s="16">
        <f>SUMIF('Itemized Calculation'!C:C,B246,'Itemized Calculation'!K:K)</f>
        <v>52.2</v>
      </c>
      <c r="G246" s="16">
        <f t="shared" si="3"/>
        <v>1.9599999999999937</v>
      </c>
    </row>
    <row r="247" spans="1:7" ht="15" customHeight="1" x14ac:dyDescent="0.25">
      <c r="A247" s="15">
        <v>246</v>
      </c>
      <c r="B247" s="15" t="s">
        <v>1100</v>
      </c>
      <c r="C247" s="15" t="s">
        <v>1101</v>
      </c>
      <c r="D247" s="15">
        <f>COUNTIF('Itemized Calculation'!C:C,B247)</f>
        <v>1</v>
      </c>
      <c r="E247" s="42">
        <v>30.05</v>
      </c>
      <c r="F247" s="16">
        <f>SUMIF('Itemized Calculation'!C:C,B247,'Itemized Calculation'!K:K)</f>
        <v>26.864000000000001</v>
      </c>
      <c r="G247" s="16">
        <f t="shared" si="3"/>
        <v>3.1859999999999999</v>
      </c>
    </row>
    <row r="248" spans="1:7" ht="15" customHeight="1" x14ac:dyDescent="0.25">
      <c r="A248" s="15">
        <v>247</v>
      </c>
      <c r="B248" s="15" t="s">
        <v>1104</v>
      </c>
      <c r="C248" s="15" t="s">
        <v>1105</v>
      </c>
      <c r="D248" s="15">
        <f>COUNTIF('Itemized Calculation'!C:C,B248)</f>
        <v>1</v>
      </c>
      <c r="E248" s="42">
        <v>13.72</v>
      </c>
      <c r="F248" s="16">
        <f>SUMIF('Itemized Calculation'!C:C,B248,'Itemized Calculation'!K:K)</f>
        <v>12.968999999999999</v>
      </c>
      <c r="G248" s="16">
        <f t="shared" si="3"/>
        <v>0.75100000000000122</v>
      </c>
    </row>
    <row r="249" spans="1:7" ht="15" customHeight="1" x14ac:dyDescent="0.25">
      <c r="A249" s="15">
        <v>248</v>
      </c>
      <c r="B249" s="15" t="s">
        <v>1107</v>
      </c>
      <c r="C249" s="15" t="s">
        <v>1108</v>
      </c>
      <c r="D249" s="15">
        <f>COUNTIF('Itemized Calculation'!C:C,B249)</f>
        <v>2</v>
      </c>
      <c r="E249" s="42">
        <v>34.42</v>
      </c>
      <c r="F249" s="16">
        <f>SUMIF('Itemized Calculation'!C:C,B249,'Itemized Calculation'!K:K)</f>
        <v>31.587000000000003</v>
      </c>
      <c r="G249" s="16">
        <f t="shared" si="3"/>
        <v>2.8329999999999984</v>
      </c>
    </row>
    <row r="250" spans="1:7" ht="15" customHeight="1" x14ac:dyDescent="0.25">
      <c r="A250" s="15">
        <v>249</v>
      </c>
      <c r="B250" s="15" t="s">
        <v>161</v>
      </c>
      <c r="C250" s="15" t="s">
        <v>1110</v>
      </c>
      <c r="D250" s="15">
        <f>COUNTIF('Itemized Calculation'!C:C,B250)</f>
        <v>1</v>
      </c>
      <c r="E250" s="42">
        <v>15.03</v>
      </c>
      <c r="F250" s="16">
        <f>SUMIF('Itemized Calculation'!C:C,B250,'Itemized Calculation'!K:K)</f>
        <v>14.85</v>
      </c>
      <c r="G250" s="16">
        <f t="shared" si="3"/>
        <v>0.17999999999999972</v>
      </c>
    </row>
    <row r="251" spans="1:7" ht="15" customHeight="1" x14ac:dyDescent="0.25">
      <c r="A251" s="15">
        <v>250</v>
      </c>
      <c r="B251" s="15" t="s">
        <v>1112</v>
      </c>
      <c r="C251" s="15" t="s">
        <v>1113</v>
      </c>
      <c r="D251" s="15">
        <f>COUNTIF('Itemized Calculation'!C:C,B251)</f>
        <v>1</v>
      </c>
      <c r="E251" s="42">
        <v>21.34</v>
      </c>
      <c r="F251" s="16">
        <f>SUMIF('Itemized Calculation'!C:C,B251,'Itemized Calculation'!K:K)</f>
        <v>19.894000000000002</v>
      </c>
      <c r="G251" s="16">
        <f t="shared" si="3"/>
        <v>1.445999999999998</v>
      </c>
    </row>
    <row r="252" spans="1:7" ht="15" customHeight="1" x14ac:dyDescent="0.25">
      <c r="A252" s="15">
        <v>251</v>
      </c>
      <c r="B252" s="15" t="s">
        <v>1116</v>
      </c>
      <c r="C252" s="15" t="s">
        <v>1117</v>
      </c>
      <c r="D252" s="15">
        <f>COUNTIF('Itemized Calculation'!C:C,B252)</f>
        <v>1</v>
      </c>
      <c r="E252" s="42">
        <v>12.95</v>
      </c>
      <c r="F252" s="16">
        <f>SUMIF('Itemized Calculation'!C:C,B252,'Itemized Calculation'!K:K)</f>
        <v>12.968999999999999</v>
      </c>
      <c r="G252" s="16">
        <f t="shared" si="3"/>
        <v>-1.9000000000000128E-2</v>
      </c>
    </row>
    <row r="253" spans="1:7" ht="15" customHeight="1" x14ac:dyDescent="0.25">
      <c r="A253" s="15">
        <v>252</v>
      </c>
      <c r="B253" s="15" t="s">
        <v>1119</v>
      </c>
      <c r="C253" s="15" t="s">
        <v>1120</v>
      </c>
      <c r="D253" s="15">
        <f>COUNTIF('Itemized Calculation'!C:C,B253)</f>
        <v>1</v>
      </c>
      <c r="E253" s="42">
        <v>42.8</v>
      </c>
      <c r="F253" s="16">
        <f>SUMIF('Itemized Calculation'!C:C,B253,'Itemized Calculation'!K:K)</f>
        <v>39.298000000000002</v>
      </c>
      <c r="G253" s="16">
        <f t="shared" si="3"/>
        <v>3.5019999999999953</v>
      </c>
    </row>
    <row r="254" spans="1:7" ht="15" customHeight="1" x14ac:dyDescent="0.25">
      <c r="A254" s="15">
        <v>253</v>
      </c>
      <c r="B254" s="15" t="s">
        <v>1123</v>
      </c>
      <c r="C254" s="15" t="s">
        <v>1124</v>
      </c>
      <c r="D254" s="15">
        <f>COUNTIF('Itemized Calculation'!C:C,B254)</f>
        <v>1</v>
      </c>
      <c r="E254" s="42">
        <v>20.16</v>
      </c>
      <c r="F254" s="16">
        <f>SUMIF('Itemized Calculation'!C:C,B254,'Itemized Calculation'!K:K)</f>
        <v>16.439999999999998</v>
      </c>
      <c r="G254" s="16">
        <f t="shared" si="3"/>
        <v>3.7200000000000024</v>
      </c>
    </row>
    <row r="255" spans="1:7" ht="15" customHeight="1" x14ac:dyDescent="0.25">
      <c r="A255" s="15">
        <v>254</v>
      </c>
      <c r="B255" s="15" t="s">
        <v>1127</v>
      </c>
      <c r="C255" s="15" t="s">
        <v>1128</v>
      </c>
      <c r="D255" s="15">
        <f>COUNTIF('Itemized Calculation'!C:C,B255)</f>
        <v>1</v>
      </c>
      <c r="E255" s="42">
        <v>8.5</v>
      </c>
      <c r="F255" s="16">
        <f>SUMIF('Itemized Calculation'!C:C,B255,'Itemized Calculation'!K:K)</f>
        <v>8.0510000000000002</v>
      </c>
      <c r="G255" s="16">
        <f t="shared" si="3"/>
        <v>0.44899999999999984</v>
      </c>
    </row>
    <row r="256" spans="1:7" ht="15" customHeight="1" x14ac:dyDescent="0.25">
      <c r="A256" s="15">
        <v>255</v>
      </c>
      <c r="B256" s="15" t="s">
        <v>1131</v>
      </c>
      <c r="C256" s="15" t="s">
        <v>1132</v>
      </c>
      <c r="D256" s="15">
        <f>COUNTIF('Itemized Calculation'!C:C,B256)</f>
        <v>2</v>
      </c>
      <c r="E256" s="42">
        <v>14.28</v>
      </c>
      <c r="F256" s="16">
        <f>SUMIF('Itemized Calculation'!C:C,B256,'Itemized Calculation'!K:K)</f>
        <v>12.847999999999999</v>
      </c>
      <c r="G256" s="16">
        <f t="shared" si="3"/>
        <v>1.4320000000000004</v>
      </c>
    </row>
    <row r="257" spans="1:7" ht="15" customHeight="1" x14ac:dyDescent="0.25">
      <c r="A257" s="15">
        <v>256</v>
      </c>
      <c r="B257" s="15" t="s">
        <v>235</v>
      </c>
      <c r="C257" s="15" t="s">
        <v>1135</v>
      </c>
      <c r="D257" s="15">
        <f>COUNTIF('Itemized Calculation'!C:C,B257)</f>
        <v>1</v>
      </c>
      <c r="E257" s="42">
        <v>34.28</v>
      </c>
      <c r="F257" s="16">
        <f>SUMIF('Itemized Calculation'!C:C,B257,'Itemized Calculation'!K:K)</f>
        <v>31.779</v>
      </c>
      <c r="G257" s="16">
        <f t="shared" si="3"/>
        <v>2.5010000000000012</v>
      </c>
    </row>
    <row r="258" spans="1:7" ht="15" customHeight="1" x14ac:dyDescent="0.25">
      <c r="A258" s="15">
        <v>257</v>
      </c>
      <c r="B258" s="15" t="s">
        <v>1137</v>
      </c>
      <c r="C258" s="15" t="s">
        <v>1138</v>
      </c>
      <c r="D258" s="15">
        <f>COUNTIF('Itemized Calculation'!C:C,B258)</f>
        <v>2</v>
      </c>
      <c r="E258" s="42">
        <v>49.89</v>
      </c>
      <c r="F258" s="16">
        <f>SUMIF('Itemized Calculation'!C:C,B258,'Itemized Calculation'!K:K)</f>
        <v>43.89</v>
      </c>
      <c r="G258" s="16">
        <f t="shared" ref="G258:G321" si="4">E258-F258</f>
        <v>6</v>
      </c>
    </row>
    <row r="259" spans="1:7" ht="15" customHeight="1" x14ac:dyDescent="0.25">
      <c r="A259" s="15">
        <v>258</v>
      </c>
      <c r="B259" s="15" t="s">
        <v>1142</v>
      </c>
      <c r="C259" s="15" t="s">
        <v>1143</v>
      </c>
      <c r="D259" s="15">
        <f>COUNTIF('Itemized Calculation'!C:C,B259)</f>
        <v>1</v>
      </c>
      <c r="E259" s="42">
        <v>13.15</v>
      </c>
      <c r="F259" s="16">
        <f>SUMIF('Itemized Calculation'!C:C,B259,'Itemized Calculation'!K:K)</f>
        <v>12.968999999999999</v>
      </c>
      <c r="G259" s="16">
        <f t="shared" si="4"/>
        <v>0.18100000000000094</v>
      </c>
    </row>
    <row r="260" spans="1:7" ht="15" customHeight="1" x14ac:dyDescent="0.25">
      <c r="A260" s="15">
        <v>259</v>
      </c>
      <c r="B260" s="15" t="s">
        <v>1146</v>
      </c>
      <c r="C260" s="15" t="s">
        <v>1147</v>
      </c>
      <c r="D260" s="15">
        <f>COUNTIF('Itemized Calculation'!C:C,B260)</f>
        <v>1</v>
      </c>
      <c r="E260" s="42">
        <v>18.100000000000001</v>
      </c>
      <c r="F260" s="16">
        <f>SUMIF('Itemized Calculation'!C:C,B260,'Itemized Calculation'!K:K)</f>
        <v>18.612000000000002</v>
      </c>
      <c r="G260" s="16">
        <f t="shared" si="4"/>
        <v>-0.51200000000000045</v>
      </c>
    </row>
    <row r="261" spans="1:7" ht="15" customHeight="1" x14ac:dyDescent="0.25">
      <c r="A261" s="15">
        <v>260</v>
      </c>
      <c r="B261" s="15" t="s">
        <v>1149</v>
      </c>
      <c r="C261" s="15" t="s">
        <v>1150</v>
      </c>
      <c r="D261" s="15">
        <f>COUNTIF('Itemized Calculation'!C:C,B261)</f>
        <v>1</v>
      </c>
      <c r="E261" s="42">
        <v>27.84</v>
      </c>
      <c r="F261" s="16">
        <f>SUMIF('Itemized Calculation'!C:C,B261,'Itemized Calculation'!K:K)</f>
        <v>25.667999999999999</v>
      </c>
      <c r="G261" s="16">
        <f t="shared" si="4"/>
        <v>2.1720000000000006</v>
      </c>
    </row>
    <row r="262" spans="1:7" ht="15" customHeight="1" x14ac:dyDescent="0.25">
      <c r="A262" s="15">
        <v>261</v>
      </c>
      <c r="B262" s="15" t="s">
        <v>1153</v>
      </c>
      <c r="C262" s="15" t="s">
        <v>1154</v>
      </c>
      <c r="D262" s="15">
        <f>COUNTIF('Itemized Calculation'!C:C,B262)</f>
        <v>1</v>
      </c>
      <c r="E262" s="42">
        <v>48.3</v>
      </c>
      <c r="F262" s="16">
        <f>SUMIF('Itemized Calculation'!C:C,B262,'Itemized Calculation'!K:K)</f>
        <v>45.298999999999999</v>
      </c>
      <c r="G262" s="16">
        <f t="shared" si="4"/>
        <v>3.0009999999999977</v>
      </c>
    </row>
    <row r="263" spans="1:7" ht="15" customHeight="1" x14ac:dyDescent="0.25">
      <c r="A263" s="15">
        <v>262</v>
      </c>
      <c r="B263" s="15" t="s">
        <v>1156</v>
      </c>
      <c r="C263" s="15" t="s">
        <v>1157</v>
      </c>
      <c r="D263" s="15">
        <f>COUNTIF('Itemized Calculation'!C:C,B263)</f>
        <v>1</v>
      </c>
      <c r="E263" s="42">
        <v>32.67</v>
      </c>
      <c r="F263" s="16">
        <f>SUMIF('Itemized Calculation'!C:C,B263,'Itemized Calculation'!K:K)</f>
        <v>35.045999999999999</v>
      </c>
      <c r="G263" s="16">
        <f t="shared" si="4"/>
        <v>-2.3759999999999977</v>
      </c>
    </row>
    <row r="264" spans="1:7" ht="15" customHeight="1" x14ac:dyDescent="0.25">
      <c r="A264" s="15">
        <v>263</v>
      </c>
      <c r="B264" s="15" t="s">
        <v>1160</v>
      </c>
      <c r="C264" s="15" t="s">
        <v>1161</v>
      </c>
      <c r="D264" s="15">
        <f>COUNTIF('Itemized Calculation'!C:C,B264)</f>
        <v>1</v>
      </c>
      <c r="E264" s="42">
        <v>12.11</v>
      </c>
      <c r="F264" s="16">
        <f>SUMIF('Itemized Calculation'!C:C,B264,'Itemized Calculation'!K:K)</f>
        <v>11.187000000000001</v>
      </c>
      <c r="G264" s="16">
        <f t="shared" si="4"/>
        <v>0.92299999999999827</v>
      </c>
    </row>
    <row r="265" spans="1:7" ht="15" customHeight="1" x14ac:dyDescent="0.25">
      <c r="A265" s="15">
        <v>264</v>
      </c>
      <c r="B265" s="15" t="s">
        <v>1163</v>
      </c>
      <c r="C265" s="15" t="s">
        <v>1164</v>
      </c>
      <c r="D265" s="15">
        <f>COUNTIF('Itemized Calculation'!C:C,B265)</f>
        <v>1</v>
      </c>
      <c r="E265" s="42">
        <v>11.26</v>
      </c>
      <c r="F265" s="16">
        <f>SUMIF('Itemized Calculation'!C:C,B265,'Itemized Calculation'!K:K)</f>
        <v>10.395</v>
      </c>
      <c r="G265" s="16">
        <f t="shared" si="4"/>
        <v>0.86500000000000021</v>
      </c>
    </row>
    <row r="266" spans="1:7" ht="15" customHeight="1" x14ac:dyDescent="0.25">
      <c r="A266" s="15">
        <v>265</v>
      </c>
      <c r="B266" s="15" t="s">
        <v>1167</v>
      </c>
      <c r="C266" s="15" t="s">
        <v>1168</v>
      </c>
      <c r="D266" s="15">
        <f>COUNTIF('Itemized Calculation'!C:C,B266)</f>
        <v>1</v>
      </c>
      <c r="E266" s="42">
        <v>21.49</v>
      </c>
      <c r="F266" s="16">
        <f>SUMIF('Itemized Calculation'!C:C,B266,'Itemized Calculation'!K:K)</f>
        <v>20.3</v>
      </c>
      <c r="G266" s="16">
        <f t="shared" si="4"/>
        <v>1.1899999999999977</v>
      </c>
    </row>
    <row r="267" spans="1:7" ht="15" customHeight="1" x14ac:dyDescent="0.25">
      <c r="A267" s="15">
        <v>266</v>
      </c>
      <c r="B267" s="15" t="s">
        <v>1171</v>
      </c>
      <c r="C267" s="15" t="s">
        <v>1172</v>
      </c>
      <c r="D267" s="15">
        <f>COUNTIF('Itemized Calculation'!C:C,B267)</f>
        <v>1</v>
      </c>
      <c r="E267" s="42">
        <v>13.72</v>
      </c>
      <c r="F267" s="16">
        <f>SUMIF('Itemized Calculation'!C:C,B267,'Itemized Calculation'!K:K)</f>
        <v>13.068</v>
      </c>
      <c r="G267" s="16">
        <f t="shared" si="4"/>
        <v>0.65200000000000102</v>
      </c>
    </row>
    <row r="268" spans="1:7" ht="15" customHeight="1" x14ac:dyDescent="0.25">
      <c r="A268" s="15">
        <v>267</v>
      </c>
      <c r="B268" s="15" t="s">
        <v>1174</v>
      </c>
      <c r="C268" s="15" t="s">
        <v>1175</v>
      </c>
      <c r="D268" s="15">
        <f>COUNTIF('Itemized Calculation'!C:C,B268)</f>
        <v>1</v>
      </c>
      <c r="E268" s="42">
        <v>73.42</v>
      </c>
      <c r="F268" s="16">
        <f>SUMIF('Itemized Calculation'!C:C,B268,'Itemized Calculation'!K:K)</f>
        <v>69</v>
      </c>
      <c r="G268" s="16">
        <f t="shared" si="4"/>
        <v>4.4200000000000017</v>
      </c>
    </row>
    <row r="269" spans="1:7" ht="15" customHeight="1" x14ac:dyDescent="0.25">
      <c r="A269" s="15">
        <v>268</v>
      </c>
      <c r="B269" s="15" t="s">
        <v>1177</v>
      </c>
      <c r="C269" s="15" t="s">
        <v>1178</v>
      </c>
      <c r="D269" s="15">
        <f>COUNTIF('Itemized Calculation'!C:C,B269)</f>
        <v>1</v>
      </c>
      <c r="E269" s="42">
        <v>16.14</v>
      </c>
      <c r="F269" s="16">
        <f>SUMIF('Itemized Calculation'!C:C,B269,'Itemized Calculation'!K:K)</f>
        <v>14.750999999999999</v>
      </c>
      <c r="G269" s="16">
        <f t="shared" si="4"/>
        <v>1.3890000000000011</v>
      </c>
    </row>
    <row r="270" spans="1:7" ht="15" customHeight="1" x14ac:dyDescent="0.25">
      <c r="A270" s="15">
        <v>269</v>
      </c>
      <c r="B270" s="15" t="s">
        <v>1180</v>
      </c>
      <c r="C270" s="15" t="s">
        <v>1181</v>
      </c>
      <c r="D270" s="15">
        <f>COUNTIF('Itemized Calculation'!C:C,B270)</f>
        <v>1</v>
      </c>
      <c r="E270" s="42">
        <v>13.43</v>
      </c>
      <c r="F270" s="16">
        <f>SUMIF('Itemized Calculation'!C:C,B270,'Itemized Calculation'!K:K)</f>
        <v>12.276</v>
      </c>
      <c r="G270" s="16">
        <f t="shared" si="4"/>
        <v>1.1539999999999999</v>
      </c>
    </row>
    <row r="271" spans="1:7" ht="15" customHeight="1" x14ac:dyDescent="0.25">
      <c r="A271" s="15">
        <v>270</v>
      </c>
      <c r="B271" s="15" t="s">
        <v>142</v>
      </c>
      <c r="C271" s="15" t="s">
        <v>1181</v>
      </c>
      <c r="D271" s="15">
        <f>COUNTIF('Itemized Calculation'!C:C,B271)</f>
        <v>5</v>
      </c>
      <c r="E271" s="42">
        <v>51.44</v>
      </c>
      <c r="F271" s="16">
        <f>SUMIF('Itemized Calculation'!C:C,B271,'Itemized Calculation'!K:K)</f>
        <v>45.027000000000001</v>
      </c>
      <c r="G271" s="16">
        <f t="shared" si="4"/>
        <v>6.4129999999999967</v>
      </c>
    </row>
    <row r="272" spans="1:7" ht="15" customHeight="1" x14ac:dyDescent="0.25">
      <c r="A272" s="15">
        <v>271</v>
      </c>
      <c r="B272" s="15" t="s">
        <v>1185</v>
      </c>
      <c r="C272" s="15" t="s">
        <v>1186</v>
      </c>
      <c r="D272" s="15">
        <f>COUNTIF('Itemized Calculation'!C:C,B272)</f>
        <v>1</v>
      </c>
      <c r="E272" s="42">
        <v>16.14</v>
      </c>
      <c r="F272" s="16">
        <f>SUMIF('Itemized Calculation'!C:C,B272,'Itemized Calculation'!K:K)</f>
        <v>14.750999999999999</v>
      </c>
      <c r="G272" s="16">
        <f t="shared" si="4"/>
        <v>1.3890000000000011</v>
      </c>
    </row>
    <row r="273" spans="1:7" ht="15" customHeight="1" x14ac:dyDescent="0.25">
      <c r="A273" s="15">
        <v>272</v>
      </c>
      <c r="B273" s="15" t="s">
        <v>1188</v>
      </c>
      <c r="C273" s="15" t="s">
        <v>1189</v>
      </c>
      <c r="D273" s="15">
        <f>COUNTIF('Itemized Calculation'!C:C,B273)</f>
        <v>1</v>
      </c>
      <c r="E273" s="42">
        <v>11.31</v>
      </c>
      <c r="F273" s="16">
        <f>SUMIF('Itemized Calculation'!C:C,B273,'Itemized Calculation'!K:K)</f>
        <v>10.395</v>
      </c>
      <c r="G273" s="16">
        <f t="shared" si="4"/>
        <v>0.91500000000000092</v>
      </c>
    </row>
    <row r="274" spans="1:7" ht="15" customHeight="1" x14ac:dyDescent="0.25">
      <c r="A274" s="15">
        <v>273</v>
      </c>
      <c r="B274" s="15" t="s">
        <v>1191</v>
      </c>
      <c r="C274" s="15" t="s">
        <v>1192</v>
      </c>
      <c r="D274" s="15">
        <f>COUNTIF('Itemized Calculation'!C:C,B274)</f>
        <v>2</v>
      </c>
      <c r="E274" s="42">
        <v>26.37</v>
      </c>
      <c r="F274" s="16">
        <f>SUMIF('Itemized Calculation'!C:C,B274,'Itemized Calculation'!K:K)</f>
        <v>23.463000000000001</v>
      </c>
      <c r="G274" s="16">
        <f t="shared" si="4"/>
        <v>2.907</v>
      </c>
    </row>
    <row r="275" spans="1:7" ht="15" customHeight="1" x14ac:dyDescent="0.25">
      <c r="A275" s="15">
        <v>274</v>
      </c>
      <c r="B275" s="15" t="s">
        <v>1194</v>
      </c>
      <c r="C275" s="15" t="s">
        <v>1195</v>
      </c>
      <c r="D275" s="15">
        <f>COUNTIF('Itemized Calculation'!C:C,B275)</f>
        <v>1</v>
      </c>
      <c r="E275" s="42">
        <v>24.81</v>
      </c>
      <c r="F275" s="16">
        <f>SUMIF('Itemized Calculation'!C:C,B275,'Itemized Calculation'!K:K)</f>
        <v>22.32</v>
      </c>
      <c r="G275" s="16">
        <f t="shared" si="4"/>
        <v>2.4899999999999984</v>
      </c>
    </row>
    <row r="276" spans="1:7" ht="15" customHeight="1" x14ac:dyDescent="0.25">
      <c r="A276" s="15">
        <v>275</v>
      </c>
      <c r="B276" s="15" t="s">
        <v>1198</v>
      </c>
      <c r="C276" s="15" t="s">
        <v>1199</v>
      </c>
      <c r="D276" s="15">
        <f>COUNTIF('Itemized Calculation'!C:C,B276)</f>
        <v>1</v>
      </c>
      <c r="E276" s="42">
        <v>11.46</v>
      </c>
      <c r="F276" s="16">
        <f>SUMIF('Itemized Calculation'!C:C,B276,'Itemized Calculation'!K:K)</f>
        <v>10.494</v>
      </c>
      <c r="G276" s="16">
        <f t="shared" si="4"/>
        <v>0.96600000000000108</v>
      </c>
    </row>
    <row r="277" spans="1:7" ht="15" customHeight="1" x14ac:dyDescent="0.25">
      <c r="A277" s="15">
        <v>276</v>
      </c>
      <c r="B277" s="15" t="s">
        <v>215</v>
      </c>
      <c r="C277" s="15" t="s">
        <v>1200</v>
      </c>
      <c r="D277" s="15">
        <f>COUNTIF('Itemized Calculation'!C:C,B277)</f>
        <v>3</v>
      </c>
      <c r="E277" s="42">
        <v>60.09</v>
      </c>
      <c r="F277" s="16">
        <f>SUMIF('Itemized Calculation'!C:C,B277,'Itemized Calculation'!K:K)</f>
        <v>0</v>
      </c>
      <c r="G277" s="16">
        <f t="shared" si="4"/>
        <v>60.09</v>
      </c>
    </row>
    <row r="278" spans="1:7" ht="15" customHeight="1" x14ac:dyDescent="0.25">
      <c r="A278" s="15">
        <v>277</v>
      </c>
      <c r="B278" s="15" t="s">
        <v>185</v>
      </c>
      <c r="C278" s="15" t="s">
        <v>1202</v>
      </c>
      <c r="D278" s="15">
        <f>COUNTIF('Itemized Calculation'!C:C,B278)</f>
        <v>3</v>
      </c>
      <c r="E278" s="42">
        <v>43.75</v>
      </c>
      <c r="F278" s="16">
        <f>SUMIF('Itemized Calculation'!C:C,B278,'Itemized Calculation'!K:K)</f>
        <v>39.494</v>
      </c>
      <c r="G278" s="16">
        <f t="shared" si="4"/>
        <v>4.2560000000000002</v>
      </c>
    </row>
    <row r="279" spans="1:7" ht="15" customHeight="1" x14ac:dyDescent="0.25">
      <c r="A279" s="15">
        <v>278</v>
      </c>
      <c r="B279" s="15" t="s">
        <v>1204</v>
      </c>
      <c r="C279" s="15" t="s">
        <v>1205</v>
      </c>
      <c r="D279" s="15">
        <f>COUNTIF('Itemized Calculation'!C:C,B279)</f>
        <v>1</v>
      </c>
      <c r="E279" s="42">
        <v>53.06</v>
      </c>
      <c r="F279" s="16">
        <f>SUMIF('Itemized Calculation'!C:C,B279,'Itemized Calculation'!K:K)</f>
        <v>48.9</v>
      </c>
      <c r="G279" s="16">
        <f t="shared" si="4"/>
        <v>4.1600000000000037</v>
      </c>
    </row>
    <row r="280" spans="1:7" ht="15" customHeight="1" x14ac:dyDescent="0.25">
      <c r="A280" s="15">
        <v>279</v>
      </c>
      <c r="B280" s="15" t="s">
        <v>1208</v>
      </c>
      <c r="C280" s="15" t="s">
        <v>1209</v>
      </c>
      <c r="D280" s="15">
        <f>COUNTIF('Itemized Calculation'!C:C,B280)</f>
        <v>1</v>
      </c>
      <c r="E280" s="42">
        <v>21.63</v>
      </c>
      <c r="F280" s="16">
        <f>SUMIF('Itemized Calculation'!C:C,B280,'Itemized Calculation'!K:K)</f>
        <v>20.3</v>
      </c>
      <c r="G280" s="16">
        <f t="shared" si="4"/>
        <v>1.3299999999999983</v>
      </c>
    </row>
    <row r="281" spans="1:7" ht="15" customHeight="1" x14ac:dyDescent="0.25">
      <c r="A281" s="15">
        <v>280</v>
      </c>
      <c r="B281" s="15" t="s">
        <v>1212</v>
      </c>
      <c r="C281" s="15" t="s">
        <v>1213</v>
      </c>
      <c r="D281" s="15">
        <f>COUNTIF('Itemized Calculation'!C:C,B281)</f>
        <v>1</v>
      </c>
      <c r="E281" s="42">
        <v>47.72</v>
      </c>
      <c r="F281" s="16">
        <f>SUMIF('Itemized Calculation'!C:C,B281,'Itemized Calculation'!K:K)</f>
        <v>39.5</v>
      </c>
      <c r="G281" s="16">
        <f t="shared" si="4"/>
        <v>8.2199999999999989</v>
      </c>
    </row>
    <row r="282" spans="1:7" ht="15" customHeight="1" x14ac:dyDescent="0.25">
      <c r="A282" s="15">
        <v>281</v>
      </c>
      <c r="B282" s="15" t="s">
        <v>1215</v>
      </c>
      <c r="C282" s="15" t="s">
        <v>1216</v>
      </c>
      <c r="D282" s="15">
        <f>COUNTIF('Itemized Calculation'!C:C,B282)</f>
        <v>1</v>
      </c>
      <c r="E282" s="42">
        <v>11.26</v>
      </c>
      <c r="F282" s="16">
        <f>SUMIF('Itemized Calculation'!C:C,B282,'Itemized Calculation'!K:K)</f>
        <v>10.395</v>
      </c>
      <c r="G282" s="16">
        <f t="shared" si="4"/>
        <v>0.86500000000000021</v>
      </c>
    </row>
    <row r="283" spans="1:7" ht="15" customHeight="1" x14ac:dyDescent="0.25">
      <c r="A283" s="15">
        <v>282</v>
      </c>
      <c r="B283" s="15" t="s">
        <v>1218</v>
      </c>
      <c r="C283" s="15" t="s">
        <v>1219</v>
      </c>
      <c r="D283" s="15">
        <f>COUNTIF('Itemized Calculation'!C:C,B283)</f>
        <v>1</v>
      </c>
      <c r="E283" s="42">
        <v>13.15</v>
      </c>
      <c r="F283" s="16">
        <f>SUMIF('Itemized Calculation'!C:C,B283,'Itemized Calculation'!K:K)</f>
        <v>12.968999999999999</v>
      </c>
      <c r="G283" s="16">
        <f t="shared" si="4"/>
        <v>0.18100000000000094</v>
      </c>
    </row>
    <row r="284" spans="1:7" ht="15" customHeight="1" x14ac:dyDescent="0.25">
      <c r="A284" s="15">
        <v>283</v>
      </c>
      <c r="B284" s="15" t="s">
        <v>1221</v>
      </c>
      <c r="C284" s="15" t="s">
        <v>1222</v>
      </c>
      <c r="D284" s="15">
        <f>COUNTIF('Itemized Calculation'!C:C,B284)</f>
        <v>1</v>
      </c>
      <c r="E284" s="42">
        <v>16.14</v>
      </c>
      <c r="F284" s="16">
        <f>SUMIF('Itemized Calculation'!C:C,B284,'Itemized Calculation'!K:K)</f>
        <v>14.652000000000001</v>
      </c>
      <c r="G284" s="16">
        <f t="shared" si="4"/>
        <v>1.4879999999999995</v>
      </c>
    </row>
    <row r="285" spans="1:7" ht="15" customHeight="1" x14ac:dyDescent="0.25">
      <c r="A285" s="15">
        <v>284</v>
      </c>
      <c r="B285" s="15" t="s">
        <v>1224</v>
      </c>
      <c r="C285" s="15" t="s">
        <v>1225</v>
      </c>
      <c r="D285" s="15">
        <f>COUNTIF('Itemized Calculation'!C:C,B285)</f>
        <v>1</v>
      </c>
      <c r="E285" s="42">
        <v>11.34</v>
      </c>
      <c r="F285" s="16">
        <f>SUMIF('Itemized Calculation'!C:C,B285,'Itemized Calculation'!K:K)</f>
        <v>11.187000000000001</v>
      </c>
      <c r="G285" s="16">
        <f t="shared" si="4"/>
        <v>0.15299999999999869</v>
      </c>
    </row>
    <row r="286" spans="1:7" ht="15" customHeight="1" x14ac:dyDescent="0.25">
      <c r="A286" s="15">
        <v>285</v>
      </c>
      <c r="B286" s="15" t="s">
        <v>1227</v>
      </c>
      <c r="C286" s="15" t="s">
        <v>1228</v>
      </c>
      <c r="D286" s="15">
        <f>COUNTIF('Itemized Calculation'!C:C,B286)</f>
        <v>1</v>
      </c>
      <c r="E286" s="42">
        <v>34.200000000000003</v>
      </c>
      <c r="F286" s="16">
        <f>SUMIF('Itemized Calculation'!C:C,B286,'Itemized Calculation'!K:K)</f>
        <v>35.045999999999999</v>
      </c>
      <c r="G286" s="16">
        <f t="shared" si="4"/>
        <v>-0.84599999999999653</v>
      </c>
    </row>
    <row r="287" spans="1:7" ht="15" customHeight="1" x14ac:dyDescent="0.25">
      <c r="A287" s="15">
        <v>286</v>
      </c>
      <c r="B287" s="15" t="s">
        <v>1230</v>
      </c>
      <c r="C287" s="15" t="s">
        <v>1231</v>
      </c>
      <c r="D287" s="15">
        <f>COUNTIF('Itemized Calculation'!C:C,B287)</f>
        <v>1</v>
      </c>
      <c r="E287" s="42">
        <v>27.08</v>
      </c>
      <c r="F287" s="16">
        <f>SUMIF('Itemized Calculation'!C:C,B287,'Itemized Calculation'!K:K)</f>
        <v>25.937999999999999</v>
      </c>
      <c r="G287" s="16">
        <f t="shared" si="4"/>
        <v>1.1419999999999995</v>
      </c>
    </row>
    <row r="288" spans="1:7" ht="15" customHeight="1" x14ac:dyDescent="0.25">
      <c r="A288" s="15">
        <v>287</v>
      </c>
      <c r="B288" s="15" t="s">
        <v>1233</v>
      </c>
      <c r="C288" s="15" t="s">
        <v>1234</v>
      </c>
      <c r="D288" s="15">
        <f>COUNTIF('Itemized Calculation'!C:C,B288)</f>
        <v>1</v>
      </c>
      <c r="E288" s="42">
        <v>14.06</v>
      </c>
      <c r="F288" s="16">
        <f>SUMIF('Itemized Calculation'!C:C,B288,'Itemized Calculation'!K:K)</f>
        <v>13.871</v>
      </c>
      <c r="G288" s="16">
        <f t="shared" si="4"/>
        <v>0.18900000000000006</v>
      </c>
    </row>
    <row r="289" spans="1:7" ht="15" customHeight="1" x14ac:dyDescent="0.25">
      <c r="A289" s="15">
        <v>288</v>
      </c>
      <c r="B289" s="15" t="s">
        <v>1236</v>
      </c>
      <c r="C289" s="15" t="s">
        <v>1237</v>
      </c>
      <c r="D289" s="15">
        <f>COUNTIF('Itemized Calculation'!C:C,B289)</f>
        <v>2</v>
      </c>
      <c r="E289" s="42">
        <v>22.19</v>
      </c>
      <c r="F289" s="16">
        <f>SUMIF('Itemized Calculation'!C:C,B289,'Itemized Calculation'!K:K)</f>
        <v>19.399999999999999</v>
      </c>
      <c r="G289" s="16">
        <f t="shared" si="4"/>
        <v>2.7900000000000027</v>
      </c>
    </row>
    <row r="290" spans="1:7" ht="15" customHeight="1" x14ac:dyDescent="0.25">
      <c r="A290" s="15">
        <v>289</v>
      </c>
      <c r="B290" s="15" t="s">
        <v>1241</v>
      </c>
      <c r="C290" s="15" t="s">
        <v>1242</v>
      </c>
      <c r="D290" s="15">
        <f>COUNTIF('Itemized Calculation'!C:C,B290)</f>
        <v>1</v>
      </c>
      <c r="E290" s="42">
        <v>12.88</v>
      </c>
      <c r="F290" s="16">
        <f>SUMIF('Itemized Calculation'!C:C,B290,'Itemized Calculation'!K:K)</f>
        <v>13.365</v>
      </c>
      <c r="G290" s="16">
        <f t="shared" si="4"/>
        <v>-0.48499999999999943</v>
      </c>
    </row>
    <row r="291" spans="1:7" ht="15" customHeight="1" x14ac:dyDescent="0.25">
      <c r="A291" s="15">
        <v>290</v>
      </c>
      <c r="B291" s="15" t="s">
        <v>1244</v>
      </c>
      <c r="C291" s="15" t="s">
        <v>1245</v>
      </c>
      <c r="D291" s="15">
        <f>COUNTIF('Itemized Calculation'!C:C,B291)</f>
        <v>1</v>
      </c>
      <c r="E291" s="42">
        <v>48.86</v>
      </c>
      <c r="F291" s="16">
        <f>SUMIF('Itemized Calculation'!C:C,B291,'Itemized Calculation'!K:K)</f>
        <v>45.298999999999999</v>
      </c>
      <c r="G291" s="16">
        <f t="shared" si="4"/>
        <v>3.5609999999999999</v>
      </c>
    </row>
    <row r="292" spans="1:7" ht="15" customHeight="1" x14ac:dyDescent="0.25">
      <c r="A292" s="15">
        <v>291</v>
      </c>
      <c r="B292" s="15" t="s">
        <v>1247</v>
      </c>
      <c r="C292" s="15" t="s">
        <v>1248</v>
      </c>
      <c r="D292" s="15">
        <f>COUNTIF('Itemized Calculation'!C:C,B292)</f>
        <v>1</v>
      </c>
      <c r="E292" s="42">
        <v>18.829999999999998</v>
      </c>
      <c r="F292" s="16">
        <f>SUMIF('Itemized Calculation'!C:C,B292,'Itemized Calculation'!K:K)</f>
        <v>18.612000000000002</v>
      </c>
      <c r="G292" s="16">
        <f t="shared" si="4"/>
        <v>0.21799999999999642</v>
      </c>
    </row>
    <row r="293" spans="1:7" ht="15" customHeight="1" x14ac:dyDescent="0.25">
      <c r="A293" s="15">
        <v>292</v>
      </c>
      <c r="B293" s="15" t="s">
        <v>1250</v>
      </c>
      <c r="C293" s="15" t="s">
        <v>1251</v>
      </c>
      <c r="D293" s="15">
        <f>COUNTIF('Itemized Calculation'!C:C,B293)</f>
        <v>1</v>
      </c>
      <c r="E293" s="42">
        <v>15.53</v>
      </c>
      <c r="F293" s="16">
        <f>SUMIF('Itemized Calculation'!C:C,B293,'Itemized Calculation'!K:K)</f>
        <v>13.950000000000001</v>
      </c>
      <c r="G293" s="16">
        <f t="shared" si="4"/>
        <v>1.5799999999999983</v>
      </c>
    </row>
    <row r="294" spans="1:7" ht="15" customHeight="1" x14ac:dyDescent="0.25">
      <c r="A294" s="15">
        <v>293</v>
      </c>
      <c r="B294" s="15" t="s">
        <v>1254</v>
      </c>
      <c r="C294" s="15" t="s">
        <v>1251</v>
      </c>
      <c r="D294" s="15">
        <f>COUNTIF('Itemized Calculation'!C:C,B294)</f>
        <v>1</v>
      </c>
      <c r="E294" s="42">
        <v>21.03</v>
      </c>
      <c r="F294" s="16">
        <f>SUMIF('Itemized Calculation'!C:C,B294,'Itemized Calculation'!K:K)</f>
        <v>20.3</v>
      </c>
      <c r="G294" s="16">
        <f t="shared" si="4"/>
        <v>0.73000000000000043</v>
      </c>
    </row>
    <row r="295" spans="1:7" ht="15" customHeight="1" x14ac:dyDescent="0.25">
      <c r="A295" s="15">
        <v>294</v>
      </c>
      <c r="B295" s="15" t="s">
        <v>1257</v>
      </c>
      <c r="C295" s="15" t="s">
        <v>1258</v>
      </c>
      <c r="D295" s="15">
        <f>COUNTIF('Itemized Calculation'!C:C,B295)</f>
        <v>1</v>
      </c>
      <c r="E295" s="42">
        <v>47.89</v>
      </c>
      <c r="F295" s="16">
        <f>SUMIF('Itemized Calculation'!C:C,B295,'Itemized Calculation'!K:K)</f>
        <v>45.298999999999999</v>
      </c>
      <c r="G295" s="16">
        <f t="shared" si="4"/>
        <v>2.5910000000000011</v>
      </c>
    </row>
    <row r="296" spans="1:7" ht="15" customHeight="1" x14ac:dyDescent="0.25">
      <c r="A296" s="15">
        <v>295</v>
      </c>
      <c r="B296" s="15" t="s">
        <v>1261</v>
      </c>
      <c r="C296" s="15" t="s">
        <v>1262</v>
      </c>
      <c r="D296" s="15">
        <f>COUNTIF('Itemized Calculation'!C:C,B296)</f>
        <v>1</v>
      </c>
      <c r="E296" s="42">
        <v>11.77</v>
      </c>
      <c r="F296" s="16">
        <f>SUMIF('Itemized Calculation'!C:C,B296,'Itemized Calculation'!K:K)</f>
        <v>11.187000000000001</v>
      </c>
      <c r="G296" s="16">
        <f t="shared" si="4"/>
        <v>0.58299999999999841</v>
      </c>
    </row>
    <row r="297" spans="1:7" ht="15" customHeight="1" x14ac:dyDescent="0.25">
      <c r="A297" s="15">
        <v>296</v>
      </c>
      <c r="B297" s="15" t="s">
        <v>1264</v>
      </c>
      <c r="C297" s="15" t="s">
        <v>1265</v>
      </c>
      <c r="D297" s="15">
        <f>COUNTIF('Itemized Calculation'!C:C,B297)</f>
        <v>1</v>
      </c>
      <c r="E297" s="42">
        <v>11.77</v>
      </c>
      <c r="F297" s="16">
        <f>SUMIF('Itemized Calculation'!C:C,B297,'Itemized Calculation'!K:K)</f>
        <v>10.593</v>
      </c>
      <c r="G297" s="16">
        <f t="shared" si="4"/>
        <v>1.1769999999999996</v>
      </c>
    </row>
    <row r="298" spans="1:7" ht="15" customHeight="1" x14ac:dyDescent="0.25">
      <c r="A298" s="15">
        <v>297</v>
      </c>
      <c r="B298" s="15" t="s">
        <v>1267</v>
      </c>
      <c r="C298" s="15" t="s">
        <v>1268</v>
      </c>
      <c r="D298" s="15">
        <f>COUNTIF('Itemized Calculation'!C:C,B298)</f>
        <v>1</v>
      </c>
      <c r="E298" s="42">
        <v>13.34</v>
      </c>
      <c r="F298" s="16">
        <f>SUMIF('Itemized Calculation'!C:C,B298,'Itemized Calculation'!K:K)</f>
        <v>13.365</v>
      </c>
      <c r="G298" s="16">
        <f t="shared" si="4"/>
        <v>-2.5000000000000355E-2</v>
      </c>
    </row>
    <row r="299" spans="1:7" ht="15" customHeight="1" x14ac:dyDescent="0.25">
      <c r="A299" s="15">
        <v>298</v>
      </c>
      <c r="B299" s="15" t="s">
        <v>1270</v>
      </c>
      <c r="C299" s="15" t="s">
        <v>1271</v>
      </c>
      <c r="D299" s="15">
        <f>COUNTIF('Itemized Calculation'!C:C,B299)</f>
        <v>1</v>
      </c>
      <c r="E299" s="42">
        <v>12.87</v>
      </c>
      <c r="F299" s="16">
        <f>SUMIF('Itemized Calculation'!C:C,B299,'Itemized Calculation'!K:K)</f>
        <v>13.365</v>
      </c>
      <c r="G299" s="16">
        <f t="shared" si="4"/>
        <v>-0.49500000000000099</v>
      </c>
    </row>
    <row r="300" spans="1:7" ht="15" customHeight="1" x14ac:dyDescent="0.25">
      <c r="A300" s="15">
        <v>299</v>
      </c>
      <c r="B300" s="15" t="s">
        <v>1273</v>
      </c>
      <c r="C300" s="15" t="s">
        <v>1274</v>
      </c>
      <c r="D300" s="15">
        <f>COUNTIF('Itemized Calculation'!C:C,B300)</f>
        <v>1</v>
      </c>
      <c r="E300" s="42">
        <v>10.9</v>
      </c>
      <c r="F300" s="16">
        <f>SUMIF('Itemized Calculation'!C:C,B300,'Itemized Calculation'!K:K)</f>
        <v>9.6000000000000014</v>
      </c>
      <c r="G300" s="16">
        <f t="shared" si="4"/>
        <v>1.2999999999999989</v>
      </c>
    </row>
    <row r="301" spans="1:7" ht="15" customHeight="1" x14ac:dyDescent="0.25">
      <c r="A301" s="15">
        <v>300</v>
      </c>
      <c r="B301" s="15" t="s">
        <v>1277</v>
      </c>
      <c r="C301" s="15" t="s">
        <v>1278</v>
      </c>
      <c r="D301" s="15">
        <f>COUNTIF('Itemized Calculation'!C:C,B301)</f>
        <v>1</v>
      </c>
      <c r="E301" s="42">
        <v>12.63</v>
      </c>
      <c r="F301" s="16">
        <f>SUMIF('Itemized Calculation'!C:C,B301,'Itemized Calculation'!K:K)</f>
        <v>13.365</v>
      </c>
      <c r="G301" s="16">
        <f t="shared" si="4"/>
        <v>-0.73499999999999943</v>
      </c>
    </row>
    <row r="302" spans="1:7" ht="15" customHeight="1" x14ac:dyDescent="0.25">
      <c r="A302" s="15">
        <v>301</v>
      </c>
      <c r="B302" s="15" t="s">
        <v>1280</v>
      </c>
      <c r="C302" s="15" t="s">
        <v>1281</v>
      </c>
      <c r="D302" s="15">
        <f>COUNTIF('Itemized Calculation'!C:C,B302)</f>
        <v>2</v>
      </c>
      <c r="E302" s="42">
        <v>22.03</v>
      </c>
      <c r="F302" s="16">
        <f>SUMIF('Itemized Calculation'!C:C,B302,'Itemized Calculation'!K:K)</f>
        <v>20.484999999999999</v>
      </c>
      <c r="G302" s="16">
        <f t="shared" si="4"/>
        <v>1.5450000000000017</v>
      </c>
    </row>
    <row r="303" spans="1:7" ht="15" customHeight="1" x14ac:dyDescent="0.25">
      <c r="A303" s="15">
        <v>302</v>
      </c>
      <c r="B303" s="15" t="s">
        <v>1284</v>
      </c>
      <c r="C303" s="15" t="s">
        <v>1285</v>
      </c>
      <c r="D303" s="15">
        <f>COUNTIF('Itemized Calculation'!C:C,B303)</f>
        <v>1</v>
      </c>
      <c r="E303" s="42">
        <v>54.27</v>
      </c>
      <c r="F303" s="16">
        <f>SUMIF('Itemized Calculation'!C:C,B303,'Itemized Calculation'!K:K)</f>
        <v>50.3</v>
      </c>
      <c r="G303" s="16">
        <f t="shared" si="4"/>
        <v>3.970000000000006</v>
      </c>
    </row>
    <row r="304" spans="1:7" ht="15" customHeight="1" x14ac:dyDescent="0.25">
      <c r="A304" s="15">
        <v>303</v>
      </c>
      <c r="B304" s="15" t="s">
        <v>1287</v>
      </c>
      <c r="C304" s="15" t="s">
        <v>1288</v>
      </c>
      <c r="D304" s="15">
        <f>COUNTIF('Itemized Calculation'!C:C,B304)</f>
        <v>1</v>
      </c>
      <c r="E304" s="42">
        <v>13.51</v>
      </c>
      <c r="F304" s="16">
        <f>SUMIF('Itemized Calculation'!C:C,B304,'Itemized Calculation'!K:K)</f>
        <v>11.408000000000001</v>
      </c>
      <c r="G304" s="16">
        <f t="shared" si="4"/>
        <v>2.1019999999999985</v>
      </c>
    </row>
    <row r="305" spans="1:7" ht="15" customHeight="1" x14ac:dyDescent="0.25">
      <c r="A305" s="15">
        <v>304</v>
      </c>
      <c r="B305" s="15" t="s">
        <v>1290</v>
      </c>
      <c r="C305" s="15" t="s">
        <v>1291</v>
      </c>
      <c r="D305" s="15">
        <f>COUNTIF('Itemized Calculation'!C:C,B305)</f>
        <v>1</v>
      </c>
      <c r="E305" s="42">
        <v>21.34</v>
      </c>
      <c r="F305" s="16">
        <f>SUMIF('Itemized Calculation'!C:C,B305,'Itemized Calculation'!K:K)</f>
        <v>20.3</v>
      </c>
      <c r="G305" s="16">
        <f t="shared" si="4"/>
        <v>1.0399999999999991</v>
      </c>
    </row>
    <row r="306" spans="1:7" ht="15" customHeight="1" x14ac:dyDescent="0.25">
      <c r="A306" s="15">
        <v>305</v>
      </c>
      <c r="B306" s="15" t="s">
        <v>1294</v>
      </c>
      <c r="C306" s="15" t="s">
        <v>1295</v>
      </c>
      <c r="D306" s="15">
        <f>COUNTIF('Itemized Calculation'!C:C,B306)</f>
        <v>1</v>
      </c>
      <c r="E306" s="42">
        <v>37.409999999999997</v>
      </c>
      <c r="F306" s="16">
        <f>SUMIF('Itemized Calculation'!C:C,B306,'Itemized Calculation'!K:K)</f>
        <v>36.180999999999997</v>
      </c>
      <c r="G306" s="16">
        <f t="shared" si="4"/>
        <v>1.2289999999999992</v>
      </c>
    </row>
    <row r="307" spans="1:7" ht="15" customHeight="1" x14ac:dyDescent="0.25">
      <c r="A307" s="15">
        <v>306</v>
      </c>
      <c r="B307" s="15" t="s">
        <v>1298</v>
      </c>
      <c r="C307" s="15" t="s">
        <v>1299</v>
      </c>
      <c r="D307" s="15">
        <f>COUNTIF('Itemized Calculation'!C:C,B307)</f>
        <v>1</v>
      </c>
      <c r="E307" s="42">
        <v>16.47</v>
      </c>
      <c r="F307" s="16">
        <f>SUMIF('Itemized Calculation'!C:C,B307,'Itemized Calculation'!K:K)</f>
        <v>16.137</v>
      </c>
      <c r="G307" s="16">
        <f t="shared" si="4"/>
        <v>0.33299999999999841</v>
      </c>
    </row>
    <row r="308" spans="1:7" ht="15" customHeight="1" x14ac:dyDescent="0.25">
      <c r="A308" s="15">
        <v>307</v>
      </c>
      <c r="B308" s="15" t="s">
        <v>151</v>
      </c>
      <c r="C308" s="15" t="s">
        <v>1300</v>
      </c>
      <c r="D308" s="15">
        <f>COUNTIF('Itemized Calculation'!C:C,B308)</f>
        <v>1</v>
      </c>
      <c r="E308" s="42">
        <v>28.23</v>
      </c>
      <c r="F308" s="16">
        <f>SUMIF('Itemized Calculation'!C:C,B308,'Itemized Calculation'!K:K)</f>
        <v>31.184999999999999</v>
      </c>
      <c r="G308" s="16">
        <f t="shared" si="4"/>
        <v>-2.9549999999999983</v>
      </c>
    </row>
    <row r="309" spans="1:7" ht="15" customHeight="1" x14ac:dyDescent="0.25">
      <c r="A309" s="15">
        <v>308</v>
      </c>
      <c r="B309" s="15" t="s">
        <v>226</v>
      </c>
      <c r="C309" s="15" t="s">
        <v>1301</v>
      </c>
      <c r="D309" s="15">
        <f>COUNTIF('Itemized Calculation'!C:C,B309)</f>
        <v>4</v>
      </c>
      <c r="E309" s="42">
        <v>76.33</v>
      </c>
      <c r="F309" s="16">
        <f>SUMIF('Itemized Calculation'!C:C,B309,'Itemized Calculation'!K:K)</f>
        <v>74.448000000000008</v>
      </c>
      <c r="G309" s="16">
        <f t="shared" si="4"/>
        <v>1.8819999999999908</v>
      </c>
    </row>
    <row r="310" spans="1:7" ht="15" customHeight="1" x14ac:dyDescent="0.25">
      <c r="A310" s="15">
        <v>309</v>
      </c>
      <c r="B310" s="15" t="s">
        <v>1303</v>
      </c>
      <c r="C310" s="15" t="s">
        <v>1304</v>
      </c>
      <c r="D310" s="15">
        <f>COUNTIF('Itemized Calculation'!C:C,B310)</f>
        <v>1</v>
      </c>
      <c r="E310" s="42">
        <v>18.059999999999999</v>
      </c>
      <c r="F310" s="16">
        <f>SUMIF('Itemized Calculation'!C:C,B310,'Itemized Calculation'!K:K)</f>
        <v>18.612000000000002</v>
      </c>
      <c r="G310" s="16">
        <f t="shared" si="4"/>
        <v>-0.55200000000000315</v>
      </c>
    </row>
    <row r="311" spans="1:7" ht="15" customHeight="1" x14ac:dyDescent="0.25">
      <c r="A311" s="15">
        <v>310</v>
      </c>
      <c r="B311" s="15" t="s">
        <v>172</v>
      </c>
      <c r="C311" s="15" t="s">
        <v>1305</v>
      </c>
      <c r="D311" s="15">
        <f>COUNTIF('Itemized Calculation'!C:C,B311)</f>
        <v>3</v>
      </c>
      <c r="E311" s="42">
        <v>33.22</v>
      </c>
      <c r="F311" s="16">
        <f>SUMIF('Itemized Calculation'!C:C,B311,'Itemized Calculation'!K:K)</f>
        <v>31.977000000000004</v>
      </c>
      <c r="G311" s="16">
        <f t="shared" si="4"/>
        <v>1.242999999999995</v>
      </c>
    </row>
    <row r="312" spans="1:7" ht="15" customHeight="1" x14ac:dyDescent="0.25">
      <c r="A312" s="15">
        <v>311</v>
      </c>
      <c r="B312" s="15" t="s">
        <v>1307</v>
      </c>
      <c r="C312" s="15" t="s">
        <v>1308</v>
      </c>
      <c r="D312" s="15">
        <f>COUNTIF('Itemized Calculation'!C:C,B312)</f>
        <v>1</v>
      </c>
      <c r="E312" s="42">
        <v>12.76</v>
      </c>
      <c r="F312" s="16">
        <f>SUMIF('Itemized Calculation'!C:C,B312,'Itemized Calculation'!K:K)</f>
        <v>13.068</v>
      </c>
      <c r="G312" s="16">
        <f t="shared" si="4"/>
        <v>-0.30799999999999983</v>
      </c>
    </row>
    <row r="313" spans="1:7" ht="15" customHeight="1" x14ac:dyDescent="0.25">
      <c r="A313" s="15">
        <v>312</v>
      </c>
      <c r="B313" s="15" t="s">
        <v>1310</v>
      </c>
      <c r="C313" s="15" t="s">
        <v>1311</v>
      </c>
      <c r="D313" s="15">
        <f>COUNTIF('Itemized Calculation'!C:C,B313)</f>
        <v>1</v>
      </c>
      <c r="E313" s="42">
        <v>20.41</v>
      </c>
      <c r="F313" s="16">
        <f>SUMIF('Itemized Calculation'!C:C,B313,'Itemized Calculation'!K:K)</f>
        <v>19.894000000000002</v>
      </c>
      <c r="G313" s="16">
        <f t="shared" si="4"/>
        <v>0.51599999999999824</v>
      </c>
    </row>
    <row r="314" spans="1:7" ht="15" customHeight="1" x14ac:dyDescent="0.25">
      <c r="A314" s="15">
        <v>313</v>
      </c>
      <c r="B314" s="15" t="s">
        <v>1314</v>
      </c>
      <c r="C314" s="15" t="s">
        <v>1315</v>
      </c>
      <c r="D314" s="15">
        <f>COUNTIF('Itemized Calculation'!C:C,B314)</f>
        <v>1</v>
      </c>
      <c r="E314" s="42">
        <v>22.75</v>
      </c>
      <c r="F314" s="16">
        <f>SUMIF('Itemized Calculation'!C:C,B314,'Itemized Calculation'!K:K)</f>
        <v>21.66</v>
      </c>
      <c r="G314" s="16">
        <f t="shared" si="4"/>
        <v>1.0899999999999999</v>
      </c>
    </row>
    <row r="315" spans="1:7" ht="15" customHeight="1" x14ac:dyDescent="0.25">
      <c r="A315" s="15">
        <v>314</v>
      </c>
      <c r="B315" s="15" t="s">
        <v>170</v>
      </c>
      <c r="C315" s="15" t="s">
        <v>1317</v>
      </c>
      <c r="D315" s="15">
        <f>COUNTIF('Itemized Calculation'!C:C,B315)</f>
        <v>1</v>
      </c>
      <c r="E315" s="42">
        <v>17.21</v>
      </c>
      <c r="F315" s="16">
        <f>SUMIF('Itemized Calculation'!C:C,B315,'Itemized Calculation'!K:K)</f>
        <v>17.385000000000002</v>
      </c>
      <c r="G315" s="16">
        <f t="shared" si="4"/>
        <v>-0.17500000000000071</v>
      </c>
    </row>
    <row r="316" spans="1:7" ht="15" customHeight="1" x14ac:dyDescent="0.25">
      <c r="A316" s="15">
        <v>315</v>
      </c>
      <c r="B316" s="15" t="s">
        <v>1319</v>
      </c>
      <c r="C316" s="15" t="s">
        <v>1320</v>
      </c>
      <c r="D316" s="15">
        <f>COUNTIF('Itemized Calculation'!C:C,B316)</f>
        <v>1</v>
      </c>
      <c r="E316" s="42">
        <v>10.77</v>
      </c>
      <c r="F316" s="16">
        <f>SUMIF('Itemized Calculation'!C:C,B316,'Itemized Calculation'!K:K)</f>
        <v>10.494</v>
      </c>
      <c r="G316" s="16">
        <f t="shared" si="4"/>
        <v>0.2759999999999998</v>
      </c>
    </row>
    <row r="317" spans="1:7" ht="15" customHeight="1" x14ac:dyDescent="0.25">
      <c r="A317" s="15">
        <v>316</v>
      </c>
      <c r="B317" s="15" t="s">
        <v>1322</v>
      </c>
      <c r="C317" s="15" t="s">
        <v>1323</v>
      </c>
      <c r="D317" s="15">
        <f>COUNTIF('Itemized Calculation'!C:C,B317)</f>
        <v>1</v>
      </c>
      <c r="E317" s="42">
        <v>16.149999999999999</v>
      </c>
      <c r="F317" s="16">
        <f>SUMIF('Itemized Calculation'!C:C,B317,'Itemized Calculation'!K:K)</f>
        <v>16.137</v>
      </c>
      <c r="G317" s="16">
        <f t="shared" si="4"/>
        <v>1.2999999999998124E-2</v>
      </c>
    </row>
    <row r="318" spans="1:7" ht="15" customHeight="1" x14ac:dyDescent="0.25">
      <c r="A318" s="15">
        <v>317</v>
      </c>
      <c r="B318" s="15" t="s">
        <v>1325</v>
      </c>
      <c r="C318" s="15" t="s">
        <v>1326</v>
      </c>
      <c r="D318" s="15">
        <f>COUNTIF('Itemized Calculation'!C:C,B318)</f>
        <v>1</v>
      </c>
      <c r="E318" s="42">
        <v>15.61</v>
      </c>
      <c r="F318" s="16">
        <f>SUMIF('Itemized Calculation'!C:C,B318,'Itemized Calculation'!K:K)</f>
        <v>14.040000000000001</v>
      </c>
      <c r="G318" s="16">
        <f t="shared" si="4"/>
        <v>1.5699999999999985</v>
      </c>
    </row>
    <row r="319" spans="1:7" ht="15" customHeight="1" x14ac:dyDescent="0.25">
      <c r="A319" s="15">
        <v>318</v>
      </c>
      <c r="B319" s="15" t="s">
        <v>1328</v>
      </c>
      <c r="C319" s="15" t="s">
        <v>1329</v>
      </c>
      <c r="D319" s="15">
        <f>COUNTIF('Itemized Calculation'!C:C,B319)</f>
        <v>1</v>
      </c>
      <c r="E319" s="42">
        <v>27.29</v>
      </c>
      <c r="F319" s="16">
        <f>SUMIF('Itemized Calculation'!C:C,B319,'Itemized Calculation'!K:K)</f>
        <v>25.745000000000001</v>
      </c>
      <c r="G319" s="16">
        <f t="shared" si="4"/>
        <v>1.5449999999999982</v>
      </c>
    </row>
    <row r="320" spans="1:7" ht="15" customHeight="1" x14ac:dyDescent="0.25">
      <c r="A320" s="15">
        <v>319</v>
      </c>
      <c r="B320" s="15" t="s">
        <v>1331</v>
      </c>
      <c r="C320" s="15" t="s">
        <v>1332</v>
      </c>
      <c r="D320" s="15">
        <f>COUNTIF('Itemized Calculation'!C:C,B320)</f>
        <v>2</v>
      </c>
      <c r="E320" s="42">
        <v>24.11</v>
      </c>
      <c r="F320" s="16">
        <f>SUMIF('Itemized Calculation'!C:C,B320,'Itemized Calculation'!K:K)</f>
        <v>23.363999999999997</v>
      </c>
      <c r="G320" s="16">
        <f t="shared" si="4"/>
        <v>0.74600000000000222</v>
      </c>
    </row>
    <row r="321" spans="1:7" ht="15" customHeight="1" x14ac:dyDescent="0.25">
      <c r="A321" s="15">
        <v>320</v>
      </c>
      <c r="B321" s="15" t="s">
        <v>1334</v>
      </c>
      <c r="C321" s="15" t="s">
        <v>1335</v>
      </c>
      <c r="D321" s="15">
        <f>COUNTIF('Itemized Calculation'!C:C,B321)</f>
        <v>1</v>
      </c>
      <c r="E321" s="42">
        <v>13.12</v>
      </c>
      <c r="F321" s="16">
        <f>SUMIF('Itemized Calculation'!C:C,B321,'Itemized Calculation'!K:K)</f>
        <v>13.068</v>
      </c>
      <c r="G321" s="16">
        <f t="shared" si="4"/>
        <v>5.1999999999999602E-2</v>
      </c>
    </row>
    <row r="322" spans="1:7" ht="15" customHeight="1" x14ac:dyDescent="0.25">
      <c r="A322" s="15">
        <v>321</v>
      </c>
      <c r="B322" s="15" t="s">
        <v>1337</v>
      </c>
      <c r="C322" s="15" t="s">
        <v>1338</v>
      </c>
      <c r="D322" s="15">
        <f>COUNTIF('Itemized Calculation'!C:C,B322)</f>
        <v>1</v>
      </c>
      <c r="E322" s="42">
        <v>12.48</v>
      </c>
      <c r="F322" s="16">
        <f>SUMIF('Itemized Calculation'!C:C,B322,'Itemized Calculation'!K:K)</f>
        <v>12.276</v>
      </c>
      <c r="G322" s="16">
        <f t="shared" ref="G322:G385" si="5">E322-F322</f>
        <v>0.20400000000000063</v>
      </c>
    </row>
    <row r="323" spans="1:7" ht="15" customHeight="1" x14ac:dyDescent="0.25">
      <c r="A323" s="15">
        <v>322</v>
      </c>
      <c r="B323" s="15" t="s">
        <v>1340</v>
      </c>
      <c r="C323" s="15" t="s">
        <v>1341</v>
      </c>
      <c r="D323" s="15">
        <f>COUNTIF('Itemized Calculation'!C:C,B323)</f>
        <v>1</v>
      </c>
      <c r="E323" s="42">
        <v>25.56</v>
      </c>
      <c r="F323" s="16">
        <f>SUMIF('Itemized Calculation'!C:C,B323,'Itemized Calculation'!K:K)</f>
        <v>23.959</v>
      </c>
      <c r="G323" s="16">
        <f t="shared" si="5"/>
        <v>1.6009999999999991</v>
      </c>
    </row>
    <row r="324" spans="1:7" ht="15" customHeight="1" x14ac:dyDescent="0.25">
      <c r="A324" s="15">
        <v>323</v>
      </c>
      <c r="B324" s="15" t="s">
        <v>1344</v>
      </c>
      <c r="C324" s="15" t="s">
        <v>1345</v>
      </c>
      <c r="D324" s="15">
        <f>COUNTIF('Itemized Calculation'!C:C,B324)</f>
        <v>1</v>
      </c>
      <c r="E324" s="42">
        <v>44.73</v>
      </c>
      <c r="F324" s="16">
        <f>SUMIF('Itemized Calculation'!C:C,B324,'Itemized Calculation'!K:K)</f>
        <v>45.667999999999999</v>
      </c>
      <c r="G324" s="16">
        <f t="shared" si="5"/>
        <v>-0.93800000000000239</v>
      </c>
    </row>
    <row r="325" spans="1:7" ht="15" customHeight="1" x14ac:dyDescent="0.25">
      <c r="A325" s="15">
        <v>324</v>
      </c>
      <c r="B325" s="15" t="s">
        <v>1348</v>
      </c>
      <c r="C325" s="15" t="s">
        <v>1349</v>
      </c>
      <c r="D325" s="15">
        <f>COUNTIF('Itemized Calculation'!C:C,B325)</f>
        <v>1</v>
      </c>
      <c r="E325" s="42">
        <v>53.14</v>
      </c>
      <c r="F325" s="16">
        <f>SUMIF('Itemized Calculation'!C:C,B325,'Itemized Calculation'!K:K)</f>
        <v>50.3</v>
      </c>
      <c r="G325" s="16">
        <f t="shared" si="5"/>
        <v>2.8400000000000034</v>
      </c>
    </row>
    <row r="326" spans="1:7" ht="15" customHeight="1" x14ac:dyDescent="0.25">
      <c r="A326" s="15">
        <v>325</v>
      </c>
      <c r="B326" s="15" t="s">
        <v>1352</v>
      </c>
      <c r="C326" s="15" t="s">
        <v>1353</v>
      </c>
      <c r="D326" s="15">
        <f>COUNTIF('Itemized Calculation'!C:C,B326)</f>
        <v>1</v>
      </c>
      <c r="E326" s="42">
        <v>10.76</v>
      </c>
      <c r="F326" s="16">
        <f>SUMIF('Itemized Calculation'!C:C,B326,'Itemized Calculation'!K:K)</f>
        <v>10.593</v>
      </c>
      <c r="G326" s="16">
        <f t="shared" si="5"/>
        <v>0.16699999999999982</v>
      </c>
    </row>
    <row r="327" spans="1:7" ht="15" customHeight="1" x14ac:dyDescent="0.25">
      <c r="A327" s="15">
        <v>326</v>
      </c>
      <c r="B327" s="15" t="s">
        <v>1355</v>
      </c>
      <c r="C327" s="15" t="s">
        <v>1356</v>
      </c>
      <c r="D327" s="15">
        <f>COUNTIF('Itemized Calculation'!C:C,B327)</f>
        <v>1</v>
      </c>
      <c r="E327" s="42">
        <v>11.14</v>
      </c>
      <c r="F327" s="16">
        <f>SUMIF('Itemized Calculation'!C:C,B327,'Itemized Calculation'!K:K)</f>
        <v>10.494</v>
      </c>
      <c r="G327" s="16">
        <f t="shared" si="5"/>
        <v>0.6460000000000008</v>
      </c>
    </row>
    <row r="328" spans="1:7" ht="15" customHeight="1" x14ac:dyDescent="0.25">
      <c r="A328" s="15">
        <v>327</v>
      </c>
      <c r="B328" s="15" t="s">
        <v>1358</v>
      </c>
      <c r="C328" s="15" t="s">
        <v>1359</v>
      </c>
      <c r="D328" s="15">
        <f>COUNTIF('Itemized Calculation'!C:C,B328)</f>
        <v>1</v>
      </c>
      <c r="E328" s="42">
        <v>13</v>
      </c>
      <c r="F328" s="16">
        <f>SUMIF('Itemized Calculation'!C:C,B328,'Itemized Calculation'!K:K)</f>
        <v>13.365</v>
      </c>
      <c r="G328" s="16">
        <f t="shared" si="5"/>
        <v>-0.36500000000000021</v>
      </c>
    </row>
    <row r="329" spans="1:7" ht="15" customHeight="1" x14ac:dyDescent="0.25">
      <c r="A329" s="15">
        <v>328</v>
      </c>
      <c r="B329" s="15" t="s">
        <v>132</v>
      </c>
      <c r="C329" s="15" t="s">
        <v>1360</v>
      </c>
      <c r="D329" s="15">
        <f>COUNTIF('Itemized Calculation'!C:C,B329)</f>
        <v>1</v>
      </c>
      <c r="E329" s="42">
        <v>11.15</v>
      </c>
      <c r="F329" s="16">
        <f>SUMIF('Itemized Calculation'!C:C,B329,'Itemized Calculation'!K:K)</f>
        <v>12.64</v>
      </c>
      <c r="G329" s="16">
        <f t="shared" si="5"/>
        <v>-1.4900000000000002</v>
      </c>
    </row>
    <row r="330" spans="1:7" ht="15" customHeight="1" x14ac:dyDescent="0.25">
      <c r="A330" s="15">
        <v>329</v>
      </c>
      <c r="B330" s="15" t="s">
        <v>1362</v>
      </c>
      <c r="C330" s="15" t="s">
        <v>1363</v>
      </c>
      <c r="D330" s="15">
        <f>COUNTIF('Itemized Calculation'!C:C,B330)</f>
        <v>1</v>
      </c>
      <c r="E330" s="42">
        <v>11.22</v>
      </c>
      <c r="F330" s="16">
        <f>SUMIF('Itemized Calculation'!C:C,B330,'Itemized Calculation'!K:K)</f>
        <v>10.395</v>
      </c>
      <c r="G330" s="16">
        <f t="shared" si="5"/>
        <v>0.82500000000000107</v>
      </c>
    </row>
    <row r="331" spans="1:7" ht="15" customHeight="1" x14ac:dyDescent="0.25">
      <c r="A331" s="15">
        <v>330</v>
      </c>
      <c r="B331" s="15" t="s">
        <v>1366</v>
      </c>
      <c r="C331" s="15" t="s">
        <v>1367</v>
      </c>
      <c r="D331" s="15">
        <f>COUNTIF('Itemized Calculation'!C:C,B331)</f>
        <v>1</v>
      </c>
      <c r="E331" s="42">
        <v>15.5</v>
      </c>
      <c r="F331" s="16">
        <f>SUMIF('Itemized Calculation'!C:C,B331,'Itemized Calculation'!K:K)</f>
        <v>14.85</v>
      </c>
      <c r="G331" s="16">
        <f t="shared" si="5"/>
        <v>0.65000000000000036</v>
      </c>
    </row>
    <row r="332" spans="1:7" ht="15" customHeight="1" x14ac:dyDescent="0.25">
      <c r="A332" s="15">
        <v>331</v>
      </c>
      <c r="B332" s="15" t="s">
        <v>1369</v>
      </c>
      <c r="C332" s="15" t="s">
        <v>1370</v>
      </c>
      <c r="D332" s="15">
        <f>COUNTIF('Itemized Calculation'!C:C,B332)</f>
        <v>1</v>
      </c>
      <c r="E332" s="42">
        <v>54.02</v>
      </c>
      <c r="F332" s="16">
        <f>SUMIF('Itemized Calculation'!C:C,B332,'Itemized Calculation'!K:K)</f>
        <v>50.3</v>
      </c>
      <c r="G332" s="16">
        <f t="shared" si="5"/>
        <v>3.720000000000006</v>
      </c>
    </row>
    <row r="333" spans="1:7" ht="15" customHeight="1" x14ac:dyDescent="0.25">
      <c r="A333" s="15">
        <v>332</v>
      </c>
      <c r="B333" s="15" t="s">
        <v>1372</v>
      </c>
      <c r="C333" s="15" t="s">
        <v>1373</v>
      </c>
      <c r="D333" s="15">
        <f>COUNTIF('Itemized Calculation'!C:C,B333)</f>
        <v>1</v>
      </c>
      <c r="E333" s="42">
        <v>9.2200000000000006</v>
      </c>
      <c r="F333" s="16">
        <f>SUMIF('Itemized Calculation'!C:C,B333,'Itemized Calculation'!K:K)</f>
        <v>8.4550000000000001</v>
      </c>
      <c r="G333" s="16">
        <f t="shared" si="5"/>
        <v>0.76500000000000057</v>
      </c>
    </row>
    <row r="334" spans="1:7" ht="15" customHeight="1" x14ac:dyDescent="0.25">
      <c r="A334" s="15">
        <v>333</v>
      </c>
      <c r="B334" s="15" t="s">
        <v>1376</v>
      </c>
      <c r="C334" s="15" t="s">
        <v>1377</v>
      </c>
      <c r="D334" s="15">
        <f>COUNTIF('Itemized Calculation'!C:C,B334)</f>
        <v>2</v>
      </c>
      <c r="E334" s="42">
        <v>32.54</v>
      </c>
      <c r="F334" s="16">
        <f>SUMIF('Itemized Calculation'!C:C,B334,'Itemized Calculation'!K:K)</f>
        <v>29.757999999999996</v>
      </c>
      <c r="G334" s="16">
        <f t="shared" si="5"/>
        <v>2.7820000000000036</v>
      </c>
    </row>
    <row r="335" spans="1:7" ht="15" customHeight="1" x14ac:dyDescent="0.25">
      <c r="A335" s="15">
        <v>334</v>
      </c>
      <c r="B335" s="15" t="s">
        <v>1380</v>
      </c>
      <c r="C335" s="15" t="s">
        <v>1381</v>
      </c>
      <c r="D335" s="15">
        <f>COUNTIF('Itemized Calculation'!C:C,B335)</f>
        <v>1</v>
      </c>
      <c r="E335" s="42">
        <v>11.75</v>
      </c>
      <c r="F335" s="16">
        <f>SUMIF('Itemized Calculation'!C:C,B335,'Itemized Calculation'!K:K)</f>
        <v>11.187000000000001</v>
      </c>
      <c r="G335" s="16">
        <f t="shared" si="5"/>
        <v>0.56299999999999883</v>
      </c>
    </row>
    <row r="336" spans="1:7" ht="15" customHeight="1" x14ac:dyDescent="0.25">
      <c r="A336" s="15">
        <v>335</v>
      </c>
      <c r="B336" s="15" t="s">
        <v>1383</v>
      </c>
      <c r="C336" s="15" t="s">
        <v>1384</v>
      </c>
      <c r="D336" s="15">
        <f>COUNTIF('Itemized Calculation'!C:C,B336)</f>
        <v>1</v>
      </c>
      <c r="E336" s="42">
        <v>13.72</v>
      </c>
      <c r="F336" s="16">
        <f>SUMIF('Itemized Calculation'!C:C,B336,'Itemized Calculation'!K:K)</f>
        <v>12.968999999999999</v>
      </c>
      <c r="G336" s="16">
        <f t="shared" si="5"/>
        <v>0.75100000000000122</v>
      </c>
    </row>
    <row r="337" spans="1:7" ht="15" customHeight="1" x14ac:dyDescent="0.25">
      <c r="A337" s="15">
        <v>336</v>
      </c>
      <c r="B337" s="15" t="s">
        <v>1386</v>
      </c>
      <c r="C337" s="15" t="s">
        <v>1387</v>
      </c>
      <c r="D337" s="15">
        <f>COUNTIF('Itemized Calculation'!C:C,B337)</f>
        <v>1</v>
      </c>
      <c r="E337" s="42">
        <v>53.43</v>
      </c>
      <c r="F337" s="16">
        <f>SUMIF('Itemized Calculation'!C:C,B337,'Itemized Calculation'!K:K)</f>
        <v>49.5</v>
      </c>
      <c r="G337" s="16">
        <f t="shared" si="5"/>
        <v>3.9299999999999997</v>
      </c>
    </row>
    <row r="338" spans="1:7" ht="15" customHeight="1" x14ac:dyDescent="0.25">
      <c r="A338" s="15">
        <v>337</v>
      </c>
      <c r="B338" s="15" t="s">
        <v>100</v>
      </c>
      <c r="C338" s="15" t="s">
        <v>1389</v>
      </c>
      <c r="D338" s="15">
        <f>COUNTIF('Itemized Calculation'!C:C,B338)</f>
        <v>1</v>
      </c>
      <c r="E338" s="42">
        <v>14.38</v>
      </c>
      <c r="F338" s="16">
        <f>SUMIF('Itemized Calculation'!C:C,B338,'Itemized Calculation'!K:K)</f>
        <v>14.914999999999999</v>
      </c>
      <c r="G338" s="16">
        <f t="shared" si="5"/>
        <v>-0.53499999999999837</v>
      </c>
    </row>
    <row r="339" spans="1:7" ht="15" customHeight="1" x14ac:dyDescent="0.25">
      <c r="A339" s="15">
        <v>338</v>
      </c>
      <c r="B339" s="15" t="s">
        <v>1391</v>
      </c>
      <c r="C339" s="15" t="s">
        <v>1392</v>
      </c>
      <c r="D339" s="15">
        <f>COUNTIF('Itemized Calculation'!C:C,B339)</f>
        <v>1</v>
      </c>
      <c r="E339" s="42">
        <v>30.26</v>
      </c>
      <c r="F339" s="16">
        <f>SUMIF('Itemized Calculation'!C:C,B339,'Itemized Calculation'!K:K)</f>
        <v>31.184999999999999</v>
      </c>
      <c r="G339" s="16">
        <f t="shared" si="5"/>
        <v>-0.92499999999999716</v>
      </c>
    </row>
    <row r="340" spans="1:7" ht="15" customHeight="1" x14ac:dyDescent="0.25">
      <c r="A340" s="15">
        <v>339</v>
      </c>
      <c r="B340" s="15" t="s">
        <v>1394</v>
      </c>
      <c r="C340" s="15" t="s">
        <v>1395</v>
      </c>
      <c r="D340" s="15">
        <f>COUNTIF('Itemized Calculation'!C:C,B340)</f>
        <v>1</v>
      </c>
      <c r="E340" s="42">
        <v>13.43</v>
      </c>
      <c r="F340" s="16">
        <f>SUMIF('Itemized Calculation'!C:C,B340,'Itemized Calculation'!K:K)</f>
        <v>12.968999999999999</v>
      </c>
      <c r="G340" s="16">
        <f t="shared" si="5"/>
        <v>0.4610000000000003</v>
      </c>
    </row>
    <row r="341" spans="1:7" ht="15" customHeight="1" x14ac:dyDescent="0.25">
      <c r="A341" s="15">
        <v>340</v>
      </c>
      <c r="B341" s="15" t="s">
        <v>1397</v>
      </c>
      <c r="C341" s="15" t="s">
        <v>1398</v>
      </c>
      <c r="D341" s="15">
        <f>COUNTIF('Itemized Calculation'!C:C,B341)</f>
        <v>2</v>
      </c>
      <c r="E341" s="42">
        <v>38.46</v>
      </c>
      <c r="F341" s="16">
        <f>SUMIF('Itemized Calculation'!C:C,B341,'Itemized Calculation'!K:K)</f>
        <v>34.524999999999999</v>
      </c>
      <c r="G341" s="16">
        <f t="shared" si="5"/>
        <v>3.9350000000000023</v>
      </c>
    </row>
    <row r="342" spans="1:7" ht="15" customHeight="1" x14ac:dyDescent="0.25">
      <c r="A342" s="15">
        <v>341</v>
      </c>
      <c r="B342" s="15" t="s">
        <v>1402</v>
      </c>
      <c r="C342" s="15" t="s">
        <v>1403</v>
      </c>
      <c r="D342" s="15">
        <f>COUNTIF('Itemized Calculation'!C:C,B342)</f>
        <v>1</v>
      </c>
      <c r="E342" s="42">
        <v>23.02</v>
      </c>
      <c r="F342" s="16">
        <f>SUMIF('Itemized Calculation'!C:C,B342,'Itemized Calculation'!K:K)</f>
        <v>20.988</v>
      </c>
      <c r="G342" s="16">
        <f t="shared" si="5"/>
        <v>2.032</v>
      </c>
    </row>
    <row r="343" spans="1:7" ht="15" customHeight="1" x14ac:dyDescent="0.25">
      <c r="A343" s="15">
        <v>342</v>
      </c>
      <c r="B343" s="15" t="s">
        <v>1405</v>
      </c>
      <c r="C343" s="15" t="s">
        <v>1406</v>
      </c>
      <c r="D343" s="15">
        <f>COUNTIF('Itemized Calculation'!C:C,B343)</f>
        <v>1</v>
      </c>
      <c r="E343" s="42">
        <v>13.14</v>
      </c>
      <c r="F343" s="16">
        <f>SUMIF('Itemized Calculation'!C:C,B343,'Itemized Calculation'!K:K)</f>
        <v>13.068</v>
      </c>
      <c r="G343" s="16">
        <f t="shared" si="5"/>
        <v>7.2000000000000952E-2</v>
      </c>
    </row>
    <row r="344" spans="1:7" ht="15" customHeight="1" x14ac:dyDescent="0.25">
      <c r="A344" s="15">
        <v>343</v>
      </c>
      <c r="B344" s="15" t="s">
        <v>127</v>
      </c>
      <c r="C344" s="15" t="s">
        <v>1407</v>
      </c>
      <c r="D344" s="15">
        <f>COUNTIF('Itemized Calculation'!C:C,B344)</f>
        <v>1</v>
      </c>
      <c r="E344" s="42">
        <v>38.14</v>
      </c>
      <c r="F344" s="16">
        <f>SUMIF('Itemized Calculation'!C:C,B344,'Itemized Calculation'!K:K)</f>
        <v>51.700999999999993</v>
      </c>
      <c r="G344" s="16">
        <f t="shared" si="5"/>
        <v>-13.560999999999993</v>
      </c>
    </row>
    <row r="345" spans="1:7" ht="15" customHeight="1" x14ac:dyDescent="0.25">
      <c r="A345" s="15">
        <v>344</v>
      </c>
      <c r="B345" s="15" t="s">
        <v>1409</v>
      </c>
      <c r="C345" s="15" t="s">
        <v>1410</v>
      </c>
      <c r="D345" s="15">
        <f>COUNTIF('Itemized Calculation'!C:C,B345)</f>
        <v>1</v>
      </c>
      <c r="E345" s="42">
        <v>26.56</v>
      </c>
      <c r="F345" s="16">
        <f>SUMIF('Itemized Calculation'!C:C,B345,'Itemized Calculation'!K:K)</f>
        <v>24.32</v>
      </c>
      <c r="G345" s="16">
        <f t="shared" si="5"/>
        <v>2.2399999999999984</v>
      </c>
    </row>
    <row r="346" spans="1:7" ht="15" customHeight="1" x14ac:dyDescent="0.25">
      <c r="A346" s="15">
        <v>345</v>
      </c>
      <c r="B346" s="15" t="s">
        <v>1413</v>
      </c>
      <c r="C346" s="15" t="s">
        <v>1414</v>
      </c>
      <c r="D346" s="15">
        <f>COUNTIF('Itemized Calculation'!C:C,B346)</f>
        <v>1</v>
      </c>
      <c r="E346" s="42">
        <v>-11.35</v>
      </c>
      <c r="F346" s="16">
        <f>SUMIF('Itemized Calculation'!C:C,B346,'Itemized Calculation'!K:K)</f>
        <v>0</v>
      </c>
      <c r="G346" s="16">
        <f t="shared" si="5"/>
        <v>-11.35</v>
      </c>
    </row>
    <row r="347" spans="1:7" ht="15" customHeight="1" x14ac:dyDescent="0.25">
      <c r="A347" s="15">
        <v>346</v>
      </c>
      <c r="B347" s="15" t="s">
        <v>1417</v>
      </c>
      <c r="C347" s="15" t="s">
        <v>1418</v>
      </c>
      <c r="D347" s="15">
        <f>COUNTIF('Itemized Calculation'!C:C,B347)</f>
        <v>1</v>
      </c>
      <c r="E347" s="42">
        <v>10.98</v>
      </c>
      <c r="F347" s="16">
        <f>SUMIF('Itemized Calculation'!C:C,B347,'Itemized Calculation'!K:K)</f>
        <v>10.593</v>
      </c>
      <c r="G347" s="16">
        <f t="shared" si="5"/>
        <v>0.38700000000000045</v>
      </c>
    </row>
    <row r="348" spans="1:7" ht="15" customHeight="1" x14ac:dyDescent="0.25">
      <c r="A348" s="15">
        <v>347</v>
      </c>
      <c r="B348" s="15" t="s">
        <v>1420</v>
      </c>
      <c r="C348" s="15" t="s">
        <v>1421</v>
      </c>
      <c r="D348" s="15">
        <f>COUNTIF('Itemized Calculation'!C:C,B348)</f>
        <v>1</v>
      </c>
      <c r="E348" s="42">
        <v>28.55</v>
      </c>
      <c r="F348" s="16">
        <f>SUMIF('Itemized Calculation'!C:C,B348,'Itemized Calculation'!K:K)</f>
        <v>26.312000000000001</v>
      </c>
      <c r="G348" s="16">
        <f t="shared" si="5"/>
        <v>2.2379999999999995</v>
      </c>
    </row>
    <row r="349" spans="1:7" ht="15" customHeight="1" x14ac:dyDescent="0.25">
      <c r="A349" s="15">
        <v>348</v>
      </c>
      <c r="B349" s="15" t="s">
        <v>1424</v>
      </c>
      <c r="C349" s="15" t="s">
        <v>1425</v>
      </c>
      <c r="D349" s="15">
        <f>COUNTIF('Itemized Calculation'!C:C,B349)</f>
        <v>2</v>
      </c>
      <c r="E349" s="42">
        <v>27.5</v>
      </c>
      <c r="F349" s="16">
        <f>SUMIF('Itemized Calculation'!C:C,B349,'Itemized Calculation'!K:K)</f>
        <v>26.135999999999999</v>
      </c>
      <c r="G349" s="16">
        <f t="shared" si="5"/>
        <v>1.3640000000000008</v>
      </c>
    </row>
    <row r="350" spans="1:7" ht="15" customHeight="1" x14ac:dyDescent="0.25">
      <c r="A350" s="15">
        <v>349</v>
      </c>
      <c r="B350" s="15" t="s">
        <v>1428</v>
      </c>
      <c r="C350" s="15" t="s">
        <v>1429</v>
      </c>
      <c r="D350" s="15">
        <f>COUNTIF('Itemized Calculation'!C:C,B350)</f>
        <v>1</v>
      </c>
      <c r="E350" s="42">
        <v>11.22</v>
      </c>
      <c r="F350" s="16">
        <f>SUMIF('Itemized Calculation'!C:C,B350,'Itemized Calculation'!K:K)</f>
        <v>10.494</v>
      </c>
      <c r="G350" s="16">
        <f t="shared" si="5"/>
        <v>0.72600000000000087</v>
      </c>
    </row>
    <row r="351" spans="1:7" ht="15" customHeight="1" x14ac:dyDescent="0.25">
      <c r="A351" s="15">
        <v>350</v>
      </c>
      <c r="B351" s="15" t="s">
        <v>1431</v>
      </c>
      <c r="C351" s="15" t="s">
        <v>1432</v>
      </c>
      <c r="D351" s="15">
        <f>COUNTIF('Itemized Calculation'!C:C,B351)</f>
        <v>1</v>
      </c>
      <c r="E351" s="42">
        <v>16.59</v>
      </c>
      <c r="F351" s="16">
        <f>SUMIF('Itemized Calculation'!C:C,B351,'Itemized Calculation'!K:K)</f>
        <v>16.137</v>
      </c>
      <c r="G351" s="16">
        <f t="shared" si="5"/>
        <v>0.4529999999999994</v>
      </c>
    </row>
    <row r="352" spans="1:7" ht="15" customHeight="1" x14ac:dyDescent="0.25">
      <c r="A352" s="15">
        <v>351</v>
      </c>
      <c r="B352" s="15" t="s">
        <v>144</v>
      </c>
      <c r="C352" s="15" t="s">
        <v>1434</v>
      </c>
      <c r="D352" s="15">
        <f>COUNTIF('Itemized Calculation'!C:C,B352)</f>
        <v>1</v>
      </c>
      <c r="E352" s="42">
        <v>15.44</v>
      </c>
      <c r="F352" s="16">
        <f>SUMIF('Itemized Calculation'!C:C,B352,'Itemized Calculation'!K:K)</f>
        <v>14.85</v>
      </c>
      <c r="G352" s="16">
        <f t="shared" si="5"/>
        <v>0.58999999999999986</v>
      </c>
    </row>
    <row r="353" spans="1:7" ht="15" customHeight="1" x14ac:dyDescent="0.25">
      <c r="A353" s="15">
        <v>352</v>
      </c>
      <c r="B353" s="15" t="s">
        <v>218</v>
      </c>
      <c r="C353" s="15" t="s">
        <v>1435</v>
      </c>
      <c r="D353" s="15">
        <f>COUNTIF('Itemized Calculation'!C:C,B353)</f>
        <v>3</v>
      </c>
      <c r="E353" s="42">
        <v>26.47</v>
      </c>
      <c r="F353" s="16">
        <f>SUMIF('Itemized Calculation'!C:C,B353,'Itemized Calculation'!K:K)</f>
        <v>22.049999999999997</v>
      </c>
      <c r="G353" s="16">
        <f t="shared" si="5"/>
        <v>4.4200000000000017</v>
      </c>
    </row>
    <row r="354" spans="1:7" ht="15" customHeight="1" x14ac:dyDescent="0.25">
      <c r="A354" s="15">
        <v>353</v>
      </c>
      <c r="B354" s="15" t="s">
        <v>1439</v>
      </c>
      <c r="C354" s="15" t="s">
        <v>1440</v>
      </c>
      <c r="D354" s="15">
        <f>COUNTIF('Itemized Calculation'!C:C,B354)</f>
        <v>1</v>
      </c>
      <c r="E354" s="42">
        <v>15.62</v>
      </c>
      <c r="F354" s="16">
        <f>SUMIF('Itemized Calculation'!C:C,B354,'Itemized Calculation'!K:K)</f>
        <v>13.950000000000001</v>
      </c>
      <c r="G354" s="16">
        <f t="shared" si="5"/>
        <v>1.6699999999999982</v>
      </c>
    </row>
    <row r="355" spans="1:7" ht="15" customHeight="1" x14ac:dyDescent="0.25">
      <c r="A355" s="15">
        <v>354</v>
      </c>
      <c r="B355" s="15" t="s">
        <v>1442</v>
      </c>
      <c r="C355" s="15" t="s">
        <v>1443</v>
      </c>
      <c r="D355" s="15">
        <f>COUNTIF('Itemized Calculation'!C:C,B355)</f>
        <v>1</v>
      </c>
      <c r="E355" s="42">
        <v>11.04</v>
      </c>
      <c r="F355" s="16">
        <f>SUMIF('Itemized Calculation'!C:C,B355,'Itemized Calculation'!K:K)</f>
        <v>10.151999999999999</v>
      </c>
      <c r="G355" s="16">
        <f t="shared" si="5"/>
        <v>0.8879999999999999</v>
      </c>
    </row>
    <row r="356" spans="1:7" ht="15" customHeight="1" x14ac:dyDescent="0.25">
      <c r="A356" s="15">
        <v>355</v>
      </c>
      <c r="B356" s="15" t="s">
        <v>188</v>
      </c>
      <c r="C356" s="15" t="s">
        <v>1445</v>
      </c>
      <c r="D356" s="15">
        <f>COUNTIF('Itemized Calculation'!C:C,B356)</f>
        <v>3</v>
      </c>
      <c r="E356" s="42">
        <v>52.83</v>
      </c>
      <c r="F356" s="16">
        <f>SUMIF('Itemized Calculation'!C:C,B356,'Itemized Calculation'!K:K)</f>
        <v>49.103999999999999</v>
      </c>
      <c r="G356" s="16">
        <f t="shared" si="5"/>
        <v>3.7259999999999991</v>
      </c>
    </row>
    <row r="357" spans="1:7" ht="15" customHeight="1" x14ac:dyDescent="0.25">
      <c r="A357" s="15">
        <v>356</v>
      </c>
      <c r="B357" s="15" t="s">
        <v>1447</v>
      </c>
      <c r="C357" s="15" t="s">
        <v>1448</v>
      </c>
      <c r="D357" s="15">
        <f>COUNTIF('Itemized Calculation'!C:C,B357)</f>
        <v>1</v>
      </c>
      <c r="E357" s="42">
        <v>49.25</v>
      </c>
      <c r="F357" s="16">
        <f>SUMIF('Itemized Calculation'!C:C,B357,'Itemized Calculation'!K:K)</f>
        <v>45.298999999999999</v>
      </c>
      <c r="G357" s="16">
        <f t="shared" si="5"/>
        <v>3.9510000000000005</v>
      </c>
    </row>
    <row r="358" spans="1:7" ht="15" customHeight="1" x14ac:dyDescent="0.25">
      <c r="A358" s="15">
        <v>357</v>
      </c>
      <c r="B358" s="15" t="s">
        <v>1450</v>
      </c>
      <c r="C358" s="15" t="s">
        <v>1451</v>
      </c>
      <c r="D358" s="15">
        <f>COUNTIF('Itemized Calculation'!C:C,B358)</f>
        <v>1</v>
      </c>
      <c r="E358" s="42">
        <v>11.6</v>
      </c>
      <c r="F358" s="16">
        <f>SUMIF('Itemized Calculation'!C:C,B358,'Itemized Calculation'!K:K)</f>
        <v>11.187000000000001</v>
      </c>
      <c r="G358" s="16">
        <f t="shared" si="5"/>
        <v>0.41299999999999848</v>
      </c>
    </row>
    <row r="359" spans="1:7" ht="15" customHeight="1" x14ac:dyDescent="0.25">
      <c r="A359" s="15">
        <v>358</v>
      </c>
      <c r="B359" s="15" t="s">
        <v>1453</v>
      </c>
      <c r="C359" s="15" t="s">
        <v>1454</v>
      </c>
      <c r="D359" s="15">
        <f>COUNTIF('Itemized Calculation'!C:C,B359)</f>
        <v>1</v>
      </c>
      <c r="E359" s="42">
        <v>16.14</v>
      </c>
      <c r="F359" s="16">
        <f>SUMIF('Itemized Calculation'!C:C,B359,'Itemized Calculation'!K:K)</f>
        <v>14.652000000000001</v>
      </c>
      <c r="G359" s="16">
        <f t="shared" si="5"/>
        <v>1.4879999999999995</v>
      </c>
    </row>
    <row r="360" spans="1:7" ht="15" customHeight="1" x14ac:dyDescent="0.25">
      <c r="A360" s="15">
        <v>359</v>
      </c>
      <c r="B360" s="15" t="s">
        <v>1456</v>
      </c>
      <c r="C360" s="15" t="s">
        <v>1457</v>
      </c>
      <c r="D360" s="15">
        <f>COUNTIF('Itemized Calculation'!C:C,B360)</f>
        <v>1</v>
      </c>
      <c r="E360" s="42">
        <v>28.43</v>
      </c>
      <c r="F360" s="16">
        <f>SUMIF('Itemized Calculation'!C:C,B360,'Itemized Calculation'!K:K)</f>
        <v>25.576000000000001</v>
      </c>
      <c r="G360" s="16">
        <f t="shared" si="5"/>
        <v>2.8539999999999992</v>
      </c>
    </row>
    <row r="361" spans="1:7" ht="15" customHeight="1" x14ac:dyDescent="0.25">
      <c r="A361" s="15">
        <v>360</v>
      </c>
      <c r="B361" s="15" t="s">
        <v>1460</v>
      </c>
      <c r="C361" s="15" t="s">
        <v>1461</v>
      </c>
      <c r="D361" s="15">
        <f>COUNTIF('Itemized Calculation'!C:C,B361)</f>
        <v>1</v>
      </c>
      <c r="E361" s="42">
        <v>15.73</v>
      </c>
      <c r="F361" s="16">
        <f>SUMIF('Itemized Calculation'!C:C,B361,'Itemized Calculation'!K:K)</f>
        <v>14.080000000000002</v>
      </c>
      <c r="G361" s="16">
        <f t="shared" si="5"/>
        <v>1.6499999999999986</v>
      </c>
    </row>
    <row r="362" spans="1:7" ht="15" customHeight="1" x14ac:dyDescent="0.25">
      <c r="A362" s="15">
        <v>361</v>
      </c>
      <c r="B362" s="15" t="s">
        <v>1464</v>
      </c>
      <c r="C362" s="15" t="s">
        <v>1465</v>
      </c>
      <c r="D362" s="15">
        <f>COUNTIF('Itemized Calculation'!C:C,B362)</f>
        <v>1</v>
      </c>
      <c r="E362" s="42">
        <v>34.78</v>
      </c>
      <c r="F362" s="16">
        <f>SUMIF('Itemized Calculation'!C:C,B362,'Itemized Calculation'!K:K)</f>
        <v>33.464999999999996</v>
      </c>
      <c r="G362" s="16">
        <f t="shared" si="5"/>
        <v>1.3150000000000048</v>
      </c>
    </row>
    <row r="363" spans="1:7" ht="15" customHeight="1" x14ac:dyDescent="0.25">
      <c r="A363" s="15">
        <v>362</v>
      </c>
      <c r="B363" s="15" t="s">
        <v>102</v>
      </c>
      <c r="C363" s="15" t="s">
        <v>1467</v>
      </c>
      <c r="D363" s="15">
        <f>COUNTIF('Itemized Calculation'!C:C,B363)</f>
        <v>2</v>
      </c>
      <c r="E363" s="42">
        <v>28.88</v>
      </c>
      <c r="F363" s="16">
        <f>SUMIF('Itemized Calculation'!C:C,B363,'Itemized Calculation'!K:K)</f>
        <v>29.83</v>
      </c>
      <c r="G363" s="16">
        <f t="shared" si="5"/>
        <v>-0.94999999999999929</v>
      </c>
    </row>
    <row r="364" spans="1:7" ht="15" customHeight="1" x14ac:dyDescent="0.25">
      <c r="A364" s="15">
        <v>363</v>
      </c>
      <c r="B364" s="15" t="s">
        <v>238</v>
      </c>
      <c r="C364" s="15" t="s">
        <v>1468</v>
      </c>
      <c r="D364" s="15">
        <f>COUNTIF('Itemized Calculation'!C:C,B364)</f>
        <v>2</v>
      </c>
      <c r="E364" s="42">
        <v>31.67</v>
      </c>
      <c r="F364" s="16">
        <f>SUMIF('Itemized Calculation'!C:C,B364,'Itemized Calculation'!K:K)</f>
        <v>31.68</v>
      </c>
      <c r="G364" s="16">
        <f t="shared" si="5"/>
        <v>-9.9999999999980105E-3</v>
      </c>
    </row>
    <row r="365" spans="1:7" ht="15" customHeight="1" x14ac:dyDescent="0.25">
      <c r="A365" s="15">
        <v>364</v>
      </c>
      <c r="B365" s="15" t="s">
        <v>1470</v>
      </c>
      <c r="C365" s="15" t="s">
        <v>1471</v>
      </c>
      <c r="D365" s="15">
        <f>COUNTIF('Itemized Calculation'!C:C,B365)</f>
        <v>1</v>
      </c>
      <c r="E365" s="42">
        <v>21.12</v>
      </c>
      <c r="F365" s="16">
        <f>SUMIF('Itemized Calculation'!C:C,B365,'Itemized Calculation'!K:K)</f>
        <v>19.635000000000002</v>
      </c>
      <c r="G365" s="16">
        <f t="shared" si="5"/>
        <v>1.4849999999999994</v>
      </c>
    </row>
    <row r="366" spans="1:7" ht="15" customHeight="1" x14ac:dyDescent="0.25">
      <c r="A366" s="15">
        <v>365</v>
      </c>
      <c r="B366" s="15" t="s">
        <v>1474</v>
      </c>
      <c r="C366" s="15" t="s">
        <v>1475</v>
      </c>
      <c r="D366" s="15">
        <f>COUNTIF('Itemized Calculation'!C:C,B366)</f>
        <v>1</v>
      </c>
      <c r="E366" s="42">
        <v>15.23</v>
      </c>
      <c r="F366" s="16">
        <f>SUMIF('Itemized Calculation'!C:C,B366,'Itemized Calculation'!K:K)</f>
        <v>13.9</v>
      </c>
      <c r="G366" s="16">
        <f t="shared" si="5"/>
        <v>1.33</v>
      </c>
    </row>
    <row r="367" spans="1:7" ht="15" customHeight="1" x14ac:dyDescent="0.25">
      <c r="A367" s="15">
        <v>366</v>
      </c>
      <c r="B367" s="15" t="s">
        <v>1478</v>
      </c>
      <c r="C367" s="15" t="s">
        <v>1479</v>
      </c>
      <c r="D367" s="15">
        <f>COUNTIF('Itemized Calculation'!C:C,B367)</f>
        <v>1</v>
      </c>
      <c r="E367" s="42">
        <v>54.16</v>
      </c>
      <c r="F367" s="16">
        <f>SUMIF('Itemized Calculation'!C:C,B367,'Itemized Calculation'!K:K)</f>
        <v>49.5</v>
      </c>
      <c r="G367" s="16">
        <f t="shared" si="5"/>
        <v>4.6599999999999966</v>
      </c>
    </row>
    <row r="368" spans="1:7" ht="15" customHeight="1" x14ac:dyDescent="0.25">
      <c r="A368" s="15">
        <v>367</v>
      </c>
      <c r="B368" s="15" t="s">
        <v>1482</v>
      </c>
      <c r="C368" s="15" t="s">
        <v>1483</v>
      </c>
      <c r="D368" s="15">
        <f>COUNTIF('Itemized Calculation'!C:C,B368)</f>
        <v>2</v>
      </c>
      <c r="E368" s="42">
        <v>29.16</v>
      </c>
      <c r="F368" s="16">
        <f>SUMIF('Itemized Calculation'!C:C,B368,'Itemized Calculation'!K:K)</f>
        <v>27.125999999999998</v>
      </c>
      <c r="G368" s="16">
        <f t="shared" si="5"/>
        <v>2.0340000000000025</v>
      </c>
    </row>
    <row r="369" spans="1:7" ht="15" customHeight="1" x14ac:dyDescent="0.25">
      <c r="A369" s="15">
        <v>368</v>
      </c>
      <c r="B369" s="15" t="s">
        <v>1485</v>
      </c>
      <c r="C369" s="15" t="s">
        <v>1486</v>
      </c>
      <c r="D369" s="15">
        <f>COUNTIF('Itemized Calculation'!C:C,B369)</f>
        <v>1</v>
      </c>
      <c r="E369" s="42">
        <v>13.14</v>
      </c>
      <c r="F369" s="16">
        <f>SUMIF('Itemized Calculation'!C:C,B369,'Itemized Calculation'!K:K)</f>
        <v>13.068</v>
      </c>
      <c r="G369" s="16">
        <f t="shared" si="5"/>
        <v>7.2000000000000952E-2</v>
      </c>
    </row>
    <row r="370" spans="1:7" ht="15" customHeight="1" x14ac:dyDescent="0.25">
      <c r="A370" s="15">
        <v>369</v>
      </c>
      <c r="B370" s="15" t="s">
        <v>1488</v>
      </c>
      <c r="C370" s="15" t="s">
        <v>1489</v>
      </c>
      <c r="D370" s="15">
        <f>COUNTIF('Itemized Calculation'!C:C,B370)</f>
        <v>1</v>
      </c>
      <c r="E370" s="42">
        <v>43.24</v>
      </c>
      <c r="F370" s="16">
        <f>SUMIF('Itemized Calculation'!C:C,B370,'Itemized Calculation'!K:K)</f>
        <v>40.32</v>
      </c>
      <c r="G370" s="16">
        <f t="shared" si="5"/>
        <v>2.9200000000000017</v>
      </c>
    </row>
    <row r="371" spans="1:7" ht="15" customHeight="1" x14ac:dyDescent="0.25">
      <c r="A371" s="15">
        <v>370</v>
      </c>
      <c r="B371" s="15" t="s">
        <v>181</v>
      </c>
      <c r="C371" s="15" t="s">
        <v>1491</v>
      </c>
      <c r="D371" s="15">
        <f>COUNTIF('Itemized Calculation'!C:C,B371)</f>
        <v>1</v>
      </c>
      <c r="E371" s="42">
        <v>35.51</v>
      </c>
      <c r="F371" s="16">
        <f>SUMIF('Itemized Calculation'!C:C,B371,'Itemized Calculation'!K:K)</f>
        <v>33.561000000000007</v>
      </c>
      <c r="G371" s="16">
        <f t="shared" si="5"/>
        <v>1.948999999999991</v>
      </c>
    </row>
    <row r="372" spans="1:7" ht="15" customHeight="1" x14ac:dyDescent="0.25">
      <c r="A372" s="15">
        <v>371</v>
      </c>
      <c r="B372" s="15" t="s">
        <v>1493</v>
      </c>
      <c r="C372" s="15" t="s">
        <v>1494</v>
      </c>
      <c r="D372" s="15">
        <f>COUNTIF('Itemized Calculation'!C:C,B372)</f>
        <v>1</v>
      </c>
      <c r="E372" s="42">
        <v>13.72</v>
      </c>
      <c r="F372" s="16">
        <f>SUMIF('Itemized Calculation'!C:C,B372,'Itemized Calculation'!K:K)</f>
        <v>12.276</v>
      </c>
      <c r="G372" s="16">
        <f t="shared" si="5"/>
        <v>1.4440000000000008</v>
      </c>
    </row>
    <row r="373" spans="1:7" ht="15" customHeight="1" x14ac:dyDescent="0.25">
      <c r="A373" s="15">
        <v>372</v>
      </c>
      <c r="B373" s="15" t="s">
        <v>1496</v>
      </c>
      <c r="C373" s="15" t="s">
        <v>1497</v>
      </c>
      <c r="D373" s="15">
        <f>COUNTIF('Itemized Calculation'!C:C,B373)</f>
        <v>1</v>
      </c>
      <c r="E373" s="42">
        <v>13.43</v>
      </c>
      <c r="F373" s="16">
        <f>SUMIF('Itemized Calculation'!C:C,B373,'Itemized Calculation'!K:K)</f>
        <v>13.365</v>
      </c>
      <c r="G373" s="16">
        <f t="shared" si="5"/>
        <v>6.4999999999999503E-2</v>
      </c>
    </row>
    <row r="374" spans="1:7" ht="15" customHeight="1" x14ac:dyDescent="0.25">
      <c r="A374" s="15">
        <v>373</v>
      </c>
      <c r="B374" s="15" t="s">
        <v>1499</v>
      </c>
      <c r="C374" s="15" t="s">
        <v>1500</v>
      </c>
      <c r="D374" s="15">
        <f>COUNTIF('Itemized Calculation'!C:C,B374)</f>
        <v>1</v>
      </c>
      <c r="E374" s="42">
        <v>46.26</v>
      </c>
      <c r="F374" s="16">
        <f>SUMIF('Itemized Calculation'!C:C,B374,'Itemized Calculation'!K:K)</f>
        <v>48.209000000000003</v>
      </c>
      <c r="G374" s="16">
        <f t="shared" si="5"/>
        <v>-1.9490000000000052</v>
      </c>
    </row>
    <row r="375" spans="1:7" ht="15" customHeight="1" x14ac:dyDescent="0.25">
      <c r="A375" s="15">
        <v>374</v>
      </c>
      <c r="B375" s="15" t="s">
        <v>1503</v>
      </c>
      <c r="C375" s="15" t="s">
        <v>1504</v>
      </c>
      <c r="D375" s="15">
        <f>COUNTIF('Itemized Calculation'!C:C,B375)</f>
        <v>1</v>
      </c>
      <c r="E375" s="42">
        <v>10.83</v>
      </c>
      <c r="F375" s="16">
        <f>SUMIF('Itemized Calculation'!C:C,B375,'Itemized Calculation'!K:K)</f>
        <v>10.494</v>
      </c>
      <c r="G375" s="16">
        <f t="shared" si="5"/>
        <v>0.3360000000000003</v>
      </c>
    </row>
    <row r="376" spans="1:7" ht="15" customHeight="1" x14ac:dyDescent="0.25">
      <c r="A376" s="15">
        <v>375</v>
      </c>
      <c r="B376" s="15" t="s">
        <v>1506</v>
      </c>
      <c r="C376" s="15" t="s">
        <v>1507</v>
      </c>
      <c r="D376" s="15">
        <f>COUNTIF('Itemized Calculation'!C:C,B376)</f>
        <v>2</v>
      </c>
      <c r="E376" s="42">
        <v>40.75</v>
      </c>
      <c r="F376" s="16">
        <f>SUMIF('Itemized Calculation'!C:C,B376,'Itemized Calculation'!K:K)</f>
        <v>38.238999999999997</v>
      </c>
      <c r="G376" s="16">
        <f t="shared" si="5"/>
        <v>2.5110000000000028</v>
      </c>
    </row>
    <row r="377" spans="1:7" ht="15" customHeight="1" x14ac:dyDescent="0.25">
      <c r="A377" s="15">
        <v>376</v>
      </c>
      <c r="B377" s="15" t="s">
        <v>1511</v>
      </c>
      <c r="C377" s="15" t="s">
        <v>1512</v>
      </c>
      <c r="D377" s="15">
        <f>COUNTIF('Itemized Calculation'!C:C,B377)</f>
        <v>2</v>
      </c>
      <c r="E377" s="42">
        <v>10.9</v>
      </c>
      <c r="F377" s="16">
        <f>SUMIF('Itemized Calculation'!C:C,B377,'Itemized Calculation'!K:K)</f>
        <v>10.295999999999999</v>
      </c>
      <c r="G377" s="16">
        <f t="shared" si="5"/>
        <v>0.60400000000000098</v>
      </c>
    </row>
    <row r="378" spans="1:7" ht="15" customHeight="1" x14ac:dyDescent="0.25">
      <c r="A378" s="15">
        <v>377</v>
      </c>
      <c r="B378" s="15" t="s">
        <v>1516</v>
      </c>
      <c r="C378" s="15" t="s">
        <v>1517</v>
      </c>
      <c r="D378" s="15">
        <f>COUNTIF('Itemized Calculation'!C:C,B378)</f>
        <v>1</v>
      </c>
      <c r="E378" s="42">
        <v>14.72</v>
      </c>
      <c r="F378" s="16">
        <f>SUMIF('Itemized Calculation'!C:C,B378,'Itemized Calculation'!K:K)</f>
        <v>14.750999999999999</v>
      </c>
      <c r="G378" s="16">
        <f t="shared" si="5"/>
        <v>-3.0999999999998806E-2</v>
      </c>
    </row>
    <row r="379" spans="1:7" ht="15" customHeight="1" x14ac:dyDescent="0.25">
      <c r="A379" s="15">
        <v>378</v>
      </c>
      <c r="B379" s="15" t="s">
        <v>1519</v>
      </c>
      <c r="C379" s="15" t="s">
        <v>1520</v>
      </c>
      <c r="D379" s="15">
        <f>COUNTIF('Itemized Calculation'!C:C,B379)</f>
        <v>1</v>
      </c>
      <c r="E379" s="42">
        <v>20.62</v>
      </c>
      <c r="F379" s="16">
        <f>SUMIF('Itemized Calculation'!C:C,B379,'Itemized Calculation'!K:K)</f>
        <v>19.894000000000002</v>
      </c>
      <c r="G379" s="16">
        <f t="shared" si="5"/>
        <v>0.72599999999999909</v>
      </c>
    </row>
    <row r="380" spans="1:7" ht="15" customHeight="1" x14ac:dyDescent="0.25">
      <c r="A380" s="15">
        <v>379</v>
      </c>
      <c r="B380" s="15" t="s">
        <v>1522</v>
      </c>
      <c r="C380" s="15" t="s">
        <v>1523</v>
      </c>
      <c r="D380" s="15">
        <f>COUNTIF('Itemized Calculation'!C:C,B380)</f>
        <v>1</v>
      </c>
      <c r="E380" s="42">
        <v>13.21</v>
      </c>
      <c r="F380" s="16">
        <f>SUMIF('Itemized Calculation'!C:C,B380,'Itemized Calculation'!K:K)</f>
        <v>12.11</v>
      </c>
      <c r="G380" s="16">
        <f t="shared" si="5"/>
        <v>1.1000000000000014</v>
      </c>
    </row>
    <row r="381" spans="1:7" ht="15" customHeight="1" x14ac:dyDescent="0.25">
      <c r="A381" s="15">
        <v>380</v>
      </c>
      <c r="B381" s="15" t="s">
        <v>1525</v>
      </c>
      <c r="C381" s="15" t="s">
        <v>1526</v>
      </c>
      <c r="D381" s="15">
        <f>COUNTIF('Itemized Calculation'!C:C,B381)</f>
        <v>1</v>
      </c>
      <c r="E381" s="42">
        <v>13.43</v>
      </c>
      <c r="F381" s="16">
        <f>SUMIF('Itemized Calculation'!C:C,B381,'Itemized Calculation'!K:K)</f>
        <v>13.365</v>
      </c>
      <c r="G381" s="16">
        <f t="shared" si="5"/>
        <v>6.4999999999999503E-2</v>
      </c>
    </row>
    <row r="382" spans="1:7" ht="15" customHeight="1" x14ac:dyDescent="0.25">
      <c r="A382" s="15">
        <v>381</v>
      </c>
      <c r="B382" s="15" t="s">
        <v>1528</v>
      </c>
      <c r="C382" s="15" t="s">
        <v>1529</v>
      </c>
      <c r="D382" s="15">
        <f>COUNTIF('Itemized Calculation'!C:C,B382)</f>
        <v>1</v>
      </c>
      <c r="E382" s="42">
        <v>11.43</v>
      </c>
      <c r="F382" s="16">
        <f>SUMIF('Itemized Calculation'!C:C,B382,'Itemized Calculation'!K:K)</f>
        <v>10.593</v>
      </c>
      <c r="G382" s="16">
        <f t="shared" si="5"/>
        <v>0.83699999999999974</v>
      </c>
    </row>
    <row r="383" spans="1:7" ht="15" customHeight="1" x14ac:dyDescent="0.25">
      <c r="A383" s="15">
        <v>382</v>
      </c>
      <c r="B383" s="15" t="s">
        <v>1531</v>
      </c>
      <c r="C383" s="15" t="s">
        <v>1532</v>
      </c>
      <c r="D383" s="15">
        <f>COUNTIF('Itemized Calculation'!C:C,B383)</f>
        <v>1</v>
      </c>
      <c r="E383" s="42">
        <v>24.34</v>
      </c>
      <c r="F383" s="16">
        <f>SUMIF('Itemized Calculation'!C:C,B383,'Itemized Calculation'!K:K)</f>
        <v>21.66</v>
      </c>
      <c r="G383" s="16">
        <f t="shared" si="5"/>
        <v>2.6799999999999997</v>
      </c>
    </row>
    <row r="384" spans="1:7" ht="15" customHeight="1" x14ac:dyDescent="0.25">
      <c r="A384" s="15">
        <v>383</v>
      </c>
      <c r="B384" s="15" t="s">
        <v>1534</v>
      </c>
      <c r="C384" s="15" t="s">
        <v>1535</v>
      </c>
      <c r="D384" s="15">
        <f>COUNTIF('Itemized Calculation'!C:C,B384)</f>
        <v>1</v>
      </c>
      <c r="E384" s="42">
        <v>14.95</v>
      </c>
      <c r="F384" s="16">
        <f>SUMIF('Itemized Calculation'!C:C,B384,'Itemized Calculation'!K:K)</f>
        <v>13.622</v>
      </c>
      <c r="G384" s="16">
        <f t="shared" si="5"/>
        <v>1.3279999999999994</v>
      </c>
    </row>
    <row r="385" spans="1:7" ht="15" customHeight="1" x14ac:dyDescent="0.25">
      <c r="A385" s="15">
        <v>384</v>
      </c>
      <c r="B385" s="15" t="s">
        <v>200</v>
      </c>
      <c r="C385" s="15" t="s">
        <v>1537</v>
      </c>
      <c r="D385" s="15">
        <f>COUNTIF('Itemized Calculation'!C:C,B385)</f>
        <v>3</v>
      </c>
      <c r="E385" s="42">
        <v>24.41</v>
      </c>
      <c r="F385" s="16">
        <f>SUMIF('Itemized Calculation'!C:C,B385,'Itemized Calculation'!K:K)</f>
        <v>21.754999999999999</v>
      </c>
      <c r="G385" s="16">
        <f t="shared" si="5"/>
        <v>2.6550000000000011</v>
      </c>
    </row>
    <row r="386" spans="1:7" ht="15" customHeight="1" x14ac:dyDescent="0.25">
      <c r="A386" s="15">
        <v>385</v>
      </c>
      <c r="B386" s="15" t="s">
        <v>1540</v>
      </c>
      <c r="C386" s="15" t="s">
        <v>1541</v>
      </c>
      <c r="D386" s="15">
        <f>COUNTIF('Itemized Calculation'!C:C,B386)</f>
        <v>1</v>
      </c>
      <c r="E386" s="42">
        <v>48.68</v>
      </c>
      <c r="F386" s="16">
        <f>SUMIF('Itemized Calculation'!C:C,B386,'Itemized Calculation'!K:K)</f>
        <v>45.9</v>
      </c>
      <c r="G386" s="16">
        <f t="shared" ref="G386:G449" si="6">E386-F386</f>
        <v>2.7800000000000011</v>
      </c>
    </row>
    <row r="387" spans="1:7" ht="15" customHeight="1" x14ac:dyDescent="0.25">
      <c r="A387" s="15">
        <v>386</v>
      </c>
      <c r="B387" s="15" t="s">
        <v>1544</v>
      </c>
      <c r="C387" s="15" t="s">
        <v>1545</v>
      </c>
      <c r="D387" s="15">
        <f>COUNTIF('Itemized Calculation'!C:C,B387)</f>
        <v>1</v>
      </c>
      <c r="E387" s="42">
        <v>12.11</v>
      </c>
      <c r="F387" s="16">
        <f>SUMIF('Itemized Calculation'!C:C,B387,'Itemized Calculation'!K:K)</f>
        <v>11.187000000000001</v>
      </c>
      <c r="G387" s="16">
        <f t="shared" si="6"/>
        <v>0.92299999999999827</v>
      </c>
    </row>
    <row r="388" spans="1:7" ht="15" customHeight="1" x14ac:dyDescent="0.25">
      <c r="A388" s="15">
        <v>387</v>
      </c>
      <c r="B388" s="15" t="s">
        <v>1547</v>
      </c>
      <c r="C388" s="15" t="s">
        <v>1548</v>
      </c>
      <c r="D388" s="15">
        <f>COUNTIF('Itemized Calculation'!C:C,B388)</f>
        <v>1</v>
      </c>
      <c r="E388" s="42">
        <v>30.42</v>
      </c>
      <c r="F388" s="16">
        <f>SUMIF('Itemized Calculation'!C:C,B388,'Itemized Calculation'!K:K)</f>
        <v>31.184999999999999</v>
      </c>
      <c r="G388" s="16">
        <f t="shared" si="6"/>
        <v>-0.76499999999999702</v>
      </c>
    </row>
    <row r="389" spans="1:7" ht="15" customHeight="1" x14ac:dyDescent="0.25">
      <c r="A389" s="15">
        <v>388</v>
      </c>
      <c r="B389" s="15" t="s">
        <v>1550</v>
      </c>
      <c r="C389" s="15" t="s">
        <v>1551</v>
      </c>
      <c r="D389" s="15">
        <f>COUNTIF('Itemized Calculation'!C:C,B389)</f>
        <v>1</v>
      </c>
      <c r="E389" s="42">
        <v>36.92</v>
      </c>
      <c r="F389" s="16">
        <f>SUMIF('Itemized Calculation'!C:C,B389,'Itemized Calculation'!K:K)</f>
        <v>32.689</v>
      </c>
      <c r="G389" s="16">
        <f t="shared" si="6"/>
        <v>4.2310000000000016</v>
      </c>
    </row>
    <row r="390" spans="1:7" ht="15" customHeight="1" x14ac:dyDescent="0.25">
      <c r="A390" s="15">
        <v>389</v>
      </c>
      <c r="B390" s="15" t="s">
        <v>1554</v>
      </c>
      <c r="C390" s="15" t="s">
        <v>1555</v>
      </c>
      <c r="D390" s="15">
        <f>COUNTIF('Itemized Calculation'!C:C,B390)</f>
        <v>1</v>
      </c>
      <c r="E390" s="42">
        <v>13.88</v>
      </c>
      <c r="F390" s="16">
        <f>SUMIF('Itemized Calculation'!C:C,B390,'Itemized Calculation'!K:K)</f>
        <v>13.1</v>
      </c>
      <c r="G390" s="16">
        <f t="shared" si="6"/>
        <v>0.78000000000000114</v>
      </c>
    </row>
    <row r="391" spans="1:7" ht="15" customHeight="1" x14ac:dyDescent="0.25">
      <c r="A391" s="15">
        <v>390</v>
      </c>
      <c r="B391" s="15" t="s">
        <v>1557</v>
      </c>
      <c r="C391" s="15" t="s">
        <v>1558</v>
      </c>
      <c r="D391" s="15">
        <f>COUNTIF('Itemized Calculation'!C:C,B391)</f>
        <v>1</v>
      </c>
      <c r="E391" s="42">
        <v>18.96</v>
      </c>
      <c r="F391" s="16">
        <f>SUMIF('Itemized Calculation'!C:C,B391,'Itemized Calculation'!K:K)</f>
        <v>18.612000000000002</v>
      </c>
      <c r="G391" s="16">
        <f t="shared" si="6"/>
        <v>0.34799999999999898</v>
      </c>
    </row>
    <row r="392" spans="1:7" ht="15" customHeight="1" x14ac:dyDescent="0.25">
      <c r="A392" s="15">
        <v>391</v>
      </c>
      <c r="B392" s="15" t="s">
        <v>1560</v>
      </c>
      <c r="C392" s="15" t="s">
        <v>1561</v>
      </c>
      <c r="D392" s="15">
        <f>COUNTIF('Itemized Calculation'!C:C,B392)</f>
        <v>1</v>
      </c>
      <c r="E392" s="42">
        <v>10.98</v>
      </c>
      <c r="F392" s="16">
        <f>SUMIF('Itemized Calculation'!C:C,B392,'Itemized Calculation'!K:K)</f>
        <v>10.395</v>
      </c>
      <c r="G392" s="16">
        <f t="shared" si="6"/>
        <v>0.58500000000000085</v>
      </c>
    </row>
    <row r="393" spans="1:7" ht="15" customHeight="1" x14ac:dyDescent="0.25">
      <c r="A393" s="15">
        <v>392</v>
      </c>
      <c r="B393" s="15" t="s">
        <v>163</v>
      </c>
      <c r="C393" s="15" t="s">
        <v>1562</v>
      </c>
      <c r="D393" s="15">
        <f>COUNTIF('Itemized Calculation'!C:C,B393)</f>
        <v>2</v>
      </c>
      <c r="E393" s="42">
        <v>31.35</v>
      </c>
      <c r="F393" s="16">
        <f>SUMIF('Itemized Calculation'!C:C,B393,'Itemized Calculation'!K:K)</f>
        <v>29.600999999999999</v>
      </c>
      <c r="G393" s="16">
        <f t="shared" si="6"/>
        <v>1.7490000000000023</v>
      </c>
    </row>
    <row r="394" spans="1:7" ht="15" customHeight="1" x14ac:dyDescent="0.25">
      <c r="A394" s="15">
        <v>393</v>
      </c>
      <c r="B394" s="15" t="s">
        <v>1565</v>
      </c>
      <c r="C394" s="15" t="s">
        <v>1566</v>
      </c>
      <c r="D394" s="15">
        <f>COUNTIF('Itemized Calculation'!C:C,B394)</f>
        <v>1</v>
      </c>
      <c r="E394" s="42">
        <v>54.16</v>
      </c>
      <c r="F394" s="16">
        <f>SUMIF('Itemized Calculation'!C:C,B394,'Itemized Calculation'!K:K)</f>
        <v>48.7</v>
      </c>
      <c r="G394" s="16">
        <f t="shared" si="6"/>
        <v>5.4599999999999937</v>
      </c>
    </row>
    <row r="395" spans="1:7" ht="15" customHeight="1" x14ac:dyDescent="0.25">
      <c r="A395" s="15">
        <v>394</v>
      </c>
      <c r="B395" s="15" t="s">
        <v>1568</v>
      </c>
      <c r="C395" s="15" t="s">
        <v>1569</v>
      </c>
      <c r="D395" s="15">
        <f>COUNTIF('Itemized Calculation'!C:C,B395)</f>
        <v>1</v>
      </c>
      <c r="E395" s="42">
        <v>11.46</v>
      </c>
      <c r="F395" s="16">
        <f>SUMIF('Itemized Calculation'!C:C,B395,'Itemized Calculation'!K:K)</f>
        <v>10.395</v>
      </c>
      <c r="G395" s="16">
        <f t="shared" si="6"/>
        <v>1.0650000000000013</v>
      </c>
    </row>
    <row r="396" spans="1:7" ht="15" customHeight="1" x14ac:dyDescent="0.25">
      <c r="A396" s="15">
        <v>395</v>
      </c>
      <c r="B396" s="15" t="s">
        <v>1571</v>
      </c>
      <c r="C396" s="15" t="s">
        <v>1572</v>
      </c>
      <c r="D396" s="15">
        <f>COUNTIF('Itemized Calculation'!C:C,B396)</f>
        <v>1</v>
      </c>
      <c r="E396" s="42">
        <v>16.14</v>
      </c>
      <c r="F396" s="16">
        <f>SUMIF('Itemized Calculation'!C:C,B396,'Itemized Calculation'!K:K)</f>
        <v>14.85</v>
      </c>
      <c r="G396" s="16">
        <f t="shared" si="6"/>
        <v>1.2900000000000009</v>
      </c>
    </row>
    <row r="397" spans="1:7" ht="15" customHeight="1" x14ac:dyDescent="0.25">
      <c r="A397" s="15">
        <v>396</v>
      </c>
      <c r="B397" s="15" t="s">
        <v>1574</v>
      </c>
      <c r="C397" s="15" t="s">
        <v>1575</v>
      </c>
      <c r="D397" s="15">
        <f>COUNTIF('Itemized Calculation'!C:C,B397)</f>
        <v>1</v>
      </c>
      <c r="E397" s="42">
        <v>11.22</v>
      </c>
      <c r="F397" s="16">
        <f>SUMIF('Itemized Calculation'!C:C,B397,'Itemized Calculation'!K:K)</f>
        <v>10.395</v>
      </c>
      <c r="G397" s="16">
        <f t="shared" si="6"/>
        <v>0.82500000000000107</v>
      </c>
    </row>
    <row r="398" spans="1:7" ht="15" customHeight="1" x14ac:dyDescent="0.25">
      <c r="A398" s="15">
        <v>397</v>
      </c>
      <c r="B398" s="15" t="s">
        <v>1577</v>
      </c>
      <c r="C398" s="15" t="s">
        <v>1578</v>
      </c>
      <c r="D398" s="15">
        <f>COUNTIF('Itemized Calculation'!C:C,B398)</f>
        <v>1</v>
      </c>
      <c r="E398" s="42">
        <v>19.41</v>
      </c>
      <c r="F398" s="16">
        <f>SUMIF('Itemized Calculation'!C:C,B398,'Itemized Calculation'!K:K)</f>
        <v>18.27</v>
      </c>
      <c r="G398" s="16">
        <f t="shared" si="6"/>
        <v>1.1400000000000006</v>
      </c>
    </row>
    <row r="399" spans="1:7" ht="15" customHeight="1" x14ac:dyDescent="0.25">
      <c r="A399" s="15">
        <v>398</v>
      </c>
      <c r="B399" s="15" t="s">
        <v>1581</v>
      </c>
      <c r="C399" s="15" t="s">
        <v>1582</v>
      </c>
      <c r="D399" s="15">
        <f>COUNTIF('Itemized Calculation'!C:C,B399)</f>
        <v>1</v>
      </c>
      <c r="E399" s="42">
        <v>11.25</v>
      </c>
      <c r="F399" s="16">
        <f>SUMIF('Itemized Calculation'!C:C,B399,'Itemized Calculation'!K:K)</f>
        <v>10.494</v>
      </c>
      <c r="G399" s="16">
        <f t="shared" si="6"/>
        <v>0.75600000000000023</v>
      </c>
    </row>
    <row r="400" spans="1:7" ht="15" customHeight="1" x14ac:dyDescent="0.25">
      <c r="A400" s="15">
        <v>399</v>
      </c>
      <c r="B400" s="15" t="s">
        <v>1584</v>
      </c>
      <c r="C400" s="15" t="s">
        <v>1585</v>
      </c>
      <c r="D400" s="15">
        <f>COUNTIF('Itemized Calculation'!C:C,B400)</f>
        <v>1</v>
      </c>
      <c r="E400" s="42">
        <v>32.82</v>
      </c>
      <c r="F400" s="16">
        <f>SUMIF('Itemized Calculation'!C:C,B400,'Itemized Calculation'!K:K)</f>
        <v>29.7</v>
      </c>
      <c r="G400" s="16">
        <f t="shared" si="6"/>
        <v>3.120000000000001</v>
      </c>
    </row>
    <row r="401" spans="1:7" ht="15" customHeight="1" x14ac:dyDescent="0.25">
      <c r="A401" s="15">
        <v>400</v>
      </c>
      <c r="B401" s="15" t="s">
        <v>1587</v>
      </c>
      <c r="C401" s="15" t="s">
        <v>1588</v>
      </c>
      <c r="D401" s="15">
        <f>COUNTIF('Itemized Calculation'!C:C,B401)</f>
        <v>1</v>
      </c>
      <c r="E401" s="42">
        <v>13.37</v>
      </c>
      <c r="F401" s="16">
        <f>SUMIF('Itemized Calculation'!C:C,B401,'Itemized Calculation'!K:K)</f>
        <v>12.151999999999999</v>
      </c>
      <c r="G401" s="16">
        <f t="shared" si="6"/>
        <v>1.218</v>
      </c>
    </row>
    <row r="402" spans="1:7" ht="15" customHeight="1" x14ac:dyDescent="0.25">
      <c r="A402" s="15">
        <v>401</v>
      </c>
      <c r="B402" s="15" t="s">
        <v>1591</v>
      </c>
      <c r="C402" s="15" t="s">
        <v>1592</v>
      </c>
      <c r="D402" s="15">
        <f>COUNTIF('Itemized Calculation'!C:C,B402)</f>
        <v>1</v>
      </c>
      <c r="E402" s="42">
        <v>21.49</v>
      </c>
      <c r="F402" s="16">
        <f>SUMIF('Itemized Calculation'!C:C,B402,'Itemized Calculation'!K:K)</f>
        <v>20.3</v>
      </c>
      <c r="G402" s="16">
        <f t="shared" si="6"/>
        <v>1.1899999999999977</v>
      </c>
    </row>
    <row r="403" spans="1:7" ht="15" customHeight="1" x14ac:dyDescent="0.25">
      <c r="A403" s="15">
        <v>402</v>
      </c>
      <c r="B403" s="15" t="s">
        <v>1595</v>
      </c>
      <c r="C403" s="15" t="s">
        <v>1596</v>
      </c>
      <c r="D403" s="15">
        <f>COUNTIF('Itemized Calculation'!C:C,B403)</f>
        <v>1</v>
      </c>
      <c r="E403" s="42">
        <v>22.49</v>
      </c>
      <c r="F403" s="16">
        <f>SUMIF('Itemized Calculation'!C:C,B403,'Itemized Calculation'!K:K)</f>
        <v>20.79</v>
      </c>
      <c r="G403" s="16">
        <f t="shared" si="6"/>
        <v>1.6999999999999993</v>
      </c>
    </row>
    <row r="404" spans="1:7" ht="15" customHeight="1" x14ac:dyDescent="0.25">
      <c r="A404" s="15">
        <v>403</v>
      </c>
      <c r="B404" s="15" t="s">
        <v>1598</v>
      </c>
      <c r="C404" s="15" t="s">
        <v>1599</v>
      </c>
      <c r="D404" s="15">
        <f>COUNTIF('Itemized Calculation'!C:C,B404)</f>
        <v>1</v>
      </c>
      <c r="E404" s="42">
        <v>11.29</v>
      </c>
      <c r="F404" s="16">
        <f>SUMIF('Itemized Calculation'!C:C,B404,'Itemized Calculation'!K:K)</f>
        <v>10.395</v>
      </c>
      <c r="G404" s="16">
        <f t="shared" si="6"/>
        <v>0.89499999999999957</v>
      </c>
    </row>
    <row r="405" spans="1:7" ht="15" customHeight="1" x14ac:dyDescent="0.25">
      <c r="A405" s="15">
        <v>404</v>
      </c>
      <c r="B405" s="15" t="s">
        <v>1601</v>
      </c>
      <c r="C405" s="15" t="s">
        <v>1602</v>
      </c>
      <c r="D405" s="15">
        <f>COUNTIF('Itemized Calculation'!C:C,B405)</f>
        <v>1</v>
      </c>
      <c r="E405" s="42">
        <v>13.53</v>
      </c>
      <c r="F405" s="16">
        <f>SUMIF('Itemized Calculation'!C:C,B405,'Itemized Calculation'!K:K)</f>
        <v>13.068</v>
      </c>
      <c r="G405" s="16">
        <f t="shared" si="6"/>
        <v>0.46199999999999974</v>
      </c>
    </row>
    <row r="406" spans="1:7" ht="15" customHeight="1" x14ac:dyDescent="0.25">
      <c r="A406" s="15">
        <v>405</v>
      </c>
      <c r="B406" s="15" t="s">
        <v>183</v>
      </c>
      <c r="C406" s="15" t="s">
        <v>1603</v>
      </c>
      <c r="D406" s="15">
        <f>COUNTIF('Itemized Calculation'!C:C,B406)</f>
        <v>1</v>
      </c>
      <c r="E406" s="42">
        <v>36.270000000000003</v>
      </c>
      <c r="F406" s="16">
        <f>SUMIF('Itemized Calculation'!C:C,B406,'Itemized Calculation'!K:K)</f>
        <v>33.561000000000007</v>
      </c>
      <c r="G406" s="16">
        <f t="shared" si="6"/>
        <v>2.7089999999999961</v>
      </c>
    </row>
    <row r="407" spans="1:7" ht="15" customHeight="1" x14ac:dyDescent="0.25">
      <c r="A407" s="15">
        <v>406</v>
      </c>
      <c r="B407" s="15" t="s">
        <v>1605</v>
      </c>
      <c r="C407" s="15" t="s">
        <v>1606</v>
      </c>
      <c r="D407" s="15">
        <f>COUNTIF('Itemized Calculation'!C:C,B407)</f>
        <v>1</v>
      </c>
      <c r="E407" s="42">
        <v>13.29</v>
      </c>
      <c r="F407" s="16">
        <f>SUMIF('Itemized Calculation'!C:C,B407,'Itemized Calculation'!K:K)</f>
        <v>12.968999999999999</v>
      </c>
      <c r="G407" s="16">
        <f t="shared" si="6"/>
        <v>0.32099999999999973</v>
      </c>
    </row>
    <row r="408" spans="1:7" ht="15" customHeight="1" x14ac:dyDescent="0.25">
      <c r="A408" s="15">
        <v>407</v>
      </c>
      <c r="B408" s="15" t="s">
        <v>1608</v>
      </c>
      <c r="C408" s="15" t="s">
        <v>1609</v>
      </c>
      <c r="D408" s="15">
        <f>COUNTIF('Itemized Calculation'!C:C,B408)</f>
        <v>1</v>
      </c>
      <c r="E408" s="42">
        <v>13.72</v>
      </c>
      <c r="F408" s="16">
        <f>SUMIF('Itemized Calculation'!C:C,B408,'Itemized Calculation'!K:K)</f>
        <v>12.968999999999999</v>
      </c>
      <c r="G408" s="16">
        <f t="shared" si="6"/>
        <v>0.75100000000000122</v>
      </c>
    </row>
    <row r="409" spans="1:7" ht="15" customHeight="1" x14ac:dyDescent="0.25">
      <c r="A409" s="15">
        <v>408</v>
      </c>
      <c r="B409" s="15" t="s">
        <v>1611</v>
      </c>
      <c r="C409" s="15" t="s">
        <v>1612</v>
      </c>
      <c r="D409" s="15">
        <f>COUNTIF('Itemized Calculation'!C:C,B409)</f>
        <v>1</v>
      </c>
      <c r="E409" s="42">
        <v>13.72</v>
      </c>
      <c r="F409" s="16">
        <f>SUMIF('Itemized Calculation'!C:C,B409,'Itemized Calculation'!K:K)</f>
        <v>12.968999999999999</v>
      </c>
      <c r="G409" s="16">
        <f t="shared" si="6"/>
        <v>0.75100000000000122</v>
      </c>
    </row>
    <row r="410" spans="1:7" ht="15" customHeight="1" x14ac:dyDescent="0.25">
      <c r="A410" s="15">
        <v>409</v>
      </c>
      <c r="B410" s="15" t="s">
        <v>1614</v>
      </c>
      <c r="C410" s="15" t="s">
        <v>1615</v>
      </c>
      <c r="D410" s="15">
        <f>COUNTIF('Itemized Calculation'!C:C,B410)</f>
        <v>1</v>
      </c>
      <c r="E410" s="42">
        <v>11.85</v>
      </c>
      <c r="F410" s="16">
        <f>SUMIF('Itemized Calculation'!C:C,B410,'Itemized Calculation'!K:K)</f>
        <v>11.187000000000001</v>
      </c>
      <c r="G410" s="16">
        <f t="shared" si="6"/>
        <v>0.66299999999999848</v>
      </c>
    </row>
    <row r="411" spans="1:7" ht="15" customHeight="1" x14ac:dyDescent="0.25">
      <c r="A411" s="15">
        <v>410</v>
      </c>
      <c r="B411" s="15" t="s">
        <v>1617</v>
      </c>
      <c r="C411" s="15" t="s">
        <v>1618</v>
      </c>
      <c r="D411" s="15">
        <f>COUNTIF('Itemized Calculation'!C:C,B411)</f>
        <v>1</v>
      </c>
      <c r="E411" s="42">
        <v>6.63</v>
      </c>
      <c r="F411" s="16">
        <f>SUMIF('Itemized Calculation'!C:C,B411,'Itemized Calculation'!K:K)</f>
        <v>6.1749999999999998</v>
      </c>
      <c r="G411" s="16">
        <f t="shared" si="6"/>
        <v>0.45500000000000007</v>
      </c>
    </row>
    <row r="412" spans="1:7" ht="15" customHeight="1" x14ac:dyDescent="0.25">
      <c r="A412" s="15">
        <v>411</v>
      </c>
      <c r="B412" s="15" t="s">
        <v>1620</v>
      </c>
      <c r="C412" s="15" t="s">
        <v>1621</v>
      </c>
      <c r="D412" s="15">
        <f>COUNTIF('Itemized Calculation'!C:C,B412)</f>
        <v>1</v>
      </c>
      <c r="E412" s="42">
        <v>14.2</v>
      </c>
      <c r="F412" s="16">
        <f>SUMIF('Itemized Calculation'!C:C,B412,'Itemized Calculation'!K:K)</f>
        <v>11.408000000000001</v>
      </c>
      <c r="G412" s="16">
        <f t="shared" si="6"/>
        <v>2.791999999999998</v>
      </c>
    </row>
    <row r="413" spans="1:7" ht="15" customHeight="1" x14ac:dyDescent="0.25">
      <c r="A413" s="15">
        <v>412</v>
      </c>
      <c r="B413" s="15" t="s">
        <v>1623</v>
      </c>
      <c r="C413" s="15" t="s">
        <v>1624</v>
      </c>
      <c r="D413" s="15">
        <f>COUNTIF('Itemized Calculation'!C:C,B413)</f>
        <v>2</v>
      </c>
      <c r="E413" s="42">
        <v>67.88</v>
      </c>
      <c r="F413" s="16">
        <f>SUMIF('Itemized Calculation'!C:C,B413,'Itemized Calculation'!K:K)</f>
        <v>63.625</v>
      </c>
      <c r="G413" s="16">
        <f t="shared" si="6"/>
        <v>4.2549999999999955</v>
      </c>
    </row>
    <row r="414" spans="1:7" ht="15" customHeight="1" x14ac:dyDescent="0.25">
      <c r="A414" s="15">
        <v>413</v>
      </c>
      <c r="B414" s="15" t="s">
        <v>1627</v>
      </c>
      <c r="C414" s="15" t="s">
        <v>1628</v>
      </c>
      <c r="D414" s="15">
        <f>COUNTIF('Itemized Calculation'!C:C,B414)</f>
        <v>1</v>
      </c>
      <c r="E414" s="42">
        <v>7.2</v>
      </c>
      <c r="F414" s="16">
        <f>SUMIF('Itemized Calculation'!C:C,B414,'Itemized Calculation'!K:K)</f>
        <v>7.6399999999999988</v>
      </c>
      <c r="G414" s="16">
        <f t="shared" si="6"/>
        <v>-0.43999999999999861</v>
      </c>
    </row>
    <row r="415" spans="1:7" ht="15" customHeight="1" x14ac:dyDescent="0.25">
      <c r="A415" s="15">
        <v>414</v>
      </c>
      <c r="B415" s="15" t="s">
        <v>104</v>
      </c>
      <c r="C415" s="15" t="s">
        <v>1630</v>
      </c>
      <c r="D415" s="15">
        <f>COUNTIF('Itemized Calculation'!C:C,B415)</f>
        <v>2</v>
      </c>
      <c r="E415" s="42">
        <v>79.489999999999995</v>
      </c>
      <c r="F415" s="16">
        <f>SUMIF('Itemized Calculation'!C:C,B415,'Itemized Calculation'!K:K)</f>
        <v>71.975999999999999</v>
      </c>
      <c r="G415" s="16">
        <f t="shared" si="6"/>
        <v>7.5139999999999958</v>
      </c>
    </row>
    <row r="416" spans="1:7" ht="15" customHeight="1" x14ac:dyDescent="0.25">
      <c r="A416" s="15">
        <v>415</v>
      </c>
      <c r="B416" s="15" t="s">
        <v>1633</v>
      </c>
      <c r="C416" s="15" t="s">
        <v>1634</v>
      </c>
      <c r="D416" s="15">
        <f>COUNTIF('Itemized Calculation'!C:C,B416)</f>
        <v>1</v>
      </c>
      <c r="E416" s="42">
        <v>13.15</v>
      </c>
      <c r="F416" s="16">
        <f>SUMIF('Itemized Calculation'!C:C,B416,'Itemized Calculation'!K:K)</f>
        <v>12.968999999999999</v>
      </c>
      <c r="G416" s="16">
        <f t="shared" si="6"/>
        <v>0.18100000000000094</v>
      </c>
    </row>
    <row r="417" spans="1:7" ht="15" customHeight="1" x14ac:dyDescent="0.25">
      <c r="A417" s="15">
        <v>416</v>
      </c>
      <c r="B417" s="15" t="s">
        <v>1636</v>
      </c>
      <c r="C417" s="15" t="s">
        <v>1637</v>
      </c>
      <c r="D417" s="15">
        <f>COUNTIF('Itemized Calculation'!C:C,B417)</f>
        <v>1</v>
      </c>
      <c r="E417" s="42">
        <v>13.24</v>
      </c>
      <c r="F417" s="16">
        <f>SUMIF('Itemized Calculation'!C:C,B417,'Itemized Calculation'!K:K)</f>
        <v>13.464</v>
      </c>
      <c r="G417" s="16">
        <f t="shared" si="6"/>
        <v>-0.2240000000000002</v>
      </c>
    </row>
    <row r="418" spans="1:7" ht="15" customHeight="1" x14ac:dyDescent="0.25">
      <c r="A418" s="15">
        <v>417</v>
      </c>
      <c r="B418" s="15" t="s">
        <v>1640</v>
      </c>
      <c r="C418" s="15" t="s">
        <v>1641</v>
      </c>
      <c r="D418" s="15">
        <f>COUNTIF('Itemized Calculation'!C:C,B418)</f>
        <v>1</v>
      </c>
      <c r="E418" s="42">
        <v>21.82</v>
      </c>
      <c r="F418" s="16">
        <f>SUMIF('Itemized Calculation'!C:C,B418,'Itemized Calculation'!K:K)</f>
        <v>19.899999999999999</v>
      </c>
      <c r="G418" s="16">
        <f t="shared" si="6"/>
        <v>1.9200000000000017</v>
      </c>
    </row>
    <row r="419" spans="1:7" ht="15" customHeight="1" x14ac:dyDescent="0.25">
      <c r="A419" s="15">
        <v>418</v>
      </c>
      <c r="B419" s="15" t="s">
        <v>1644</v>
      </c>
      <c r="C419" s="15" t="s">
        <v>1645</v>
      </c>
      <c r="D419" s="15">
        <f>COUNTIF('Itemized Calculation'!C:C,B419)</f>
        <v>1</v>
      </c>
      <c r="E419" s="42">
        <v>23.02</v>
      </c>
      <c r="F419" s="16">
        <f>SUMIF('Itemized Calculation'!C:C,B419,'Itemized Calculation'!K:K)</f>
        <v>20.79</v>
      </c>
      <c r="G419" s="16">
        <f t="shared" si="6"/>
        <v>2.2300000000000004</v>
      </c>
    </row>
    <row r="420" spans="1:7" ht="15" customHeight="1" x14ac:dyDescent="0.25">
      <c r="A420" s="15">
        <v>419</v>
      </c>
      <c r="B420" s="15" t="s">
        <v>1647</v>
      </c>
      <c r="C420" s="15" t="s">
        <v>1648</v>
      </c>
      <c r="D420" s="15">
        <f>COUNTIF('Itemized Calculation'!C:C,B420)</f>
        <v>1</v>
      </c>
      <c r="E420" s="42">
        <v>11.26</v>
      </c>
      <c r="F420" s="16">
        <f>SUMIF('Itemized Calculation'!C:C,B420,'Itemized Calculation'!K:K)</f>
        <v>10.593</v>
      </c>
      <c r="G420" s="16">
        <f t="shared" si="6"/>
        <v>0.66699999999999982</v>
      </c>
    </row>
    <row r="421" spans="1:7" ht="15" customHeight="1" x14ac:dyDescent="0.25">
      <c r="A421" s="15">
        <v>420</v>
      </c>
      <c r="B421" s="15" t="s">
        <v>1650</v>
      </c>
      <c r="C421" s="15" t="s">
        <v>1651</v>
      </c>
      <c r="D421" s="15">
        <f>COUNTIF('Itemized Calculation'!C:C,B421)</f>
        <v>1</v>
      </c>
      <c r="E421" s="42">
        <v>20.079999999999998</v>
      </c>
      <c r="F421" s="16">
        <f>SUMIF('Itemized Calculation'!C:C,B421,'Itemized Calculation'!K:K)</f>
        <v>18.05</v>
      </c>
      <c r="G421" s="16">
        <f t="shared" si="6"/>
        <v>2.0299999999999976</v>
      </c>
    </row>
    <row r="422" spans="1:7" ht="15" customHeight="1" x14ac:dyDescent="0.25">
      <c r="A422" s="15">
        <v>421</v>
      </c>
      <c r="B422" s="15" t="s">
        <v>1654</v>
      </c>
      <c r="C422" s="15" t="s">
        <v>1655</v>
      </c>
      <c r="D422" s="15">
        <f>COUNTIF('Itemized Calculation'!C:C,B422)</f>
        <v>1</v>
      </c>
      <c r="E422" s="42">
        <v>15.91</v>
      </c>
      <c r="F422" s="16">
        <f>SUMIF('Itemized Calculation'!C:C,B422,'Itemized Calculation'!K:K)</f>
        <v>14.652000000000001</v>
      </c>
      <c r="G422" s="16">
        <f t="shared" si="6"/>
        <v>1.2579999999999991</v>
      </c>
    </row>
    <row r="423" spans="1:7" ht="15" customHeight="1" x14ac:dyDescent="0.25">
      <c r="A423" s="15">
        <v>422</v>
      </c>
      <c r="B423" s="15" t="s">
        <v>1657</v>
      </c>
      <c r="C423" s="15" t="s">
        <v>1658</v>
      </c>
      <c r="D423" s="15">
        <f>COUNTIF('Itemized Calculation'!C:C,B423)</f>
        <v>7</v>
      </c>
      <c r="E423" s="42">
        <v>858.28</v>
      </c>
      <c r="F423" s="16">
        <f>SUMIF('Itemized Calculation'!C:C,B423,'Itemized Calculation'!K:K)</f>
        <v>751.41000000000008</v>
      </c>
      <c r="G423" s="16">
        <f t="shared" si="6"/>
        <v>106.86999999999989</v>
      </c>
    </row>
    <row r="424" spans="1:7" ht="15" customHeight="1" x14ac:dyDescent="0.25">
      <c r="A424" s="15">
        <v>423</v>
      </c>
      <c r="B424" s="15" t="s">
        <v>1660</v>
      </c>
      <c r="C424" s="15" t="s">
        <v>1661</v>
      </c>
      <c r="D424" s="15">
        <f>COUNTIF('Itemized Calculation'!C:C,B424)</f>
        <v>1</v>
      </c>
      <c r="E424" s="42">
        <v>35.630000000000003</v>
      </c>
      <c r="F424" s="16">
        <f>SUMIF('Itemized Calculation'!C:C,B424,'Itemized Calculation'!K:K)</f>
        <v>30.6</v>
      </c>
      <c r="G424" s="16">
        <f t="shared" si="6"/>
        <v>5.0300000000000011</v>
      </c>
    </row>
    <row r="425" spans="1:7" ht="15" customHeight="1" x14ac:dyDescent="0.25">
      <c r="A425" s="15">
        <v>424</v>
      </c>
      <c r="B425" s="15" t="s">
        <v>1664</v>
      </c>
      <c r="C425" s="15" t="s">
        <v>1665</v>
      </c>
      <c r="D425" s="15">
        <f>COUNTIF('Itemized Calculation'!C:C,B425)</f>
        <v>1</v>
      </c>
      <c r="E425" s="42">
        <v>10.87</v>
      </c>
      <c r="F425" s="16">
        <f>SUMIF('Itemized Calculation'!C:C,B425,'Itemized Calculation'!K:K)</f>
        <v>10.593</v>
      </c>
      <c r="G425" s="16">
        <f t="shared" si="6"/>
        <v>0.27699999999999925</v>
      </c>
    </row>
    <row r="426" spans="1:7" ht="15" customHeight="1" x14ac:dyDescent="0.25">
      <c r="A426" s="15">
        <v>425</v>
      </c>
      <c r="B426" s="15" t="s">
        <v>1667</v>
      </c>
      <c r="C426" s="15" t="s">
        <v>1668</v>
      </c>
      <c r="D426" s="15">
        <f>COUNTIF('Itemized Calculation'!C:C,B426)</f>
        <v>1</v>
      </c>
      <c r="E426" s="42">
        <v>10.98</v>
      </c>
      <c r="F426" s="16">
        <f>SUMIF('Itemized Calculation'!C:C,B426,'Itemized Calculation'!K:K)</f>
        <v>10.395</v>
      </c>
      <c r="G426" s="16">
        <f t="shared" si="6"/>
        <v>0.58500000000000085</v>
      </c>
    </row>
    <row r="427" spans="1:7" ht="15" customHeight="1" x14ac:dyDescent="0.25">
      <c r="A427" s="15">
        <v>426</v>
      </c>
      <c r="B427" s="15" t="s">
        <v>1671</v>
      </c>
      <c r="C427" s="15" t="s">
        <v>1672</v>
      </c>
      <c r="D427" s="15">
        <f>COUNTIF('Itemized Calculation'!C:C,B427)</f>
        <v>1</v>
      </c>
      <c r="E427" s="42">
        <v>26.56</v>
      </c>
      <c r="F427" s="16">
        <f>SUMIF('Itemized Calculation'!C:C,B427,'Itemized Calculation'!K:K)</f>
        <v>24.32</v>
      </c>
      <c r="G427" s="16">
        <f t="shared" si="6"/>
        <v>2.2399999999999984</v>
      </c>
    </row>
    <row r="428" spans="1:7" ht="15" customHeight="1" x14ac:dyDescent="0.25">
      <c r="A428" s="15">
        <v>427</v>
      </c>
      <c r="B428" s="15" t="s">
        <v>1674</v>
      </c>
      <c r="C428" s="15" t="s">
        <v>1675</v>
      </c>
      <c r="D428" s="15">
        <f>COUNTIF('Itemized Calculation'!C:C,B428)</f>
        <v>1</v>
      </c>
      <c r="E428" s="42">
        <v>13.15</v>
      </c>
      <c r="F428" s="16">
        <f>SUMIF('Itemized Calculation'!C:C,B428,'Itemized Calculation'!K:K)</f>
        <v>12.276</v>
      </c>
      <c r="G428" s="16">
        <f t="shared" si="6"/>
        <v>0.87400000000000055</v>
      </c>
    </row>
    <row r="429" spans="1:7" ht="15" customHeight="1" x14ac:dyDescent="0.25">
      <c r="A429" s="15">
        <v>428</v>
      </c>
      <c r="B429" s="15" t="s">
        <v>1677</v>
      </c>
      <c r="C429" s="15" t="s">
        <v>1678</v>
      </c>
      <c r="D429" s="15">
        <f>COUNTIF('Itemized Calculation'!C:C,B429)</f>
        <v>1</v>
      </c>
      <c r="E429" s="42">
        <v>40.75</v>
      </c>
      <c r="F429" s="16">
        <f>SUMIF('Itemized Calculation'!C:C,B429,'Itemized Calculation'!K:K)</f>
        <v>39.805</v>
      </c>
      <c r="G429" s="16">
        <f t="shared" si="6"/>
        <v>0.94500000000000028</v>
      </c>
    </row>
    <row r="430" spans="1:7" ht="15" customHeight="1" x14ac:dyDescent="0.25">
      <c r="A430" s="15">
        <v>429</v>
      </c>
      <c r="B430" s="15" t="s">
        <v>146</v>
      </c>
      <c r="C430" s="15" t="s">
        <v>1680</v>
      </c>
      <c r="D430" s="15">
        <f>COUNTIF('Itemized Calculation'!C:C,B430)</f>
        <v>2</v>
      </c>
      <c r="E430" s="42">
        <v>32.119999999999997</v>
      </c>
      <c r="F430" s="16">
        <f>SUMIF('Itemized Calculation'!C:C,B430,'Itemized Calculation'!K:K)</f>
        <v>29.502000000000002</v>
      </c>
      <c r="G430" s="16">
        <f t="shared" si="6"/>
        <v>2.617999999999995</v>
      </c>
    </row>
    <row r="431" spans="1:7" ht="15" customHeight="1" x14ac:dyDescent="0.25">
      <c r="A431" s="15">
        <v>430</v>
      </c>
      <c r="B431" s="15" t="s">
        <v>1682</v>
      </c>
      <c r="C431" s="15" t="s">
        <v>1683</v>
      </c>
      <c r="D431" s="15">
        <f>COUNTIF('Itemized Calculation'!C:C,B431)</f>
        <v>1</v>
      </c>
      <c r="E431" s="42">
        <v>19.260000000000002</v>
      </c>
      <c r="F431" s="16">
        <f>SUMIF('Itemized Calculation'!C:C,B431,'Itemized Calculation'!K:K)</f>
        <v>18.05</v>
      </c>
      <c r="G431" s="16">
        <f t="shared" si="6"/>
        <v>1.2100000000000009</v>
      </c>
    </row>
    <row r="432" spans="1:7" ht="15" customHeight="1" x14ac:dyDescent="0.25">
      <c r="A432" s="15">
        <v>431</v>
      </c>
      <c r="B432" s="15" t="s">
        <v>1686</v>
      </c>
      <c r="C432" s="15" t="s">
        <v>1687</v>
      </c>
      <c r="D432" s="15">
        <f>COUNTIF('Itemized Calculation'!C:C,B432)</f>
        <v>1</v>
      </c>
      <c r="E432" s="42">
        <v>13.24</v>
      </c>
      <c r="F432" s="16">
        <f>SUMIF('Itemized Calculation'!C:C,B432,'Itemized Calculation'!K:K)</f>
        <v>13.068</v>
      </c>
      <c r="G432" s="16">
        <f t="shared" si="6"/>
        <v>0.1720000000000006</v>
      </c>
    </row>
    <row r="433" spans="1:7" ht="15" customHeight="1" x14ac:dyDescent="0.25">
      <c r="A433" s="15">
        <v>432</v>
      </c>
      <c r="B433" s="15" t="s">
        <v>1689</v>
      </c>
      <c r="C433" s="15" t="s">
        <v>1690</v>
      </c>
      <c r="D433" s="15">
        <f>COUNTIF('Itemized Calculation'!C:C,B433)</f>
        <v>1</v>
      </c>
      <c r="E433" s="42">
        <v>11.6</v>
      </c>
      <c r="F433" s="16">
        <f>SUMIF('Itemized Calculation'!C:C,B433,'Itemized Calculation'!K:K)</f>
        <v>11.187000000000001</v>
      </c>
      <c r="G433" s="16">
        <f t="shared" si="6"/>
        <v>0.41299999999999848</v>
      </c>
    </row>
    <row r="434" spans="1:7" ht="15" customHeight="1" x14ac:dyDescent="0.25">
      <c r="A434" s="15">
        <v>433</v>
      </c>
      <c r="B434" s="15" t="s">
        <v>1692</v>
      </c>
      <c r="C434" s="15" t="s">
        <v>1693</v>
      </c>
      <c r="D434" s="15">
        <f>COUNTIF('Itemized Calculation'!C:C,B434)</f>
        <v>1</v>
      </c>
      <c r="E434" s="42">
        <v>17</v>
      </c>
      <c r="F434" s="16">
        <f>SUMIF('Itemized Calculation'!C:C,B434,'Itemized Calculation'!K:K)</f>
        <v>14.22</v>
      </c>
      <c r="G434" s="16">
        <f t="shared" si="6"/>
        <v>2.7799999999999994</v>
      </c>
    </row>
    <row r="435" spans="1:7" ht="15" customHeight="1" x14ac:dyDescent="0.25">
      <c r="A435" s="15">
        <v>434</v>
      </c>
      <c r="B435" s="15" t="s">
        <v>1696</v>
      </c>
      <c r="C435" s="15" t="s">
        <v>1697</v>
      </c>
      <c r="D435" s="15">
        <f>COUNTIF('Itemized Calculation'!C:C,B435)</f>
        <v>1</v>
      </c>
      <c r="E435" s="42">
        <v>13.14</v>
      </c>
      <c r="F435" s="16">
        <f>SUMIF('Itemized Calculation'!C:C,B435,'Itemized Calculation'!K:K)</f>
        <v>13.068</v>
      </c>
      <c r="G435" s="16">
        <f t="shared" si="6"/>
        <v>7.2000000000000952E-2</v>
      </c>
    </row>
    <row r="436" spans="1:7" ht="15" customHeight="1" x14ac:dyDescent="0.25">
      <c r="A436" s="15">
        <v>435</v>
      </c>
      <c r="B436" s="15" t="s">
        <v>1699</v>
      </c>
      <c r="C436" s="15" t="s">
        <v>1700</v>
      </c>
      <c r="D436" s="15">
        <f>COUNTIF('Itemized Calculation'!C:C,B436)</f>
        <v>1</v>
      </c>
      <c r="E436" s="42">
        <v>11.67</v>
      </c>
      <c r="F436" s="16">
        <f>SUMIF('Itemized Calculation'!C:C,B436,'Itemized Calculation'!K:K)</f>
        <v>11.187000000000001</v>
      </c>
      <c r="G436" s="16">
        <f t="shared" si="6"/>
        <v>0.48299999999999876</v>
      </c>
    </row>
    <row r="437" spans="1:7" ht="15" customHeight="1" x14ac:dyDescent="0.25">
      <c r="A437" s="15">
        <v>436</v>
      </c>
      <c r="B437" s="15" t="s">
        <v>1702</v>
      </c>
      <c r="C437" s="15" t="s">
        <v>1703</v>
      </c>
      <c r="D437" s="15">
        <f>COUNTIF('Itemized Calculation'!C:C,B437)</f>
        <v>1</v>
      </c>
      <c r="E437" s="42">
        <v>13.17</v>
      </c>
      <c r="F437" s="16">
        <f>SUMIF('Itemized Calculation'!C:C,B437,'Itemized Calculation'!K:K)</f>
        <v>13.365</v>
      </c>
      <c r="G437" s="16">
        <f t="shared" si="6"/>
        <v>-0.19500000000000028</v>
      </c>
    </row>
    <row r="438" spans="1:7" ht="15" customHeight="1" x14ac:dyDescent="0.25">
      <c r="A438" s="15">
        <v>437</v>
      </c>
      <c r="B438" s="15" t="s">
        <v>1705</v>
      </c>
      <c r="C438" s="15" t="s">
        <v>1706</v>
      </c>
      <c r="D438" s="15">
        <f>COUNTIF('Itemized Calculation'!C:C,B438)</f>
        <v>1</v>
      </c>
      <c r="E438" s="42">
        <v>30.21</v>
      </c>
      <c r="F438" s="16">
        <f>SUMIF('Itemized Calculation'!C:C,B438,'Itemized Calculation'!K:K)</f>
        <v>31.184999999999999</v>
      </c>
      <c r="G438" s="16">
        <f t="shared" si="6"/>
        <v>-0.97499999999999787</v>
      </c>
    </row>
    <row r="439" spans="1:7" ht="15" customHeight="1" x14ac:dyDescent="0.25">
      <c r="A439" s="15">
        <v>438</v>
      </c>
      <c r="B439" s="15" t="s">
        <v>1708</v>
      </c>
      <c r="C439" s="15" t="s">
        <v>1709</v>
      </c>
      <c r="D439" s="15">
        <f>COUNTIF('Itemized Calculation'!C:C,B439)</f>
        <v>2</v>
      </c>
      <c r="E439" s="42">
        <v>26.85</v>
      </c>
      <c r="F439" s="16">
        <f>SUMIF('Itemized Calculation'!C:C,B439,'Itemized Calculation'!K:K)</f>
        <v>22.595000000000002</v>
      </c>
      <c r="G439" s="16">
        <f t="shared" si="6"/>
        <v>4.254999999999999</v>
      </c>
    </row>
    <row r="440" spans="1:7" ht="15" customHeight="1" x14ac:dyDescent="0.25">
      <c r="A440" s="15">
        <v>439</v>
      </c>
      <c r="B440" s="15" t="s">
        <v>1712</v>
      </c>
      <c r="C440" s="15" t="s">
        <v>1713</v>
      </c>
      <c r="D440" s="15">
        <f>COUNTIF('Itemized Calculation'!C:C,B440)</f>
        <v>1</v>
      </c>
      <c r="E440" s="42">
        <v>11.22</v>
      </c>
      <c r="F440" s="16">
        <f>SUMIF('Itemized Calculation'!C:C,B440,'Itemized Calculation'!K:K)</f>
        <v>10.395</v>
      </c>
      <c r="G440" s="16">
        <f t="shared" si="6"/>
        <v>0.82500000000000107</v>
      </c>
    </row>
    <row r="441" spans="1:7" ht="15" customHeight="1" x14ac:dyDescent="0.25">
      <c r="A441" s="15">
        <v>440</v>
      </c>
      <c r="B441" s="15" t="s">
        <v>1715</v>
      </c>
      <c r="C441" s="15" t="s">
        <v>1716</v>
      </c>
      <c r="D441" s="15">
        <f>COUNTIF('Itemized Calculation'!C:C,B441)</f>
        <v>1</v>
      </c>
      <c r="E441" s="42">
        <v>27.9</v>
      </c>
      <c r="F441" s="16">
        <f>SUMIF('Itemized Calculation'!C:C,B441,'Itemized Calculation'!K:K)</f>
        <v>25.937999999999999</v>
      </c>
      <c r="G441" s="16">
        <f t="shared" si="6"/>
        <v>1.9619999999999997</v>
      </c>
    </row>
    <row r="442" spans="1:7" ht="15" customHeight="1" x14ac:dyDescent="0.25">
      <c r="A442" s="15">
        <v>441</v>
      </c>
      <c r="B442" s="15" t="s">
        <v>1718</v>
      </c>
      <c r="C442" s="15" t="s">
        <v>1719</v>
      </c>
      <c r="D442" s="15">
        <f>COUNTIF('Itemized Calculation'!C:C,B442)</f>
        <v>1</v>
      </c>
      <c r="E442" s="42">
        <v>34.590000000000003</v>
      </c>
      <c r="F442" s="16">
        <f>SUMIF('Itemized Calculation'!C:C,B442,'Itemized Calculation'!K:K)</f>
        <v>33.464999999999996</v>
      </c>
      <c r="G442" s="16">
        <f t="shared" si="6"/>
        <v>1.1250000000000071</v>
      </c>
    </row>
    <row r="443" spans="1:7" ht="15" customHeight="1" x14ac:dyDescent="0.25">
      <c r="A443" s="15">
        <v>442</v>
      </c>
      <c r="B443" s="15" t="s">
        <v>1722</v>
      </c>
      <c r="C443" s="15" t="s">
        <v>1723</v>
      </c>
      <c r="D443" s="15">
        <f>COUNTIF('Itemized Calculation'!C:C,B443)</f>
        <v>1</v>
      </c>
      <c r="E443" s="42">
        <v>11.46</v>
      </c>
      <c r="F443" s="16">
        <f>SUMIF('Itemized Calculation'!C:C,B443,'Itemized Calculation'!K:K)</f>
        <v>10.395</v>
      </c>
      <c r="G443" s="16">
        <f t="shared" si="6"/>
        <v>1.0650000000000013</v>
      </c>
    </row>
    <row r="444" spans="1:7" ht="15" customHeight="1" x14ac:dyDescent="0.25">
      <c r="A444" s="15">
        <v>443</v>
      </c>
      <c r="B444" s="15" t="s">
        <v>1725</v>
      </c>
      <c r="C444" s="15" t="s">
        <v>1726</v>
      </c>
      <c r="D444" s="15">
        <f>COUNTIF('Itemized Calculation'!C:C,B444)</f>
        <v>1</v>
      </c>
      <c r="E444" s="42">
        <v>21.48</v>
      </c>
      <c r="F444" s="16">
        <f>SUMIF('Itemized Calculation'!C:C,B444,'Itemized Calculation'!K:K)</f>
        <v>19.3</v>
      </c>
      <c r="G444" s="16">
        <f t="shared" si="6"/>
        <v>2.1799999999999997</v>
      </c>
    </row>
    <row r="445" spans="1:7" ht="15" customHeight="1" x14ac:dyDescent="0.25">
      <c r="A445" s="15">
        <v>444</v>
      </c>
      <c r="B445" s="15" t="s">
        <v>1729</v>
      </c>
      <c r="C445" s="15" t="s">
        <v>1730</v>
      </c>
      <c r="D445" s="15">
        <f>COUNTIF('Itemized Calculation'!C:C,B445)</f>
        <v>1</v>
      </c>
      <c r="E445" s="42">
        <v>55.78</v>
      </c>
      <c r="F445" s="16">
        <f>SUMIF('Itemized Calculation'!C:C,B445,'Itemized Calculation'!K:K)</f>
        <v>53.3</v>
      </c>
      <c r="G445" s="16">
        <f t="shared" si="6"/>
        <v>2.480000000000004</v>
      </c>
    </row>
    <row r="446" spans="1:7" ht="15" customHeight="1" x14ac:dyDescent="0.25">
      <c r="A446" s="15">
        <v>445</v>
      </c>
      <c r="B446" s="15" t="s">
        <v>154</v>
      </c>
      <c r="C446" s="15" t="s">
        <v>1732</v>
      </c>
      <c r="D446" s="15">
        <f>COUNTIF('Itemized Calculation'!C:C,B446)</f>
        <v>1</v>
      </c>
      <c r="E446" s="42">
        <v>28.46</v>
      </c>
      <c r="F446" s="16">
        <f>SUMIF('Itemized Calculation'!C:C,B446,'Itemized Calculation'!K:K)</f>
        <v>31.184999999999999</v>
      </c>
      <c r="G446" s="16">
        <f t="shared" si="6"/>
        <v>-2.7249999999999979</v>
      </c>
    </row>
    <row r="447" spans="1:7" ht="15" customHeight="1" x14ac:dyDescent="0.25">
      <c r="A447" s="15">
        <v>446</v>
      </c>
      <c r="B447" s="15" t="s">
        <v>1734</v>
      </c>
      <c r="C447" s="15" t="s">
        <v>1735</v>
      </c>
      <c r="D447" s="15">
        <f>COUNTIF('Itemized Calculation'!C:C,B447)</f>
        <v>2</v>
      </c>
      <c r="E447" s="42">
        <v>15.87</v>
      </c>
      <c r="F447" s="16">
        <f>SUMIF('Itemized Calculation'!C:C,B447,'Itemized Calculation'!K:K)</f>
        <v>14.654999999999999</v>
      </c>
      <c r="G447" s="16">
        <f t="shared" si="6"/>
        <v>1.2149999999999999</v>
      </c>
    </row>
    <row r="448" spans="1:7" ht="15" customHeight="1" x14ac:dyDescent="0.25">
      <c r="A448" s="15">
        <v>447</v>
      </c>
      <c r="B448" s="15" t="s">
        <v>1738</v>
      </c>
      <c r="C448" s="15" t="s">
        <v>1739</v>
      </c>
      <c r="D448" s="15">
        <f>COUNTIF('Itemized Calculation'!C:C,B448)</f>
        <v>1</v>
      </c>
      <c r="E448" s="42">
        <v>18.440000000000001</v>
      </c>
      <c r="F448" s="16">
        <f>SUMIF('Itemized Calculation'!C:C,B448,'Itemized Calculation'!K:K)</f>
        <v>17.100000000000001</v>
      </c>
      <c r="G448" s="16">
        <f t="shared" si="6"/>
        <v>1.3399999999999999</v>
      </c>
    </row>
    <row r="449" spans="1:7" ht="15" customHeight="1" x14ac:dyDescent="0.25">
      <c r="A449" s="15">
        <v>448</v>
      </c>
      <c r="B449" s="15" t="s">
        <v>1742</v>
      </c>
      <c r="C449" s="15" t="s">
        <v>1743</v>
      </c>
      <c r="D449" s="15">
        <f>COUNTIF('Itemized Calculation'!C:C,B449)</f>
        <v>1</v>
      </c>
      <c r="E449" s="42">
        <v>22.36</v>
      </c>
      <c r="F449" s="16">
        <f>SUMIF('Itemized Calculation'!C:C,B449,'Itemized Calculation'!K:K)</f>
        <v>20.988</v>
      </c>
      <c r="G449" s="16">
        <f t="shared" si="6"/>
        <v>1.3719999999999999</v>
      </c>
    </row>
    <row r="450" spans="1:7" ht="15" customHeight="1" x14ac:dyDescent="0.25">
      <c r="A450" s="15">
        <v>449</v>
      </c>
      <c r="B450" s="15" t="s">
        <v>1745</v>
      </c>
      <c r="C450" s="15" t="s">
        <v>1746</v>
      </c>
      <c r="D450" s="15">
        <f>COUNTIF('Itemized Calculation'!C:C,B450)</f>
        <v>1</v>
      </c>
      <c r="E450" s="42">
        <v>10.9</v>
      </c>
      <c r="F450" s="16">
        <f>SUMIF('Itemized Calculation'!C:C,B450,'Itemized Calculation'!K:K)</f>
        <v>10.395</v>
      </c>
      <c r="G450" s="16">
        <f t="shared" ref="G450:G513" si="7">E450-F450</f>
        <v>0.50500000000000078</v>
      </c>
    </row>
    <row r="451" spans="1:7" ht="15" customHeight="1" x14ac:dyDescent="0.25">
      <c r="A451" s="15">
        <v>450</v>
      </c>
      <c r="B451" s="15" t="s">
        <v>1748</v>
      </c>
      <c r="C451" s="15" t="s">
        <v>1749</v>
      </c>
      <c r="D451" s="15">
        <f>COUNTIF('Itemized Calculation'!C:C,B451)</f>
        <v>2</v>
      </c>
      <c r="E451" s="42">
        <v>22.42</v>
      </c>
      <c r="F451" s="16">
        <f>SUMIF('Itemized Calculation'!C:C,B451,'Itemized Calculation'!K:K)</f>
        <v>21.087</v>
      </c>
      <c r="G451" s="16">
        <f t="shared" si="7"/>
        <v>1.333000000000002</v>
      </c>
    </row>
    <row r="452" spans="1:7" ht="15" customHeight="1" x14ac:dyDescent="0.25">
      <c r="A452" s="15">
        <v>451</v>
      </c>
      <c r="B452" s="15" t="s">
        <v>1751</v>
      </c>
      <c r="C452" s="15" t="s">
        <v>1752</v>
      </c>
      <c r="D452" s="15">
        <f>COUNTIF('Itemized Calculation'!C:C,B452)</f>
        <v>1</v>
      </c>
      <c r="E452" s="42">
        <v>15.32</v>
      </c>
      <c r="F452" s="16">
        <f>SUMIF('Itemized Calculation'!C:C,B452,'Itemized Calculation'!K:K)</f>
        <v>15.484999999999999</v>
      </c>
      <c r="G452" s="16">
        <f t="shared" si="7"/>
        <v>-0.16499999999999915</v>
      </c>
    </row>
    <row r="453" spans="1:7" ht="15" customHeight="1" x14ac:dyDescent="0.25">
      <c r="A453" s="15">
        <v>452</v>
      </c>
      <c r="B453" s="15" t="s">
        <v>1754</v>
      </c>
      <c r="C453" s="15" t="s">
        <v>1755</v>
      </c>
      <c r="D453" s="15">
        <f>COUNTIF('Itemized Calculation'!C:C,B453)</f>
        <v>1</v>
      </c>
      <c r="E453" s="42">
        <v>22.45</v>
      </c>
      <c r="F453" s="16">
        <f>SUMIF('Itemized Calculation'!C:C,B453,'Itemized Calculation'!K:K)</f>
        <v>20.988</v>
      </c>
      <c r="G453" s="16">
        <f t="shared" si="7"/>
        <v>1.4619999999999997</v>
      </c>
    </row>
    <row r="454" spans="1:7" ht="15" customHeight="1" x14ac:dyDescent="0.25">
      <c r="A454" s="15">
        <v>453</v>
      </c>
      <c r="B454" s="15" t="s">
        <v>1757</v>
      </c>
      <c r="C454" s="15" t="s">
        <v>1758</v>
      </c>
      <c r="D454" s="15">
        <f>COUNTIF('Itemized Calculation'!C:C,B454)</f>
        <v>1</v>
      </c>
      <c r="E454" s="42">
        <v>12.65</v>
      </c>
      <c r="F454" s="16">
        <f>SUMIF('Itemized Calculation'!C:C,B454,'Itemized Calculation'!K:K)</f>
        <v>11.06</v>
      </c>
      <c r="G454" s="16">
        <f t="shared" si="7"/>
        <v>1.5899999999999999</v>
      </c>
    </row>
    <row r="455" spans="1:7" ht="15" customHeight="1" x14ac:dyDescent="0.25">
      <c r="A455" s="15">
        <v>454</v>
      </c>
      <c r="B455" s="15" t="s">
        <v>1761</v>
      </c>
      <c r="C455" s="15" t="s">
        <v>1762</v>
      </c>
      <c r="D455" s="15">
        <f>COUNTIF('Itemized Calculation'!C:C,B455)</f>
        <v>1</v>
      </c>
      <c r="E455" s="42">
        <v>12.5</v>
      </c>
      <c r="F455" s="16">
        <f>SUMIF('Itemized Calculation'!C:C,B455,'Itemized Calculation'!K:K)</f>
        <v>13.365</v>
      </c>
      <c r="G455" s="16">
        <f t="shared" si="7"/>
        <v>-0.86500000000000021</v>
      </c>
    </row>
    <row r="456" spans="1:7" ht="15" customHeight="1" x14ac:dyDescent="0.25">
      <c r="A456" s="15">
        <v>455</v>
      </c>
      <c r="B456" s="15" t="s">
        <v>1764</v>
      </c>
      <c r="C456" s="15" t="s">
        <v>1765</v>
      </c>
      <c r="D456" s="15">
        <f>COUNTIF('Itemized Calculation'!C:C,B456)</f>
        <v>2</v>
      </c>
      <c r="E456" s="42">
        <v>22.82</v>
      </c>
      <c r="F456" s="16">
        <f>SUMIF('Itemized Calculation'!C:C,B456,'Itemized Calculation'!K:K)</f>
        <v>20.79</v>
      </c>
      <c r="G456" s="16">
        <f t="shared" si="7"/>
        <v>2.0300000000000011</v>
      </c>
    </row>
    <row r="457" spans="1:7" ht="15" customHeight="1" x14ac:dyDescent="0.25">
      <c r="A457" s="15">
        <v>456</v>
      </c>
      <c r="B457" s="15" t="s">
        <v>1768</v>
      </c>
      <c r="C457" s="15" t="s">
        <v>1769</v>
      </c>
      <c r="D457" s="15">
        <f>COUNTIF('Itemized Calculation'!C:C,B457)</f>
        <v>1</v>
      </c>
      <c r="E457" s="42">
        <v>11.14</v>
      </c>
      <c r="F457" s="16">
        <f>SUMIF('Itemized Calculation'!C:C,B457,'Itemized Calculation'!K:K)</f>
        <v>10.395</v>
      </c>
      <c r="G457" s="16">
        <f t="shared" si="7"/>
        <v>0.74500000000000099</v>
      </c>
    </row>
    <row r="458" spans="1:7" ht="15" customHeight="1" x14ac:dyDescent="0.25">
      <c r="A458" s="15">
        <v>457</v>
      </c>
      <c r="B458" s="15" t="s">
        <v>156</v>
      </c>
      <c r="C458" s="15" t="s">
        <v>1770</v>
      </c>
      <c r="D458" s="15">
        <f>COUNTIF('Itemized Calculation'!C:C,B458)</f>
        <v>1</v>
      </c>
      <c r="E458" s="42">
        <v>27.18</v>
      </c>
      <c r="F458" s="16">
        <f>SUMIF('Itemized Calculation'!C:C,B458,'Itemized Calculation'!K:K)</f>
        <v>31.184999999999999</v>
      </c>
      <c r="G458" s="16">
        <f t="shared" si="7"/>
        <v>-4.004999999999999</v>
      </c>
    </row>
    <row r="459" spans="1:7" ht="15" customHeight="1" x14ac:dyDescent="0.25">
      <c r="A459" s="15">
        <v>458</v>
      </c>
      <c r="B459" s="15" t="s">
        <v>1772</v>
      </c>
      <c r="C459" s="15" t="s">
        <v>1773</v>
      </c>
      <c r="D459" s="15">
        <f>COUNTIF('Itemized Calculation'!C:C,B459)</f>
        <v>1</v>
      </c>
      <c r="E459" s="42">
        <v>25.83</v>
      </c>
      <c r="F459" s="16">
        <f>SUMIF('Itemized Calculation'!C:C,B459,'Itemized Calculation'!K:K)</f>
        <v>24.32</v>
      </c>
      <c r="G459" s="16">
        <f t="shared" si="7"/>
        <v>1.509999999999998</v>
      </c>
    </row>
    <row r="460" spans="1:7" ht="15" customHeight="1" x14ac:dyDescent="0.25">
      <c r="A460" s="15">
        <v>459</v>
      </c>
      <c r="B460" s="15" t="s">
        <v>1775</v>
      </c>
      <c r="C460" s="15" t="s">
        <v>1776</v>
      </c>
      <c r="D460" s="15">
        <f>COUNTIF('Itemized Calculation'!C:C,B460)</f>
        <v>1</v>
      </c>
      <c r="E460" s="42">
        <v>15.07</v>
      </c>
      <c r="F460" s="16">
        <f>SUMIF('Itemized Calculation'!C:C,B460,'Itemized Calculation'!K:K)</f>
        <v>13.8</v>
      </c>
      <c r="G460" s="16">
        <f t="shared" si="7"/>
        <v>1.2699999999999996</v>
      </c>
    </row>
    <row r="461" spans="1:7" ht="15" customHeight="1" x14ac:dyDescent="0.25">
      <c r="A461" s="15">
        <v>460</v>
      </c>
      <c r="B461" s="15" t="s">
        <v>1779</v>
      </c>
      <c r="C461" s="15" t="s">
        <v>1780</v>
      </c>
      <c r="D461" s="15">
        <f>COUNTIF('Itemized Calculation'!C:C,B461)</f>
        <v>1</v>
      </c>
      <c r="E461" s="42">
        <v>13.05</v>
      </c>
      <c r="F461" s="16">
        <f>SUMIF('Itemized Calculation'!C:C,B461,'Itemized Calculation'!K:K)</f>
        <v>12.968999999999999</v>
      </c>
      <c r="G461" s="16">
        <f t="shared" si="7"/>
        <v>8.1000000000001293E-2</v>
      </c>
    </row>
    <row r="462" spans="1:7" ht="15" customHeight="1" x14ac:dyDescent="0.25">
      <c r="A462" s="15">
        <v>461</v>
      </c>
      <c r="B462" s="15" t="s">
        <v>1782</v>
      </c>
      <c r="C462" s="15" t="s">
        <v>1783</v>
      </c>
      <c r="D462" s="15">
        <f>COUNTIF('Itemized Calculation'!C:C,B462)</f>
        <v>2</v>
      </c>
      <c r="E462" s="42">
        <v>27.17</v>
      </c>
      <c r="F462" s="16">
        <f>SUMIF('Itemized Calculation'!C:C,B462,'Itemized Calculation'!K:K)</f>
        <v>23.684000000000001</v>
      </c>
      <c r="G462" s="16">
        <f t="shared" si="7"/>
        <v>3.4860000000000007</v>
      </c>
    </row>
    <row r="463" spans="1:7" ht="15" customHeight="1" x14ac:dyDescent="0.25">
      <c r="A463" s="15">
        <v>462</v>
      </c>
      <c r="B463" s="15" t="s">
        <v>1786</v>
      </c>
      <c r="C463" s="15" t="s">
        <v>1787</v>
      </c>
      <c r="D463" s="15">
        <f>COUNTIF('Itemized Calculation'!C:C,B463)</f>
        <v>1</v>
      </c>
      <c r="E463" s="42">
        <v>13.34</v>
      </c>
      <c r="F463" s="16">
        <f>SUMIF('Itemized Calculation'!C:C,B463,'Itemized Calculation'!K:K)</f>
        <v>13.365</v>
      </c>
      <c r="G463" s="16">
        <f t="shared" si="7"/>
        <v>-2.5000000000000355E-2</v>
      </c>
    </row>
    <row r="464" spans="1:7" ht="15" customHeight="1" x14ac:dyDescent="0.25">
      <c r="A464" s="15">
        <v>463</v>
      </c>
      <c r="B464" s="15" t="s">
        <v>1789</v>
      </c>
      <c r="C464" s="15" t="s">
        <v>1790</v>
      </c>
      <c r="D464" s="15">
        <f>COUNTIF('Itemized Calculation'!C:C,B464)</f>
        <v>1</v>
      </c>
      <c r="E464" s="42">
        <v>27.82</v>
      </c>
      <c r="F464" s="16">
        <f>SUMIF('Itemized Calculation'!C:C,B464,'Itemized Calculation'!K:K)</f>
        <v>26.312000000000001</v>
      </c>
      <c r="G464" s="16">
        <f t="shared" si="7"/>
        <v>1.5079999999999991</v>
      </c>
    </row>
    <row r="465" spans="1:7" ht="15" customHeight="1" x14ac:dyDescent="0.25">
      <c r="A465" s="15">
        <v>464</v>
      </c>
      <c r="B465" s="15" t="s">
        <v>1793</v>
      </c>
      <c r="C465" s="15" t="s">
        <v>1794</v>
      </c>
      <c r="D465" s="15">
        <f>COUNTIF('Itemized Calculation'!C:C,B465)</f>
        <v>1</v>
      </c>
      <c r="E465" s="42">
        <v>11</v>
      </c>
      <c r="F465" s="16">
        <f>SUMIF('Itemized Calculation'!C:C,B465,'Itemized Calculation'!K:K)</f>
        <v>11.187000000000001</v>
      </c>
      <c r="G465" s="16">
        <f t="shared" si="7"/>
        <v>-0.18700000000000117</v>
      </c>
    </row>
    <row r="466" spans="1:7" ht="15" customHeight="1" x14ac:dyDescent="0.25">
      <c r="A466" s="15">
        <v>465</v>
      </c>
      <c r="B466" s="15" t="s">
        <v>241</v>
      </c>
      <c r="C466" s="15" t="s">
        <v>1795</v>
      </c>
      <c r="D466" s="15">
        <f>COUNTIF('Itemized Calculation'!C:C,B466)</f>
        <v>2</v>
      </c>
      <c r="E466" s="42">
        <v>31.46</v>
      </c>
      <c r="F466" s="16">
        <f>SUMIF('Itemized Calculation'!C:C,B466,'Itemized Calculation'!K:K)</f>
        <v>31.184999999999999</v>
      </c>
      <c r="G466" s="16">
        <f t="shared" si="7"/>
        <v>0.27500000000000213</v>
      </c>
    </row>
    <row r="467" spans="1:7" ht="15" customHeight="1" x14ac:dyDescent="0.25">
      <c r="A467" s="15">
        <v>466</v>
      </c>
      <c r="B467" s="15" t="s">
        <v>1797</v>
      </c>
      <c r="C467" s="15" t="s">
        <v>1798</v>
      </c>
      <c r="D467" s="15">
        <f>COUNTIF('Itemized Calculation'!C:C,B467)</f>
        <v>1</v>
      </c>
      <c r="E467" s="42">
        <v>12.88</v>
      </c>
      <c r="F467" s="16">
        <f>SUMIF('Itemized Calculation'!C:C,B467,'Itemized Calculation'!K:K)</f>
        <v>13.365</v>
      </c>
      <c r="G467" s="16">
        <f t="shared" si="7"/>
        <v>-0.48499999999999943</v>
      </c>
    </row>
    <row r="468" spans="1:7" ht="15" customHeight="1" x14ac:dyDescent="0.25">
      <c r="A468" s="15">
        <v>467</v>
      </c>
      <c r="B468" s="15" t="s">
        <v>1800</v>
      </c>
      <c r="C468" s="15" t="s">
        <v>1801</v>
      </c>
      <c r="D468" s="15">
        <f>COUNTIF('Itemized Calculation'!C:C,B468)</f>
        <v>1</v>
      </c>
      <c r="E468" s="42">
        <v>15.4</v>
      </c>
      <c r="F468" s="16">
        <f>SUMIF('Itemized Calculation'!C:C,B468,'Itemized Calculation'!K:K)</f>
        <v>14.652000000000001</v>
      </c>
      <c r="G468" s="16">
        <f t="shared" si="7"/>
        <v>0.74799999999999933</v>
      </c>
    </row>
    <row r="469" spans="1:7" ht="15" customHeight="1" x14ac:dyDescent="0.25">
      <c r="A469" s="15">
        <v>468</v>
      </c>
      <c r="B469" s="15" t="s">
        <v>1804</v>
      </c>
      <c r="C469" s="15" t="s">
        <v>1805</v>
      </c>
      <c r="D469" s="15">
        <f>COUNTIF('Itemized Calculation'!C:C,B469)</f>
        <v>1</v>
      </c>
      <c r="E469" s="42">
        <v>13.49</v>
      </c>
      <c r="F469" s="16">
        <f>SUMIF('Itemized Calculation'!C:C,B469,'Itemized Calculation'!K:K)</f>
        <v>12.51</v>
      </c>
      <c r="G469" s="16">
        <f t="shared" si="7"/>
        <v>0.98000000000000043</v>
      </c>
    </row>
    <row r="470" spans="1:7" ht="15" customHeight="1" x14ac:dyDescent="0.25">
      <c r="A470" s="15">
        <v>469</v>
      </c>
      <c r="B470" s="15" t="s">
        <v>1808</v>
      </c>
      <c r="C470" s="15" t="s">
        <v>1809</v>
      </c>
      <c r="D470" s="15">
        <f>COUNTIF('Itemized Calculation'!C:C,B470)</f>
        <v>1</v>
      </c>
      <c r="E470" s="42">
        <v>18.43</v>
      </c>
      <c r="F470" s="16">
        <f>SUMIF('Itemized Calculation'!C:C,B470,'Itemized Calculation'!K:K)</f>
        <v>18.612000000000002</v>
      </c>
      <c r="G470" s="16">
        <f t="shared" si="7"/>
        <v>-0.18200000000000216</v>
      </c>
    </row>
    <row r="471" spans="1:7" ht="15" customHeight="1" x14ac:dyDescent="0.25">
      <c r="A471" s="15">
        <v>470</v>
      </c>
      <c r="B471" s="15" t="s">
        <v>1811</v>
      </c>
      <c r="C471" s="15" t="s">
        <v>1812</v>
      </c>
      <c r="D471" s="15">
        <f>COUNTIF('Itemized Calculation'!C:C,B471)</f>
        <v>1</v>
      </c>
      <c r="E471" s="42">
        <v>10.9</v>
      </c>
      <c r="F471" s="16">
        <f>SUMIF('Itemized Calculation'!C:C,B471,'Itemized Calculation'!K:K)</f>
        <v>10.593</v>
      </c>
      <c r="G471" s="16">
        <f t="shared" si="7"/>
        <v>0.30700000000000038</v>
      </c>
    </row>
    <row r="472" spans="1:7" ht="15" customHeight="1" x14ac:dyDescent="0.25">
      <c r="A472" s="15">
        <v>471</v>
      </c>
      <c r="B472" s="15" t="s">
        <v>1814</v>
      </c>
      <c r="C472" s="15" t="s">
        <v>1815</v>
      </c>
      <c r="D472" s="15">
        <f>COUNTIF('Itemized Calculation'!C:C,B472)</f>
        <v>1</v>
      </c>
      <c r="E472" s="42">
        <v>10.98</v>
      </c>
      <c r="F472" s="16">
        <f>SUMIF('Itemized Calculation'!C:C,B472,'Itemized Calculation'!K:K)</f>
        <v>10.494</v>
      </c>
      <c r="G472" s="16">
        <f t="shared" si="7"/>
        <v>0.48600000000000065</v>
      </c>
    </row>
    <row r="473" spans="1:7" ht="15" customHeight="1" x14ac:dyDescent="0.25">
      <c r="A473" s="15">
        <v>472</v>
      </c>
      <c r="B473" s="15" t="s">
        <v>1817</v>
      </c>
      <c r="C473" s="15" t="s">
        <v>1818</v>
      </c>
      <c r="D473" s="15">
        <f>COUNTIF('Itemized Calculation'!C:C,B473)</f>
        <v>1</v>
      </c>
      <c r="E473" s="42">
        <v>39.82</v>
      </c>
      <c r="F473" s="16">
        <f>SUMIF('Itemized Calculation'!C:C,B473,'Itemized Calculation'!K:K)</f>
        <v>39.805</v>
      </c>
      <c r="G473" s="16">
        <f t="shared" si="7"/>
        <v>1.5000000000000568E-2</v>
      </c>
    </row>
    <row r="474" spans="1:7" ht="15" customHeight="1" x14ac:dyDescent="0.25">
      <c r="A474" s="15">
        <v>473</v>
      </c>
      <c r="B474" s="15" t="s">
        <v>1821</v>
      </c>
      <c r="C474" s="15" t="s">
        <v>1822</v>
      </c>
      <c r="D474" s="15">
        <f>COUNTIF('Itemized Calculation'!C:C,B474)</f>
        <v>1</v>
      </c>
      <c r="E474" s="42">
        <v>28.24</v>
      </c>
      <c r="F474" s="16">
        <f>SUMIF('Itemized Calculation'!C:C,B474,'Itemized Calculation'!K:K)</f>
        <v>24.932000000000002</v>
      </c>
      <c r="G474" s="16">
        <f t="shared" si="7"/>
        <v>3.3079999999999963</v>
      </c>
    </row>
    <row r="475" spans="1:7" ht="15" customHeight="1" x14ac:dyDescent="0.25">
      <c r="A475" s="15">
        <v>474</v>
      </c>
      <c r="B475" s="15" t="s">
        <v>1825</v>
      </c>
      <c r="C475" s="15" t="s">
        <v>1826</v>
      </c>
      <c r="D475" s="15">
        <f>COUNTIF('Itemized Calculation'!C:C,B475)</f>
        <v>1</v>
      </c>
      <c r="E475" s="42">
        <v>21.46</v>
      </c>
      <c r="F475" s="16">
        <f>SUMIF('Itemized Calculation'!C:C,B475,'Itemized Calculation'!K:K)</f>
        <v>19.894000000000002</v>
      </c>
      <c r="G475" s="16">
        <f t="shared" si="7"/>
        <v>1.5659999999999989</v>
      </c>
    </row>
    <row r="476" spans="1:7" ht="15" customHeight="1" x14ac:dyDescent="0.25">
      <c r="A476" s="15">
        <v>475</v>
      </c>
      <c r="B476" s="15" t="s">
        <v>1829</v>
      </c>
      <c r="C476" s="15" t="s">
        <v>1830</v>
      </c>
      <c r="D476" s="15">
        <f>COUNTIF('Itemized Calculation'!C:C,B476)</f>
        <v>1</v>
      </c>
      <c r="E476" s="42">
        <v>11.46</v>
      </c>
      <c r="F476" s="16">
        <f>SUMIF('Itemized Calculation'!C:C,B476,'Itemized Calculation'!K:K)</f>
        <v>10.395</v>
      </c>
      <c r="G476" s="16">
        <f t="shared" si="7"/>
        <v>1.0650000000000013</v>
      </c>
    </row>
    <row r="477" spans="1:7" ht="15" customHeight="1" x14ac:dyDescent="0.25">
      <c r="A477" s="15">
        <v>476</v>
      </c>
      <c r="B477" s="15" t="s">
        <v>66</v>
      </c>
      <c r="C477" s="15" t="s">
        <v>1831</v>
      </c>
      <c r="D477" s="15">
        <f>COUNTIF('Itemized Calculation'!C:C,B477)</f>
        <v>1</v>
      </c>
      <c r="E477" s="42">
        <v>53.06</v>
      </c>
      <c r="F477" s="16">
        <f>SUMIF('Itemized Calculation'!C:C,B477,'Itemized Calculation'!K:K)</f>
        <v>49.5</v>
      </c>
      <c r="G477" s="16">
        <f t="shared" si="7"/>
        <v>3.5600000000000023</v>
      </c>
    </row>
    <row r="478" spans="1:7" ht="15" customHeight="1" x14ac:dyDescent="0.25">
      <c r="A478" s="15">
        <v>477</v>
      </c>
      <c r="B478" s="15" t="s">
        <v>1833</v>
      </c>
      <c r="C478" s="15" t="s">
        <v>1834</v>
      </c>
      <c r="D478" s="15">
        <f>COUNTIF('Itemized Calculation'!C:C,B478)</f>
        <v>1</v>
      </c>
      <c r="E478" s="42">
        <v>27.98</v>
      </c>
      <c r="F478" s="16">
        <f>SUMIF('Itemized Calculation'!C:C,B478,'Itemized Calculation'!K:K)</f>
        <v>25.937999999999999</v>
      </c>
      <c r="G478" s="16">
        <f t="shared" si="7"/>
        <v>2.0420000000000016</v>
      </c>
    </row>
    <row r="479" spans="1:7" ht="15" customHeight="1" x14ac:dyDescent="0.25">
      <c r="A479" s="15">
        <v>478</v>
      </c>
      <c r="B479" s="15" t="s">
        <v>1836</v>
      </c>
      <c r="C479" s="15" t="s">
        <v>1837</v>
      </c>
      <c r="D479" s="15">
        <f>COUNTIF('Itemized Calculation'!C:C,B479)</f>
        <v>1</v>
      </c>
      <c r="E479" s="42">
        <v>13.15</v>
      </c>
      <c r="F479" s="16">
        <f>SUMIF('Itemized Calculation'!C:C,B479,'Itemized Calculation'!K:K)</f>
        <v>12.276</v>
      </c>
      <c r="G479" s="16">
        <f t="shared" si="7"/>
        <v>0.87400000000000055</v>
      </c>
    </row>
    <row r="480" spans="1:7" ht="15" customHeight="1" x14ac:dyDescent="0.25">
      <c r="A480" s="15">
        <v>479</v>
      </c>
      <c r="B480" s="15" t="s">
        <v>71</v>
      </c>
      <c r="C480" s="15" t="s">
        <v>1838</v>
      </c>
      <c r="D480" s="15">
        <f>COUNTIF('Itemized Calculation'!C:C,B480)</f>
        <v>1</v>
      </c>
      <c r="E480" s="42">
        <v>53.12</v>
      </c>
      <c r="F480" s="16">
        <f>SUMIF('Itemized Calculation'!C:C,B480,'Itemized Calculation'!K:K)</f>
        <v>49.5</v>
      </c>
      <c r="G480" s="16">
        <f t="shared" si="7"/>
        <v>3.6199999999999974</v>
      </c>
    </row>
    <row r="481" spans="1:7" ht="15" customHeight="1" x14ac:dyDescent="0.25">
      <c r="A481" s="15">
        <v>480</v>
      </c>
      <c r="B481" s="15" t="s">
        <v>1840</v>
      </c>
      <c r="C481" s="15" t="s">
        <v>1841</v>
      </c>
      <c r="D481" s="15">
        <f>COUNTIF('Itemized Calculation'!C:C,B481)</f>
        <v>1</v>
      </c>
      <c r="E481" s="42">
        <v>36.43</v>
      </c>
      <c r="F481" s="16">
        <f>SUMIF('Itemized Calculation'!C:C,B481,'Itemized Calculation'!K:K)</f>
        <v>34.5</v>
      </c>
      <c r="G481" s="16">
        <f t="shared" si="7"/>
        <v>1.9299999999999997</v>
      </c>
    </row>
    <row r="482" spans="1:7" ht="15" customHeight="1" x14ac:dyDescent="0.25">
      <c r="A482" s="15">
        <v>481</v>
      </c>
      <c r="B482" s="15" t="s">
        <v>1844</v>
      </c>
      <c r="C482" s="15" t="s">
        <v>1845</v>
      </c>
      <c r="D482" s="15">
        <f>COUNTIF('Itemized Calculation'!C:C,B482)</f>
        <v>1</v>
      </c>
      <c r="E482" s="42">
        <v>13.48</v>
      </c>
      <c r="F482" s="16">
        <f>SUMIF('Itemized Calculation'!C:C,B482,'Itemized Calculation'!K:K)</f>
        <v>13.365</v>
      </c>
      <c r="G482" s="16">
        <f t="shared" si="7"/>
        <v>0.11500000000000021</v>
      </c>
    </row>
    <row r="483" spans="1:7" ht="15" customHeight="1" x14ac:dyDescent="0.25">
      <c r="A483" s="15">
        <v>482</v>
      </c>
      <c r="B483" s="15" t="s">
        <v>1847</v>
      </c>
      <c r="C483" s="15" t="s">
        <v>1848</v>
      </c>
      <c r="D483" s="15">
        <f>COUNTIF('Itemized Calculation'!C:C,B483)</f>
        <v>1</v>
      </c>
      <c r="E483" s="42">
        <v>11.27</v>
      </c>
      <c r="F483" s="16">
        <f>SUMIF('Itemized Calculation'!C:C,B483,'Itemized Calculation'!K:K)</f>
        <v>10.395</v>
      </c>
      <c r="G483" s="16">
        <f t="shared" si="7"/>
        <v>0.875</v>
      </c>
    </row>
    <row r="484" spans="1:7" ht="15" customHeight="1" x14ac:dyDescent="0.25">
      <c r="A484" s="15">
        <v>483</v>
      </c>
      <c r="B484" s="15" t="s">
        <v>1850</v>
      </c>
      <c r="C484" s="15" t="s">
        <v>1851</v>
      </c>
      <c r="D484" s="15">
        <f>COUNTIF('Itemized Calculation'!C:C,B484)</f>
        <v>2</v>
      </c>
      <c r="E484" s="42">
        <v>35.47</v>
      </c>
      <c r="F484" s="16">
        <f>SUMIF('Itemized Calculation'!C:C,B484,'Itemized Calculation'!K:K)</f>
        <v>30.283999999999999</v>
      </c>
      <c r="G484" s="16">
        <f t="shared" si="7"/>
        <v>5.1859999999999999</v>
      </c>
    </row>
    <row r="485" spans="1:7" ht="15" customHeight="1" x14ac:dyDescent="0.25">
      <c r="A485" s="15">
        <v>484</v>
      </c>
      <c r="B485" s="15" t="s">
        <v>1854</v>
      </c>
      <c r="C485" s="15" t="s">
        <v>1855</v>
      </c>
      <c r="D485" s="15">
        <f>COUNTIF('Itemized Calculation'!C:C,B485)</f>
        <v>2</v>
      </c>
      <c r="E485" s="42">
        <v>34.81</v>
      </c>
      <c r="F485" s="16">
        <f>SUMIF('Itemized Calculation'!C:C,B485,'Itemized Calculation'!K:K)</f>
        <v>31.92</v>
      </c>
      <c r="G485" s="16">
        <f t="shared" si="7"/>
        <v>2.8900000000000006</v>
      </c>
    </row>
    <row r="486" spans="1:7" ht="15" customHeight="1" x14ac:dyDescent="0.25">
      <c r="A486" s="15">
        <v>485</v>
      </c>
      <c r="B486" s="15" t="s">
        <v>1857</v>
      </c>
      <c r="C486" s="15" t="s">
        <v>1858</v>
      </c>
      <c r="D486" s="15">
        <f>COUNTIF('Itemized Calculation'!C:C,B486)</f>
        <v>1</v>
      </c>
      <c r="E486" s="42">
        <v>8.52</v>
      </c>
      <c r="F486" s="16">
        <f>SUMIF('Itemized Calculation'!C:C,B486,'Itemized Calculation'!K:K)</f>
        <v>8.0190000000000001</v>
      </c>
      <c r="G486" s="16">
        <f t="shared" si="7"/>
        <v>0.50099999999999945</v>
      </c>
    </row>
    <row r="487" spans="1:7" ht="15" customHeight="1" x14ac:dyDescent="0.25">
      <c r="A487" s="15">
        <v>486</v>
      </c>
      <c r="B487" s="15" t="s">
        <v>1860</v>
      </c>
      <c r="C487" s="15" t="s">
        <v>1861</v>
      </c>
      <c r="D487" s="15">
        <f>COUNTIF('Itemized Calculation'!C:C,B487)</f>
        <v>1</v>
      </c>
      <c r="E487" s="42">
        <v>22.49</v>
      </c>
      <c r="F487" s="16">
        <f>SUMIF('Itemized Calculation'!C:C,B487,'Itemized Calculation'!K:K)</f>
        <v>21.186</v>
      </c>
      <c r="G487" s="16">
        <f t="shared" si="7"/>
        <v>1.3039999999999985</v>
      </c>
    </row>
    <row r="488" spans="1:7" ht="15" customHeight="1" x14ac:dyDescent="0.25">
      <c r="A488" s="15">
        <v>487</v>
      </c>
      <c r="B488" s="15" t="s">
        <v>1863</v>
      </c>
      <c r="C488" s="15" t="s">
        <v>1864</v>
      </c>
      <c r="D488" s="15">
        <f>COUNTIF('Itemized Calculation'!C:C,B488)</f>
        <v>1</v>
      </c>
      <c r="E488" s="42">
        <v>45.28</v>
      </c>
      <c r="F488" s="16">
        <f>SUMIF('Itemized Calculation'!C:C,B488,'Itemized Calculation'!K:K)</f>
        <v>42</v>
      </c>
      <c r="G488" s="16">
        <f t="shared" si="7"/>
        <v>3.2800000000000011</v>
      </c>
    </row>
    <row r="489" spans="1:7" ht="15" customHeight="1" x14ac:dyDescent="0.25">
      <c r="A489" s="15">
        <v>488</v>
      </c>
      <c r="B489" s="15" t="s">
        <v>1867</v>
      </c>
      <c r="C489" s="15" t="s">
        <v>1868</v>
      </c>
      <c r="D489" s="15">
        <f>COUNTIF('Itemized Calculation'!C:C,B489)</f>
        <v>1</v>
      </c>
      <c r="E489" s="42">
        <v>27.09</v>
      </c>
      <c r="F489" s="16">
        <f>SUMIF('Itemized Calculation'!C:C,B489,'Itemized Calculation'!K:K)</f>
        <v>23.76</v>
      </c>
      <c r="G489" s="16">
        <f t="shared" si="7"/>
        <v>3.3299999999999983</v>
      </c>
    </row>
    <row r="490" spans="1:7" ht="15" customHeight="1" x14ac:dyDescent="0.25">
      <c r="A490" s="15">
        <v>489</v>
      </c>
      <c r="B490" s="15" t="s">
        <v>1871</v>
      </c>
      <c r="C490" s="15" t="s">
        <v>1872</v>
      </c>
      <c r="D490" s="15">
        <f>COUNTIF('Itemized Calculation'!C:C,B490)</f>
        <v>1</v>
      </c>
      <c r="E490" s="42">
        <v>7.27</v>
      </c>
      <c r="F490" s="16">
        <f>SUMIF('Itemized Calculation'!C:C,B490,'Itemized Calculation'!K:K)</f>
        <v>6.6000000000000005</v>
      </c>
      <c r="G490" s="16">
        <f t="shared" si="7"/>
        <v>0.66999999999999904</v>
      </c>
    </row>
    <row r="491" spans="1:7" ht="15" customHeight="1" x14ac:dyDescent="0.25">
      <c r="A491" s="15">
        <v>490</v>
      </c>
      <c r="B491" s="15" t="s">
        <v>1875</v>
      </c>
      <c r="C491" s="15" t="s">
        <v>1876</v>
      </c>
      <c r="D491" s="15">
        <f>COUNTIF('Itemized Calculation'!C:C,B491)</f>
        <v>2</v>
      </c>
      <c r="E491" s="42">
        <v>25.72</v>
      </c>
      <c r="F491" s="16">
        <f>SUMIF('Itemized Calculation'!C:C,B491,'Itemized Calculation'!K:K)</f>
        <v>23.759999999999998</v>
      </c>
      <c r="G491" s="16">
        <f t="shared" si="7"/>
        <v>1.9600000000000009</v>
      </c>
    </row>
    <row r="492" spans="1:7" ht="15" customHeight="1" x14ac:dyDescent="0.25">
      <c r="A492" s="15">
        <v>491</v>
      </c>
      <c r="B492" s="15" t="s">
        <v>211</v>
      </c>
      <c r="C492" s="15" t="s">
        <v>1877</v>
      </c>
      <c r="D492" s="15">
        <f>COUNTIF('Itemized Calculation'!C:C,B492)</f>
        <v>2</v>
      </c>
      <c r="E492" s="42">
        <v>44.36</v>
      </c>
      <c r="F492" s="16">
        <f>SUMIF('Itemized Calculation'!C:C,B492,'Itemized Calculation'!K:K)</f>
        <v>40.292999999999999</v>
      </c>
      <c r="G492" s="16">
        <f t="shared" si="7"/>
        <v>4.0670000000000002</v>
      </c>
    </row>
    <row r="493" spans="1:7" ht="15" customHeight="1" x14ac:dyDescent="0.25">
      <c r="A493" s="15">
        <v>492</v>
      </c>
      <c r="B493" s="15" t="s">
        <v>1879</v>
      </c>
      <c r="C493" s="15" t="s">
        <v>1880</v>
      </c>
      <c r="D493" s="15">
        <f>COUNTIF('Itemized Calculation'!C:C,B493)</f>
        <v>1</v>
      </c>
      <c r="E493" s="42">
        <v>21.57</v>
      </c>
      <c r="F493" s="16">
        <f>SUMIF('Itemized Calculation'!C:C,B493,'Itemized Calculation'!K:K)</f>
        <v>19.635000000000002</v>
      </c>
      <c r="G493" s="16">
        <f t="shared" si="7"/>
        <v>1.9349999999999987</v>
      </c>
    </row>
    <row r="494" spans="1:7" ht="15" customHeight="1" x14ac:dyDescent="0.25">
      <c r="A494" s="15">
        <v>493</v>
      </c>
      <c r="B494" s="15" t="s">
        <v>193</v>
      </c>
      <c r="C494" s="15" t="s">
        <v>1881</v>
      </c>
      <c r="D494" s="15">
        <f>COUNTIF('Itemized Calculation'!C:C,B494)</f>
        <v>3</v>
      </c>
      <c r="E494" s="42">
        <v>42.96</v>
      </c>
      <c r="F494" s="16">
        <f>SUMIF('Itemized Calculation'!C:C,B494,'Itemized Calculation'!K:K)</f>
        <v>43.154999999999994</v>
      </c>
      <c r="G494" s="16">
        <f t="shared" si="7"/>
        <v>-0.19499999999999318</v>
      </c>
    </row>
    <row r="495" spans="1:7" ht="15" customHeight="1" x14ac:dyDescent="0.25">
      <c r="A495" s="15">
        <v>494</v>
      </c>
      <c r="B495" s="15" t="s">
        <v>1883</v>
      </c>
      <c r="C495" s="15" t="s">
        <v>1884</v>
      </c>
      <c r="D495" s="15">
        <f>COUNTIF('Itemized Calculation'!C:C,B495)</f>
        <v>1</v>
      </c>
      <c r="E495" s="42">
        <v>36.92</v>
      </c>
      <c r="F495" s="16">
        <f>SUMIF('Itemized Calculation'!C:C,B495,'Itemized Calculation'!K:K)</f>
        <v>35.114000000000004</v>
      </c>
      <c r="G495" s="16">
        <f t="shared" si="7"/>
        <v>1.8059999999999974</v>
      </c>
    </row>
    <row r="496" spans="1:7" ht="15" customHeight="1" x14ac:dyDescent="0.25">
      <c r="A496" s="15">
        <v>495</v>
      </c>
      <c r="B496" s="15" t="s">
        <v>1887</v>
      </c>
      <c r="C496" s="15" t="s">
        <v>1888</v>
      </c>
      <c r="D496" s="15">
        <f>COUNTIF('Itemized Calculation'!C:C,B496)</f>
        <v>1</v>
      </c>
      <c r="E496" s="42">
        <v>5.3</v>
      </c>
      <c r="F496" s="16">
        <f>SUMIF('Itemized Calculation'!C:C,B496,'Itemized Calculation'!K:K)</f>
        <v>5.3460000000000001</v>
      </c>
      <c r="G496" s="16">
        <f t="shared" si="7"/>
        <v>-4.6000000000000263E-2</v>
      </c>
    </row>
    <row r="497" spans="1:7" ht="15" customHeight="1" x14ac:dyDescent="0.25">
      <c r="A497" s="15">
        <v>496</v>
      </c>
      <c r="B497" s="15" t="s">
        <v>135</v>
      </c>
      <c r="C497" s="15" t="s">
        <v>1889</v>
      </c>
      <c r="D497" s="15">
        <f>COUNTIF('Itemized Calculation'!C:C,B497)</f>
        <v>3</v>
      </c>
      <c r="E497" s="42">
        <v>46.38</v>
      </c>
      <c r="F497" s="16">
        <f>SUMIF('Itemized Calculation'!C:C,B497,'Itemized Calculation'!K:K)</f>
        <v>44.154000000000003</v>
      </c>
      <c r="G497" s="16">
        <f t="shared" si="7"/>
        <v>2.2259999999999991</v>
      </c>
    </row>
    <row r="498" spans="1:7" ht="15" customHeight="1" x14ac:dyDescent="0.25">
      <c r="A498" s="15">
        <v>497</v>
      </c>
      <c r="B498" s="15" t="s">
        <v>1891</v>
      </c>
      <c r="C498" s="15" t="s">
        <v>1892</v>
      </c>
      <c r="D498" s="15">
        <f>COUNTIF('Itemized Calculation'!C:C,B498)</f>
        <v>1</v>
      </c>
      <c r="E498" s="42">
        <v>25.23</v>
      </c>
      <c r="F498" s="16">
        <f>SUMIF('Itemized Calculation'!C:C,B498,'Itemized Calculation'!K:K)</f>
        <v>22.99</v>
      </c>
      <c r="G498" s="16">
        <f t="shared" si="7"/>
        <v>2.240000000000002</v>
      </c>
    </row>
    <row r="499" spans="1:7" ht="15" customHeight="1" x14ac:dyDescent="0.25">
      <c r="A499" s="15">
        <v>498</v>
      </c>
      <c r="B499" s="15" t="s">
        <v>107</v>
      </c>
      <c r="C499" s="15" t="s">
        <v>1894</v>
      </c>
      <c r="D499" s="15">
        <f>COUNTIF('Itemized Calculation'!C:C,B499)</f>
        <v>2</v>
      </c>
      <c r="E499" s="42">
        <v>32.11</v>
      </c>
      <c r="F499" s="16">
        <f>SUMIF('Itemized Calculation'!C:C,B499,'Itemized Calculation'!K:K)</f>
        <v>30.195</v>
      </c>
      <c r="G499" s="16">
        <f t="shared" si="7"/>
        <v>1.9149999999999991</v>
      </c>
    </row>
    <row r="500" spans="1:7" ht="15" customHeight="1" x14ac:dyDescent="0.25">
      <c r="A500" s="15">
        <v>499</v>
      </c>
      <c r="B500" s="15" t="s">
        <v>1897</v>
      </c>
      <c r="C500" s="15" t="s">
        <v>1898</v>
      </c>
      <c r="D500" s="15">
        <f>COUNTIF('Itemized Calculation'!C:C,B500)</f>
        <v>1</v>
      </c>
      <c r="E500" s="42">
        <v>55.78</v>
      </c>
      <c r="F500" s="16">
        <f>SUMIF('Itemized Calculation'!C:C,B500,'Itemized Calculation'!K:K)</f>
        <v>50.3</v>
      </c>
      <c r="G500" s="16">
        <f t="shared" si="7"/>
        <v>5.480000000000004</v>
      </c>
    </row>
    <row r="501" spans="1:7" ht="15" customHeight="1" x14ac:dyDescent="0.25">
      <c r="A501" s="15">
        <v>500</v>
      </c>
      <c r="B501" s="15" t="s">
        <v>1900</v>
      </c>
      <c r="C501" s="15" t="s">
        <v>1901</v>
      </c>
      <c r="D501" s="15">
        <f>COUNTIF('Itemized Calculation'!C:C,B501)</f>
        <v>1</v>
      </c>
      <c r="E501" s="42">
        <v>13.43</v>
      </c>
      <c r="F501" s="16">
        <f>SUMIF('Itemized Calculation'!C:C,B501,'Itemized Calculation'!K:K)</f>
        <v>12.276</v>
      </c>
      <c r="G501" s="16">
        <f t="shared" si="7"/>
        <v>1.1539999999999999</v>
      </c>
    </row>
    <row r="502" spans="1:7" ht="15" customHeight="1" x14ac:dyDescent="0.25">
      <c r="A502" s="15">
        <v>501</v>
      </c>
      <c r="B502" s="15" t="s">
        <v>1903</v>
      </c>
      <c r="C502" s="15" t="s">
        <v>1904</v>
      </c>
      <c r="D502" s="15">
        <f>COUNTIF('Itemized Calculation'!C:C,B502)</f>
        <v>1</v>
      </c>
      <c r="E502" s="42">
        <v>13.18</v>
      </c>
      <c r="F502" s="16">
        <f>SUMIF('Itemized Calculation'!C:C,B502,'Itemized Calculation'!K:K)</f>
        <v>12.968999999999999</v>
      </c>
      <c r="G502" s="16">
        <f t="shared" si="7"/>
        <v>0.2110000000000003</v>
      </c>
    </row>
    <row r="503" spans="1:7" ht="15" customHeight="1" x14ac:dyDescent="0.25">
      <c r="A503" s="15">
        <v>502</v>
      </c>
      <c r="B503" s="15" t="s">
        <v>1906</v>
      </c>
      <c r="C503" s="15" t="s">
        <v>1907</v>
      </c>
      <c r="D503" s="15">
        <f>COUNTIF('Itemized Calculation'!C:C,B503)</f>
        <v>1</v>
      </c>
      <c r="E503" s="42">
        <v>10.98</v>
      </c>
      <c r="F503" s="16">
        <f>SUMIF('Itemized Calculation'!C:C,B503,'Itemized Calculation'!K:K)</f>
        <v>10.395</v>
      </c>
      <c r="G503" s="16">
        <f t="shared" si="7"/>
        <v>0.58500000000000085</v>
      </c>
    </row>
    <row r="504" spans="1:7" ht="15" customHeight="1" x14ac:dyDescent="0.25">
      <c r="A504" s="15">
        <v>503</v>
      </c>
      <c r="B504" s="15" t="s">
        <v>1909</v>
      </c>
      <c r="C504" s="15" t="s">
        <v>1910</v>
      </c>
      <c r="D504" s="15">
        <f>COUNTIF('Itemized Calculation'!C:C,B504)</f>
        <v>1</v>
      </c>
      <c r="E504" s="42">
        <v>13.3</v>
      </c>
      <c r="F504" s="16">
        <f>SUMIF('Itemized Calculation'!C:C,B504,'Itemized Calculation'!K:K)</f>
        <v>13.365</v>
      </c>
      <c r="G504" s="16">
        <f t="shared" si="7"/>
        <v>-6.4999999999999503E-2</v>
      </c>
    </row>
    <row r="505" spans="1:7" ht="15" customHeight="1" x14ac:dyDescent="0.25">
      <c r="A505" s="15">
        <v>504</v>
      </c>
      <c r="B505" s="15" t="s">
        <v>1912</v>
      </c>
      <c r="C505" s="15" t="s">
        <v>1913</v>
      </c>
      <c r="D505" s="15">
        <f>COUNTIF('Itemized Calculation'!C:C,B505)</f>
        <v>1</v>
      </c>
      <c r="E505" s="42">
        <v>14.01</v>
      </c>
      <c r="F505" s="16">
        <f>SUMIF('Itemized Calculation'!C:C,B505,'Itemized Calculation'!K:K)</f>
        <v>12.975000000000001</v>
      </c>
      <c r="G505" s="16">
        <f t="shared" si="7"/>
        <v>1.0349999999999984</v>
      </c>
    </row>
    <row r="506" spans="1:7" ht="15" customHeight="1" x14ac:dyDescent="0.25">
      <c r="A506" s="15">
        <v>505</v>
      </c>
      <c r="B506" s="15" t="s">
        <v>1916</v>
      </c>
      <c r="C506" s="15" t="s">
        <v>1917</v>
      </c>
      <c r="D506" s="15">
        <f>COUNTIF('Itemized Calculation'!C:C,B506)</f>
        <v>1</v>
      </c>
      <c r="E506" s="42">
        <v>36.42</v>
      </c>
      <c r="F506" s="16">
        <f>SUMIF('Itemized Calculation'!C:C,B506,'Itemized Calculation'!K:K)</f>
        <v>32.689</v>
      </c>
      <c r="G506" s="16">
        <f t="shared" si="7"/>
        <v>3.7310000000000016</v>
      </c>
    </row>
    <row r="507" spans="1:7" ht="15" customHeight="1" x14ac:dyDescent="0.25">
      <c r="A507" s="15">
        <v>506</v>
      </c>
      <c r="B507" s="15" t="s">
        <v>1919</v>
      </c>
      <c r="C507" s="15" t="s">
        <v>1920</v>
      </c>
      <c r="D507" s="15">
        <f>COUNTIF('Itemized Calculation'!C:C,B507)</f>
        <v>2</v>
      </c>
      <c r="E507" s="42">
        <v>27.18</v>
      </c>
      <c r="F507" s="16">
        <f>SUMIF('Itemized Calculation'!C:C,B507,'Itemized Calculation'!K:K)</f>
        <v>24.375999999999998</v>
      </c>
      <c r="G507" s="16">
        <f t="shared" si="7"/>
        <v>2.804000000000002</v>
      </c>
    </row>
    <row r="508" spans="1:7" ht="15" customHeight="1" x14ac:dyDescent="0.25">
      <c r="A508" s="15">
        <v>507</v>
      </c>
      <c r="B508" s="15" t="s">
        <v>1923</v>
      </c>
      <c r="C508" s="15" t="s">
        <v>1924</v>
      </c>
      <c r="D508" s="15">
        <f>COUNTIF('Itemized Calculation'!C:C,B508)</f>
        <v>1</v>
      </c>
      <c r="E508" s="42">
        <v>23.71</v>
      </c>
      <c r="F508" s="16">
        <f>SUMIF('Itemized Calculation'!C:C,B508,'Itemized Calculation'!K:K)</f>
        <v>20.439999999999998</v>
      </c>
      <c r="G508" s="16">
        <f t="shared" si="7"/>
        <v>3.2700000000000031</v>
      </c>
    </row>
    <row r="509" spans="1:7" ht="15" customHeight="1" x14ac:dyDescent="0.25">
      <c r="A509" s="15">
        <v>508</v>
      </c>
      <c r="B509" s="15" t="s">
        <v>1927</v>
      </c>
      <c r="C509" s="15" t="s">
        <v>1928</v>
      </c>
      <c r="D509" s="15">
        <f>COUNTIF('Itemized Calculation'!C:C,B509)</f>
        <v>2</v>
      </c>
      <c r="E509" s="42">
        <v>25.37</v>
      </c>
      <c r="F509" s="16">
        <f>SUMIF('Itemized Calculation'!C:C,B509,'Itemized Calculation'!K:K)</f>
        <v>23.463000000000001</v>
      </c>
      <c r="G509" s="16">
        <f t="shared" si="7"/>
        <v>1.907</v>
      </c>
    </row>
    <row r="510" spans="1:7" ht="15" customHeight="1" x14ac:dyDescent="0.25">
      <c r="A510" s="15">
        <v>509</v>
      </c>
      <c r="B510" s="15" t="s">
        <v>1930</v>
      </c>
      <c r="C510" s="15" t="s">
        <v>1931</v>
      </c>
      <c r="D510" s="15">
        <f>COUNTIF('Itemized Calculation'!C:C,B510)</f>
        <v>1</v>
      </c>
      <c r="E510" s="42">
        <v>33.630000000000003</v>
      </c>
      <c r="F510" s="16">
        <f>SUMIF('Itemized Calculation'!C:C,B510,'Itemized Calculation'!K:K)</f>
        <v>35.045999999999999</v>
      </c>
      <c r="G510" s="16">
        <f t="shared" si="7"/>
        <v>-1.4159999999999968</v>
      </c>
    </row>
    <row r="511" spans="1:7" ht="15" customHeight="1" x14ac:dyDescent="0.25">
      <c r="A511" s="15">
        <v>510</v>
      </c>
      <c r="B511" s="15" t="s">
        <v>1933</v>
      </c>
      <c r="C511" s="15" t="s">
        <v>1934</v>
      </c>
      <c r="D511" s="15">
        <f>COUNTIF('Itemized Calculation'!C:C,B511)</f>
        <v>1</v>
      </c>
      <c r="E511" s="42">
        <v>13.72</v>
      </c>
      <c r="F511" s="16">
        <f>SUMIF('Itemized Calculation'!C:C,B511,'Itemized Calculation'!K:K)</f>
        <v>13.365</v>
      </c>
      <c r="G511" s="16">
        <f t="shared" si="7"/>
        <v>0.35500000000000043</v>
      </c>
    </row>
    <row r="512" spans="1:7" ht="15" customHeight="1" x14ac:dyDescent="0.25">
      <c r="A512" s="15">
        <v>511</v>
      </c>
      <c r="B512" s="15" t="s">
        <v>1936</v>
      </c>
      <c r="C512" s="15" t="s">
        <v>1937</v>
      </c>
      <c r="D512" s="15">
        <f>COUNTIF('Itemized Calculation'!C:C,B512)</f>
        <v>2</v>
      </c>
      <c r="E512" s="42">
        <v>26.58</v>
      </c>
      <c r="F512" s="16">
        <f>SUMIF('Itemized Calculation'!C:C,B512,'Itemized Calculation'!K:K)</f>
        <v>25.442999999999998</v>
      </c>
      <c r="G512" s="16">
        <f t="shared" si="7"/>
        <v>1.1370000000000005</v>
      </c>
    </row>
    <row r="513" spans="1:7" ht="15" customHeight="1" x14ac:dyDescent="0.25">
      <c r="A513" s="15">
        <v>512</v>
      </c>
      <c r="B513" s="15" t="s">
        <v>1939</v>
      </c>
      <c r="C513" s="15" t="s">
        <v>1940</v>
      </c>
      <c r="D513" s="15">
        <f>COUNTIF('Itemized Calculation'!C:C,B513)</f>
        <v>1</v>
      </c>
      <c r="E513" s="42">
        <v>15.47</v>
      </c>
      <c r="F513" s="16">
        <f>SUMIF('Itemized Calculation'!C:C,B513,'Itemized Calculation'!K:K)</f>
        <v>14.652000000000001</v>
      </c>
      <c r="G513" s="16">
        <f t="shared" si="7"/>
        <v>0.81799999999999962</v>
      </c>
    </row>
    <row r="514" spans="1:7" ht="15" customHeight="1" x14ac:dyDescent="0.25">
      <c r="A514" s="15">
        <v>513</v>
      </c>
      <c r="B514" s="15" t="s">
        <v>1942</v>
      </c>
      <c r="C514" s="15" t="s">
        <v>1943</v>
      </c>
      <c r="D514" s="15">
        <f>COUNTIF('Itemized Calculation'!C:C,B514)</f>
        <v>1</v>
      </c>
      <c r="E514" s="42">
        <v>7.65</v>
      </c>
      <c r="F514" s="16">
        <f>SUMIF('Itemized Calculation'!C:C,B514,'Itemized Calculation'!K:K)</f>
        <v>7.0200000000000005</v>
      </c>
      <c r="G514" s="16">
        <f t="shared" ref="G514:G577" si="8">E514-F514</f>
        <v>0.62999999999999989</v>
      </c>
    </row>
    <row r="515" spans="1:7" ht="15" customHeight="1" x14ac:dyDescent="0.25">
      <c r="A515" s="15">
        <v>514</v>
      </c>
      <c r="B515" s="15" t="s">
        <v>1945</v>
      </c>
      <c r="C515" s="15" t="s">
        <v>1946</v>
      </c>
      <c r="D515" s="15">
        <f>COUNTIF('Itemized Calculation'!C:C,B515)</f>
        <v>1</v>
      </c>
      <c r="E515" s="42">
        <v>45.16</v>
      </c>
      <c r="F515" s="16">
        <f>SUMIF('Itemized Calculation'!C:C,B515,'Itemized Calculation'!K:K)</f>
        <v>42</v>
      </c>
      <c r="G515" s="16">
        <f t="shared" si="8"/>
        <v>3.1599999999999966</v>
      </c>
    </row>
    <row r="516" spans="1:7" ht="15" customHeight="1" x14ac:dyDescent="0.25">
      <c r="A516" s="15">
        <v>515</v>
      </c>
      <c r="B516" s="15" t="s">
        <v>1948</v>
      </c>
      <c r="C516" s="15" t="s">
        <v>1949</v>
      </c>
      <c r="D516" s="15">
        <f>COUNTIF('Itemized Calculation'!C:C,B516)</f>
        <v>2</v>
      </c>
      <c r="E516" s="42">
        <v>23.78</v>
      </c>
      <c r="F516" s="16">
        <f>SUMIF('Itemized Calculation'!C:C,B516,'Itemized Calculation'!K:K)</f>
        <v>21.681000000000001</v>
      </c>
      <c r="G516" s="16">
        <f t="shared" si="8"/>
        <v>2.0990000000000002</v>
      </c>
    </row>
    <row r="517" spans="1:7" ht="15" customHeight="1" x14ac:dyDescent="0.25">
      <c r="A517" s="15">
        <v>516</v>
      </c>
      <c r="B517" s="15" t="s">
        <v>1951</v>
      </c>
      <c r="C517" s="15" t="s">
        <v>1952</v>
      </c>
      <c r="D517" s="15">
        <f>COUNTIF('Itemized Calculation'!C:C,B517)</f>
        <v>1</v>
      </c>
      <c r="E517" s="42">
        <v>71.16</v>
      </c>
      <c r="F517" s="16">
        <f>SUMIF('Itemized Calculation'!C:C,B517,'Itemized Calculation'!K:K)</f>
        <v>66.929999999999993</v>
      </c>
      <c r="G517" s="16">
        <f t="shared" si="8"/>
        <v>4.230000000000004</v>
      </c>
    </row>
    <row r="518" spans="1:7" ht="15" customHeight="1" x14ac:dyDescent="0.25">
      <c r="A518" s="15">
        <v>517</v>
      </c>
      <c r="B518" s="15" t="s">
        <v>109</v>
      </c>
      <c r="C518" s="15" t="s">
        <v>1954</v>
      </c>
      <c r="D518" s="15">
        <f>COUNTIF('Itemized Calculation'!C:C,B518)</f>
        <v>1</v>
      </c>
      <c r="E518" s="42">
        <v>14.69</v>
      </c>
      <c r="F518" s="16">
        <f>SUMIF('Itemized Calculation'!C:C,B518,'Itemized Calculation'!K:K)</f>
        <v>14.914999999999999</v>
      </c>
      <c r="G518" s="16">
        <f t="shared" si="8"/>
        <v>-0.22499999999999964</v>
      </c>
    </row>
    <row r="519" spans="1:7" ht="15" customHeight="1" x14ac:dyDescent="0.25">
      <c r="A519" s="15">
        <v>518</v>
      </c>
      <c r="B519" s="15" t="s">
        <v>203</v>
      </c>
      <c r="C519" s="15" t="s">
        <v>1955</v>
      </c>
      <c r="D519" s="15">
        <f>COUNTIF('Itemized Calculation'!C:C,B519)</f>
        <v>4</v>
      </c>
      <c r="E519" s="42">
        <v>78.63</v>
      </c>
      <c r="F519" s="16">
        <f>SUMIF('Itemized Calculation'!C:C,B519,'Itemized Calculation'!K:K)</f>
        <v>72.100999999999999</v>
      </c>
      <c r="G519" s="16">
        <f t="shared" si="8"/>
        <v>6.5289999999999964</v>
      </c>
    </row>
    <row r="520" spans="1:7" ht="15" customHeight="1" x14ac:dyDescent="0.25">
      <c r="A520" s="15">
        <v>519</v>
      </c>
      <c r="B520" s="15" t="s">
        <v>1957</v>
      </c>
      <c r="C520" s="15" t="s">
        <v>1958</v>
      </c>
      <c r="D520" s="15">
        <f>COUNTIF('Itemized Calculation'!C:C,B520)</f>
        <v>1</v>
      </c>
      <c r="E520" s="42">
        <v>32.5</v>
      </c>
      <c r="F520" s="16">
        <f>SUMIF('Itemized Calculation'!C:C,B520,'Itemized Calculation'!K:K)</f>
        <v>35.045999999999999</v>
      </c>
      <c r="G520" s="16">
        <f t="shared" si="8"/>
        <v>-2.5459999999999994</v>
      </c>
    </row>
    <row r="521" spans="1:7" ht="15" customHeight="1" x14ac:dyDescent="0.25">
      <c r="A521" s="15">
        <v>520</v>
      </c>
      <c r="B521" s="15" t="s">
        <v>1960</v>
      </c>
      <c r="C521" s="15" t="s">
        <v>1961</v>
      </c>
      <c r="D521" s="15">
        <f>COUNTIF('Itemized Calculation'!C:C,B521)</f>
        <v>1</v>
      </c>
      <c r="E521" s="42">
        <v>12.58</v>
      </c>
      <c r="F521" s="16">
        <f>SUMIF('Itemized Calculation'!C:C,B521,'Itemized Calculation'!K:K)</f>
        <v>12.276</v>
      </c>
      <c r="G521" s="16">
        <f t="shared" si="8"/>
        <v>0.30400000000000027</v>
      </c>
    </row>
    <row r="522" spans="1:7" ht="15" customHeight="1" x14ac:dyDescent="0.25">
      <c r="A522" s="15">
        <v>521</v>
      </c>
      <c r="B522" s="15" t="s">
        <v>1963</v>
      </c>
      <c r="C522" s="15" t="s">
        <v>1964</v>
      </c>
      <c r="D522" s="15">
        <f>COUNTIF('Itemized Calculation'!C:C,B522)</f>
        <v>1</v>
      </c>
      <c r="E522" s="42">
        <v>16.14</v>
      </c>
      <c r="F522" s="16">
        <f>SUMIF('Itemized Calculation'!C:C,B522,'Itemized Calculation'!K:K)</f>
        <v>14.750999999999999</v>
      </c>
      <c r="G522" s="16">
        <f t="shared" si="8"/>
        <v>1.3890000000000011</v>
      </c>
    </row>
    <row r="523" spans="1:7" ht="15" customHeight="1" x14ac:dyDescent="0.25">
      <c r="A523" s="15">
        <v>522</v>
      </c>
      <c r="B523" s="15" t="s">
        <v>1966</v>
      </c>
      <c r="C523" s="15" t="s">
        <v>1967</v>
      </c>
      <c r="D523" s="15">
        <f>COUNTIF('Itemized Calculation'!C:C,B523)</f>
        <v>1</v>
      </c>
      <c r="E523" s="42">
        <v>15.13</v>
      </c>
      <c r="F523" s="16">
        <f>SUMIF('Itemized Calculation'!C:C,B523,'Itemized Calculation'!K:K)</f>
        <v>14.85</v>
      </c>
      <c r="G523" s="16">
        <f t="shared" si="8"/>
        <v>0.28000000000000114</v>
      </c>
    </row>
    <row r="524" spans="1:7" ht="15" customHeight="1" x14ac:dyDescent="0.25">
      <c r="A524" s="15">
        <v>523</v>
      </c>
      <c r="B524" s="15" t="s">
        <v>1969</v>
      </c>
      <c r="C524" s="15" t="s">
        <v>1970</v>
      </c>
      <c r="D524" s="15">
        <f>COUNTIF('Itemized Calculation'!C:C,B524)</f>
        <v>1</v>
      </c>
      <c r="E524" s="42">
        <v>18.03</v>
      </c>
      <c r="F524" s="16">
        <f>SUMIF('Itemized Calculation'!C:C,B524,'Itemized Calculation'!K:K)</f>
        <v>17.95</v>
      </c>
      <c r="G524" s="16">
        <f t="shared" si="8"/>
        <v>8.0000000000001847E-2</v>
      </c>
    </row>
    <row r="525" spans="1:7" ht="15" customHeight="1" x14ac:dyDescent="0.25">
      <c r="A525" s="15">
        <v>524</v>
      </c>
      <c r="B525" s="15" t="s">
        <v>1973</v>
      </c>
      <c r="C525" s="15" t="s">
        <v>1974</v>
      </c>
      <c r="D525" s="15">
        <f>COUNTIF('Itemized Calculation'!C:C,B525)</f>
        <v>1</v>
      </c>
      <c r="E525" s="42">
        <v>20.079999999999998</v>
      </c>
      <c r="F525" s="16">
        <f>SUMIF('Itemized Calculation'!C:C,B525,'Itemized Calculation'!K:K)</f>
        <v>18.05</v>
      </c>
      <c r="G525" s="16">
        <f t="shared" si="8"/>
        <v>2.0299999999999976</v>
      </c>
    </row>
    <row r="526" spans="1:7" ht="15" customHeight="1" x14ac:dyDescent="0.25">
      <c r="A526" s="15">
        <v>525</v>
      </c>
      <c r="B526" s="15" t="s">
        <v>1976</v>
      </c>
      <c r="C526" s="15" t="s">
        <v>1977</v>
      </c>
      <c r="D526" s="15">
        <f>COUNTIF('Itemized Calculation'!C:C,B526)</f>
        <v>1</v>
      </c>
      <c r="E526" s="42">
        <v>26.69</v>
      </c>
      <c r="F526" s="16">
        <f>SUMIF('Itemized Calculation'!C:C,B526,'Itemized Calculation'!K:K)</f>
        <v>23.729999999999997</v>
      </c>
      <c r="G526" s="16">
        <f t="shared" si="8"/>
        <v>2.9600000000000044</v>
      </c>
    </row>
    <row r="527" spans="1:7" ht="15" customHeight="1" x14ac:dyDescent="0.25">
      <c r="A527" s="15">
        <v>526</v>
      </c>
      <c r="B527" s="15" t="s">
        <v>138</v>
      </c>
      <c r="C527" s="15" t="s">
        <v>1979</v>
      </c>
      <c r="D527" s="15">
        <f>COUNTIF('Itemized Calculation'!C:C,B527)</f>
        <v>2</v>
      </c>
      <c r="E527" s="42">
        <v>45.5</v>
      </c>
      <c r="F527" s="16">
        <f>SUMIF('Itemized Calculation'!C:C,B527,'Itemized Calculation'!K:K)</f>
        <v>44.451000000000001</v>
      </c>
      <c r="G527" s="16">
        <f t="shared" si="8"/>
        <v>1.0489999999999995</v>
      </c>
    </row>
    <row r="528" spans="1:7" ht="15" customHeight="1" x14ac:dyDescent="0.25">
      <c r="A528" s="15">
        <v>527</v>
      </c>
      <c r="B528" s="15" t="s">
        <v>1981</v>
      </c>
      <c r="C528" s="15" t="s">
        <v>1982</v>
      </c>
      <c r="D528" s="15">
        <f>COUNTIF('Itemized Calculation'!C:C,B528)</f>
        <v>1</v>
      </c>
      <c r="E528" s="42">
        <v>11.81</v>
      </c>
      <c r="F528" s="16">
        <f>SUMIF('Itemized Calculation'!C:C,B528,'Itemized Calculation'!K:K)</f>
        <v>10.593</v>
      </c>
      <c r="G528" s="16">
        <f t="shared" si="8"/>
        <v>1.2170000000000005</v>
      </c>
    </row>
    <row r="529" spans="1:7" ht="15" customHeight="1" x14ac:dyDescent="0.25">
      <c r="A529" s="15">
        <v>528</v>
      </c>
      <c r="B529" s="15" t="s">
        <v>73</v>
      </c>
      <c r="C529" s="15" t="s">
        <v>1983</v>
      </c>
      <c r="D529" s="15">
        <f>COUNTIF('Itemized Calculation'!C:C,B529)</f>
        <v>1</v>
      </c>
      <c r="E529" s="42">
        <v>53.06</v>
      </c>
      <c r="F529" s="16">
        <f>SUMIF('Itemized Calculation'!C:C,B529,'Itemized Calculation'!K:K)</f>
        <v>49.5</v>
      </c>
      <c r="G529" s="16">
        <f t="shared" si="8"/>
        <v>3.5600000000000023</v>
      </c>
    </row>
    <row r="530" spans="1:7" ht="15" customHeight="1" x14ac:dyDescent="0.25">
      <c r="A530" s="15">
        <v>529</v>
      </c>
      <c r="B530" s="15" t="s">
        <v>1985</v>
      </c>
      <c r="C530" s="15" t="s">
        <v>1986</v>
      </c>
      <c r="D530" s="15">
        <f>COUNTIF('Itemized Calculation'!C:C,B530)</f>
        <v>1</v>
      </c>
      <c r="E530" s="42">
        <v>11.46</v>
      </c>
      <c r="F530" s="16">
        <f>SUMIF('Itemized Calculation'!C:C,B530,'Itemized Calculation'!K:K)</f>
        <v>10.395</v>
      </c>
      <c r="G530" s="16">
        <f t="shared" si="8"/>
        <v>1.0650000000000013</v>
      </c>
    </row>
    <row r="531" spans="1:7" ht="15" customHeight="1" x14ac:dyDescent="0.25">
      <c r="A531" s="15">
        <v>530</v>
      </c>
      <c r="B531" s="15" t="s">
        <v>1988</v>
      </c>
      <c r="C531" s="15" t="s">
        <v>1989</v>
      </c>
      <c r="D531" s="15">
        <f>COUNTIF('Itemized Calculation'!C:C,B531)</f>
        <v>1</v>
      </c>
      <c r="E531" s="42">
        <v>13.15</v>
      </c>
      <c r="F531" s="16">
        <f>SUMIF('Itemized Calculation'!C:C,B531,'Itemized Calculation'!K:K)</f>
        <v>12.968999999999999</v>
      </c>
      <c r="G531" s="16">
        <f t="shared" si="8"/>
        <v>0.18100000000000094</v>
      </c>
    </row>
    <row r="532" spans="1:7" ht="15" customHeight="1" x14ac:dyDescent="0.25">
      <c r="A532" s="15">
        <v>531</v>
      </c>
      <c r="B532" s="15" t="s">
        <v>1992</v>
      </c>
      <c r="C532" s="15" t="s">
        <v>1993</v>
      </c>
      <c r="D532" s="15">
        <f>COUNTIF('Itemized Calculation'!C:C,B532)</f>
        <v>1</v>
      </c>
      <c r="E532" s="42">
        <v>12.95</v>
      </c>
      <c r="F532" s="16">
        <f>SUMIF('Itemized Calculation'!C:C,B532,'Itemized Calculation'!K:K)</f>
        <v>13.365</v>
      </c>
      <c r="G532" s="16">
        <f t="shared" si="8"/>
        <v>-0.41500000000000092</v>
      </c>
    </row>
    <row r="533" spans="1:7" ht="15" customHeight="1" x14ac:dyDescent="0.25">
      <c r="A533" s="15">
        <v>532</v>
      </c>
      <c r="B533" s="15" t="s">
        <v>1995</v>
      </c>
      <c r="C533" s="15" t="s">
        <v>1996</v>
      </c>
      <c r="D533" s="15">
        <f>COUNTIF('Itemized Calculation'!C:C,B533)</f>
        <v>1</v>
      </c>
      <c r="E533" s="42">
        <v>12.86</v>
      </c>
      <c r="F533" s="16">
        <f>SUMIF('Itemized Calculation'!C:C,B533,'Itemized Calculation'!K:K)</f>
        <v>13.068</v>
      </c>
      <c r="G533" s="16">
        <f t="shared" si="8"/>
        <v>-0.20800000000000018</v>
      </c>
    </row>
    <row r="534" spans="1:7" ht="15" customHeight="1" x14ac:dyDescent="0.25">
      <c r="A534" s="15">
        <v>533</v>
      </c>
      <c r="B534" s="15" t="s">
        <v>1998</v>
      </c>
      <c r="C534" s="15" t="s">
        <v>1999</v>
      </c>
      <c r="D534" s="15">
        <f>COUNTIF('Itemized Calculation'!C:C,B534)</f>
        <v>1</v>
      </c>
      <c r="E534" s="42">
        <v>20.58</v>
      </c>
      <c r="F534" s="16">
        <f>SUMIF('Itemized Calculation'!C:C,B534,'Itemized Calculation'!K:K)</f>
        <v>19.894000000000002</v>
      </c>
      <c r="G534" s="16">
        <f t="shared" si="8"/>
        <v>0.68599999999999639</v>
      </c>
    </row>
    <row r="535" spans="1:7" ht="15" customHeight="1" x14ac:dyDescent="0.25">
      <c r="A535" s="15">
        <v>534</v>
      </c>
      <c r="B535" s="15" t="s">
        <v>2002</v>
      </c>
      <c r="C535" s="15" t="s">
        <v>2003</v>
      </c>
      <c r="D535" s="15">
        <f>COUNTIF('Itemized Calculation'!C:C,B535)</f>
        <v>1</v>
      </c>
      <c r="E535" s="42">
        <v>13.26</v>
      </c>
      <c r="F535" s="16">
        <f>SUMIF('Itemized Calculation'!C:C,B535,'Itemized Calculation'!K:K)</f>
        <v>13.365</v>
      </c>
      <c r="G535" s="16">
        <f t="shared" si="8"/>
        <v>-0.10500000000000043</v>
      </c>
    </row>
    <row r="536" spans="1:7" ht="15" customHeight="1" x14ac:dyDescent="0.25">
      <c r="A536" s="15">
        <v>535</v>
      </c>
      <c r="B536" s="15" t="s">
        <v>2005</v>
      </c>
      <c r="C536" s="15" t="s">
        <v>2006</v>
      </c>
      <c r="D536" s="15">
        <f>COUNTIF('Itemized Calculation'!C:C,B536)</f>
        <v>1</v>
      </c>
      <c r="E536" s="42">
        <v>13.44</v>
      </c>
      <c r="F536" s="16">
        <f>SUMIF('Itemized Calculation'!C:C,B536,'Itemized Calculation'!K:K)</f>
        <v>13.365</v>
      </c>
      <c r="G536" s="16">
        <f t="shared" si="8"/>
        <v>7.4999999999999289E-2</v>
      </c>
    </row>
    <row r="537" spans="1:7" ht="15" customHeight="1" x14ac:dyDescent="0.25">
      <c r="A537" s="15">
        <v>536</v>
      </c>
      <c r="B537" s="15" t="s">
        <v>2008</v>
      </c>
      <c r="C537" s="15" t="s">
        <v>2009</v>
      </c>
      <c r="D537" s="15">
        <f>COUNTIF('Itemized Calculation'!C:C,B537)</f>
        <v>1</v>
      </c>
      <c r="E537" s="42">
        <v>10.82</v>
      </c>
      <c r="F537" s="16">
        <f>SUMIF('Itemized Calculation'!C:C,B537,'Itemized Calculation'!K:K)</f>
        <v>10.593</v>
      </c>
      <c r="G537" s="16">
        <f t="shared" si="8"/>
        <v>0.22700000000000031</v>
      </c>
    </row>
    <row r="538" spans="1:7" ht="15" customHeight="1" x14ac:dyDescent="0.25">
      <c r="A538" s="15">
        <v>537</v>
      </c>
      <c r="B538" s="15" t="s">
        <v>2011</v>
      </c>
      <c r="C538" s="15" t="s">
        <v>2012</v>
      </c>
      <c r="D538" s="15">
        <f>COUNTIF('Itemized Calculation'!C:C,B538)</f>
        <v>1</v>
      </c>
      <c r="E538" s="42">
        <v>13.53</v>
      </c>
      <c r="F538" s="16">
        <f>SUMIF('Itemized Calculation'!C:C,B538,'Itemized Calculation'!K:K)</f>
        <v>12.968999999999999</v>
      </c>
      <c r="G538" s="16">
        <f t="shared" si="8"/>
        <v>0.56099999999999994</v>
      </c>
    </row>
    <row r="539" spans="1:7" ht="15" customHeight="1" x14ac:dyDescent="0.25">
      <c r="A539" s="15">
        <v>538</v>
      </c>
      <c r="B539" s="15" t="s">
        <v>2014</v>
      </c>
      <c r="C539" s="15" t="s">
        <v>2015</v>
      </c>
      <c r="D539" s="15">
        <f>COUNTIF('Itemized Calculation'!C:C,B539)</f>
        <v>1</v>
      </c>
      <c r="E539" s="42">
        <v>6.77</v>
      </c>
      <c r="F539" s="16">
        <f>SUMIF('Itemized Calculation'!C:C,B539,'Itemized Calculation'!K:K)</f>
        <v>6.1749999999999998</v>
      </c>
      <c r="G539" s="16">
        <f t="shared" si="8"/>
        <v>0.59499999999999975</v>
      </c>
    </row>
    <row r="540" spans="1:7" ht="15" customHeight="1" x14ac:dyDescent="0.25">
      <c r="A540" s="15">
        <v>539</v>
      </c>
      <c r="B540" s="15" t="s">
        <v>175</v>
      </c>
      <c r="C540" s="15" t="s">
        <v>2016</v>
      </c>
      <c r="D540" s="15">
        <f>COUNTIF('Itemized Calculation'!C:C,B540)</f>
        <v>3</v>
      </c>
      <c r="E540" s="42">
        <v>43.84</v>
      </c>
      <c r="F540" s="16">
        <f>SUMIF('Itemized Calculation'!C:C,B540,'Itemized Calculation'!K:K)</f>
        <v>42.570000000000007</v>
      </c>
      <c r="G540" s="16">
        <f t="shared" si="8"/>
        <v>1.269999999999996</v>
      </c>
    </row>
    <row r="541" spans="1:7" ht="15" customHeight="1" x14ac:dyDescent="0.25">
      <c r="A541" s="15">
        <v>540</v>
      </c>
      <c r="B541" s="15" t="s">
        <v>2018</v>
      </c>
      <c r="C541" s="15" t="s">
        <v>2019</v>
      </c>
      <c r="D541" s="15">
        <f>COUNTIF('Itemized Calculation'!C:C,B541)</f>
        <v>1</v>
      </c>
      <c r="E541" s="42">
        <v>13.15</v>
      </c>
      <c r="F541" s="16">
        <f>SUMIF('Itemized Calculation'!C:C,B541,'Itemized Calculation'!K:K)</f>
        <v>12.968999999999999</v>
      </c>
      <c r="G541" s="16">
        <f t="shared" si="8"/>
        <v>0.18100000000000094</v>
      </c>
    </row>
    <row r="542" spans="1:7" ht="15" customHeight="1" x14ac:dyDescent="0.25">
      <c r="A542" s="15">
        <v>541</v>
      </c>
      <c r="B542" s="15" t="s">
        <v>2021</v>
      </c>
      <c r="C542" s="15" t="s">
        <v>2022</v>
      </c>
      <c r="D542" s="15">
        <f>COUNTIF('Itemized Calculation'!C:C,B542)</f>
        <v>2</v>
      </c>
      <c r="E542" s="42">
        <v>48.44</v>
      </c>
      <c r="F542" s="16">
        <f>SUMIF('Itemized Calculation'!C:C,B542,'Itemized Calculation'!K:K)</f>
        <v>42.606000000000002</v>
      </c>
      <c r="G542" s="16">
        <f t="shared" si="8"/>
        <v>5.8339999999999961</v>
      </c>
    </row>
    <row r="543" spans="1:7" ht="15" customHeight="1" x14ac:dyDescent="0.25">
      <c r="A543" s="15">
        <v>542</v>
      </c>
      <c r="B543" s="15" t="s">
        <v>2025</v>
      </c>
      <c r="C543" s="15" t="s">
        <v>2026</v>
      </c>
      <c r="D543" s="15">
        <f>COUNTIF('Itemized Calculation'!C:C,B543)</f>
        <v>1</v>
      </c>
      <c r="E543" s="42">
        <v>14.77</v>
      </c>
      <c r="F543" s="16">
        <f>SUMIF('Itemized Calculation'!C:C,B543,'Itemized Calculation'!K:K)</f>
        <v>13.622</v>
      </c>
      <c r="G543" s="16">
        <f t="shared" si="8"/>
        <v>1.1479999999999997</v>
      </c>
    </row>
    <row r="544" spans="1:7" ht="15" customHeight="1" x14ac:dyDescent="0.25">
      <c r="A544" s="15">
        <v>543</v>
      </c>
      <c r="B544" s="15" t="s">
        <v>2029</v>
      </c>
      <c r="C544" s="15" t="s">
        <v>2030</v>
      </c>
      <c r="D544" s="15">
        <f>COUNTIF('Itemized Calculation'!C:C,B544)</f>
        <v>1</v>
      </c>
      <c r="E544" s="42">
        <v>10.87</v>
      </c>
      <c r="F544" s="16">
        <f>SUMIF('Itemized Calculation'!C:C,B544,'Itemized Calculation'!K:K)</f>
        <v>9.6</v>
      </c>
      <c r="G544" s="16">
        <f t="shared" si="8"/>
        <v>1.2699999999999996</v>
      </c>
    </row>
    <row r="545" spans="1:7" ht="15" customHeight="1" x14ac:dyDescent="0.25">
      <c r="A545" s="15">
        <v>544</v>
      </c>
      <c r="B545" s="15" t="s">
        <v>2033</v>
      </c>
      <c r="C545" s="15" t="s">
        <v>2034</v>
      </c>
      <c r="D545" s="15">
        <f>COUNTIF('Itemized Calculation'!C:C,B545)</f>
        <v>1</v>
      </c>
      <c r="E545" s="42">
        <v>17.11</v>
      </c>
      <c r="F545" s="16">
        <f>SUMIF('Itemized Calculation'!C:C,B545,'Itemized Calculation'!K:K)</f>
        <v>14.04</v>
      </c>
      <c r="G545" s="16">
        <f t="shared" si="8"/>
        <v>3.0700000000000003</v>
      </c>
    </row>
    <row r="546" spans="1:7" ht="15" customHeight="1" x14ac:dyDescent="0.25">
      <c r="A546" s="15">
        <v>545</v>
      </c>
      <c r="B546" s="15" t="s">
        <v>2037</v>
      </c>
      <c r="C546" s="15" t="s">
        <v>2038</v>
      </c>
      <c r="D546" s="15">
        <f>COUNTIF('Itemized Calculation'!C:C,B546)</f>
        <v>1</v>
      </c>
      <c r="E546" s="42">
        <v>11.46</v>
      </c>
      <c r="F546" s="16">
        <f>SUMIF('Itemized Calculation'!C:C,B546,'Itemized Calculation'!K:K)</f>
        <v>10.593</v>
      </c>
      <c r="G546" s="16">
        <f t="shared" si="8"/>
        <v>0.86700000000000088</v>
      </c>
    </row>
    <row r="547" spans="1:7" ht="15" customHeight="1" x14ac:dyDescent="0.25">
      <c r="A547" s="15">
        <v>546</v>
      </c>
      <c r="B547" s="15" t="s">
        <v>111</v>
      </c>
      <c r="C547" s="15" t="s">
        <v>2039</v>
      </c>
      <c r="D547" s="15">
        <f>COUNTIF('Itemized Calculation'!C:C,B547)</f>
        <v>1</v>
      </c>
      <c r="E547" s="42">
        <v>16.21</v>
      </c>
      <c r="F547" s="16">
        <f>SUMIF('Itemized Calculation'!C:C,B547,'Itemized Calculation'!K:K)</f>
        <v>16.245000000000001</v>
      </c>
      <c r="G547" s="16">
        <f t="shared" si="8"/>
        <v>-3.5000000000000142E-2</v>
      </c>
    </row>
    <row r="548" spans="1:7" ht="15" customHeight="1" x14ac:dyDescent="0.25">
      <c r="A548" s="15">
        <v>547</v>
      </c>
      <c r="B548" s="15" t="s">
        <v>2041</v>
      </c>
      <c r="C548" s="15" t="s">
        <v>2042</v>
      </c>
      <c r="D548" s="15">
        <f>COUNTIF('Itemized Calculation'!C:C,B548)</f>
        <v>1</v>
      </c>
      <c r="E548" s="42">
        <v>13.27</v>
      </c>
      <c r="F548" s="16">
        <f>SUMIF('Itemized Calculation'!C:C,B548,'Itemized Calculation'!K:K)</f>
        <v>12.968999999999999</v>
      </c>
      <c r="G548" s="16">
        <f t="shared" si="8"/>
        <v>0.30100000000000016</v>
      </c>
    </row>
    <row r="549" spans="1:7" ht="15" customHeight="1" x14ac:dyDescent="0.25">
      <c r="A549" s="15">
        <v>548</v>
      </c>
      <c r="B549" s="15" t="s">
        <v>2044</v>
      </c>
      <c r="C549" s="15" t="s">
        <v>2045</v>
      </c>
      <c r="D549" s="15">
        <f>COUNTIF('Itemized Calculation'!C:C,B549)</f>
        <v>1</v>
      </c>
      <c r="E549" s="42">
        <v>10.98</v>
      </c>
      <c r="F549" s="16">
        <f>SUMIF('Itemized Calculation'!C:C,B549,'Itemized Calculation'!K:K)</f>
        <v>10.395</v>
      </c>
      <c r="G549" s="16">
        <f t="shared" si="8"/>
        <v>0.58500000000000085</v>
      </c>
    </row>
    <row r="550" spans="1:7" ht="15" customHeight="1" x14ac:dyDescent="0.25">
      <c r="A550" s="15">
        <v>549</v>
      </c>
      <c r="B550" s="15" t="s">
        <v>2047</v>
      </c>
      <c r="C550" s="15" t="s">
        <v>2048</v>
      </c>
      <c r="D550" s="15">
        <f>COUNTIF('Itemized Calculation'!C:C,B550)</f>
        <v>1</v>
      </c>
      <c r="E550" s="42">
        <v>19.12</v>
      </c>
      <c r="F550" s="16">
        <f>SUMIF('Itemized Calculation'!C:C,B550,'Itemized Calculation'!K:K)</f>
        <v>16.939999999999998</v>
      </c>
      <c r="G550" s="16">
        <f t="shared" si="8"/>
        <v>2.1800000000000033</v>
      </c>
    </row>
    <row r="551" spans="1:7" ht="15" customHeight="1" x14ac:dyDescent="0.25">
      <c r="A551" s="15">
        <v>550</v>
      </c>
      <c r="B551" s="15" t="s">
        <v>2051</v>
      </c>
      <c r="C551" s="15" t="s">
        <v>2052</v>
      </c>
      <c r="D551" s="15">
        <f>COUNTIF('Itemized Calculation'!C:C,B551)</f>
        <v>1</v>
      </c>
      <c r="E551" s="42">
        <v>10.67</v>
      </c>
      <c r="F551" s="16">
        <f>SUMIF('Itemized Calculation'!C:C,B551,'Itemized Calculation'!K:K)</f>
        <v>10.545</v>
      </c>
      <c r="G551" s="16">
        <f t="shared" si="8"/>
        <v>0.125</v>
      </c>
    </row>
    <row r="552" spans="1:7" ht="15" customHeight="1" x14ac:dyDescent="0.25">
      <c r="A552" s="15">
        <v>551</v>
      </c>
      <c r="B552" s="15" t="s">
        <v>2054</v>
      </c>
      <c r="C552" s="15" t="s">
        <v>2055</v>
      </c>
      <c r="D552" s="15">
        <f>COUNTIF('Itemized Calculation'!C:C,B552)</f>
        <v>1</v>
      </c>
      <c r="E552" s="42">
        <v>32.15</v>
      </c>
      <c r="F552" s="16">
        <f>SUMIF('Itemized Calculation'!C:C,B552,'Itemized Calculation'!K:K)</f>
        <v>29.304000000000002</v>
      </c>
      <c r="G552" s="16">
        <f t="shared" si="8"/>
        <v>2.8459999999999965</v>
      </c>
    </row>
    <row r="553" spans="1:7" ht="15" customHeight="1" x14ac:dyDescent="0.25">
      <c r="A553" s="15">
        <v>552</v>
      </c>
      <c r="B553" s="15" t="s">
        <v>2057</v>
      </c>
      <c r="C553" s="15" t="s">
        <v>2058</v>
      </c>
      <c r="D553" s="15">
        <f>COUNTIF('Itemized Calculation'!C:C,B553)</f>
        <v>1</v>
      </c>
      <c r="E553" s="42">
        <v>13.72</v>
      </c>
      <c r="F553" s="16">
        <f>SUMIF('Itemized Calculation'!C:C,B553,'Itemized Calculation'!K:K)</f>
        <v>13.365</v>
      </c>
      <c r="G553" s="16">
        <f t="shared" si="8"/>
        <v>0.35500000000000043</v>
      </c>
    </row>
    <row r="554" spans="1:7" ht="15" customHeight="1" x14ac:dyDescent="0.25">
      <c r="A554" s="15">
        <v>553</v>
      </c>
      <c r="B554" s="15" t="s">
        <v>2060</v>
      </c>
      <c r="C554" s="15" t="s">
        <v>2061</v>
      </c>
      <c r="D554" s="15">
        <f>COUNTIF('Itemized Calculation'!C:C,B554)</f>
        <v>1</v>
      </c>
      <c r="E554" s="42">
        <v>16.14</v>
      </c>
      <c r="F554" s="16">
        <f>SUMIF('Itemized Calculation'!C:C,B554,'Itemized Calculation'!K:K)</f>
        <v>14.652000000000001</v>
      </c>
      <c r="G554" s="16">
        <f t="shared" si="8"/>
        <v>1.4879999999999995</v>
      </c>
    </row>
    <row r="555" spans="1:7" ht="15" customHeight="1" x14ac:dyDescent="0.25">
      <c r="A555" s="15">
        <v>554</v>
      </c>
      <c r="B555" s="15" t="s">
        <v>2064</v>
      </c>
      <c r="C555" s="15" t="s">
        <v>2065</v>
      </c>
      <c r="D555" s="15">
        <f>COUNTIF('Itemized Calculation'!C:C,B555)</f>
        <v>1</v>
      </c>
      <c r="E555" s="42">
        <v>18.96</v>
      </c>
      <c r="F555" s="16">
        <f>SUMIF('Itemized Calculation'!C:C,B555,'Itemized Calculation'!K:K)</f>
        <v>16.392999999999997</v>
      </c>
      <c r="G555" s="16">
        <f t="shared" si="8"/>
        <v>2.5670000000000037</v>
      </c>
    </row>
    <row r="556" spans="1:7" ht="15" customHeight="1" x14ac:dyDescent="0.25">
      <c r="A556" s="15">
        <v>555</v>
      </c>
      <c r="B556" s="15" t="s">
        <v>2068</v>
      </c>
      <c r="C556" s="15" t="s">
        <v>2069</v>
      </c>
      <c r="D556" s="15">
        <f>COUNTIF('Itemized Calculation'!C:C,B556)</f>
        <v>2</v>
      </c>
      <c r="E556" s="42">
        <v>33.049999999999997</v>
      </c>
      <c r="F556" s="16">
        <f>SUMIF('Itemized Calculation'!C:C,B556,'Itemized Calculation'!K:K)</f>
        <v>31.622</v>
      </c>
      <c r="G556" s="16">
        <f t="shared" si="8"/>
        <v>1.4279999999999973</v>
      </c>
    </row>
    <row r="557" spans="1:7" ht="15" customHeight="1" x14ac:dyDescent="0.25">
      <c r="A557" s="15">
        <v>556</v>
      </c>
      <c r="B557" s="15" t="s">
        <v>2073</v>
      </c>
      <c r="C557" s="15" t="s">
        <v>2074</v>
      </c>
      <c r="D557" s="15">
        <f>COUNTIF('Itemized Calculation'!C:C,B557)</f>
        <v>1</v>
      </c>
      <c r="E557" s="42">
        <v>-17.91</v>
      </c>
      <c r="F557" s="16">
        <f>SUMIF('Itemized Calculation'!C:C,B557,'Itemized Calculation'!K:K)</f>
        <v>0</v>
      </c>
      <c r="G557" s="16">
        <f t="shared" si="8"/>
        <v>-17.91</v>
      </c>
    </row>
    <row r="558" spans="1:7" ht="15" customHeight="1" x14ac:dyDescent="0.25">
      <c r="A558" s="15">
        <v>557</v>
      </c>
      <c r="B558" s="15" t="s">
        <v>2077</v>
      </c>
      <c r="C558" s="15" t="s">
        <v>2078</v>
      </c>
      <c r="D558" s="15">
        <f>COUNTIF('Itemized Calculation'!C:C,B558)</f>
        <v>2</v>
      </c>
      <c r="E558" s="42">
        <v>24.93</v>
      </c>
      <c r="F558" s="16">
        <f>SUMIF('Itemized Calculation'!C:C,B558,'Itemized Calculation'!K:K)</f>
        <v>23.957999999999998</v>
      </c>
      <c r="G558" s="16">
        <f t="shared" si="8"/>
        <v>0.97200000000000131</v>
      </c>
    </row>
    <row r="559" spans="1:7" ht="15" customHeight="1" x14ac:dyDescent="0.25">
      <c r="A559" s="15">
        <v>558</v>
      </c>
      <c r="B559" s="15" t="s">
        <v>2080</v>
      </c>
      <c r="C559" s="15" t="s">
        <v>2081</v>
      </c>
      <c r="D559" s="15">
        <f>COUNTIF('Itemized Calculation'!C:C,B559)</f>
        <v>1</v>
      </c>
      <c r="E559" s="42">
        <v>20.66</v>
      </c>
      <c r="F559" s="16">
        <f>SUMIF('Itemized Calculation'!C:C,B559,'Itemized Calculation'!K:K)</f>
        <v>19.501999999999999</v>
      </c>
      <c r="G559" s="16">
        <f t="shared" si="8"/>
        <v>1.1580000000000013</v>
      </c>
    </row>
    <row r="560" spans="1:7" ht="15" customHeight="1" x14ac:dyDescent="0.25">
      <c r="A560" s="15">
        <v>559</v>
      </c>
      <c r="B560" s="15" t="s">
        <v>2084</v>
      </c>
      <c r="C560" s="15" t="s">
        <v>2085</v>
      </c>
      <c r="D560" s="15">
        <f>COUNTIF('Itemized Calculation'!C:C,B560)</f>
        <v>1</v>
      </c>
      <c r="E560" s="42">
        <v>13.53</v>
      </c>
      <c r="F560" s="16">
        <f>SUMIF('Itemized Calculation'!C:C,B560,'Itemized Calculation'!K:K)</f>
        <v>13.365</v>
      </c>
      <c r="G560" s="16">
        <f t="shared" si="8"/>
        <v>0.16499999999999915</v>
      </c>
    </row>
    <row r="561" spans="1:7" ht="15" customHeight="1" x14ac:dyDescent="0.25">
      <c r="A561" s="15">
        <v>560</v>
      </c>
      <c r="B561" s="15" t="s">
        <v>2087</v>
      </c>
      <c r="C561" s="15" t="s">
        <v>2088</v>
      </c>
      <c r="D561" s="15">
        <f>COUNTIF('Itemized Calculation'!C:C,B561)</f>
        <v>1</v>
      </c>
      <c r="E561" s="42">
        <v>18.04</v>
      </c>
      <c r="F561" s="16">
        <f>SUMIF('Itemized Calculation'!C:C,B561,'Itemized Calculation'!K:K)</f>
        <v>17.225999999999999</v>
      </c>
      <c r="G561" s="16">
        <f t="shared" si="8"/>
        <v>0.81400000000000006</v>
      </c>
    </row>
    <row r="562" spans="1:7" ht="15" customHeight="1" x14ac:dyDescent="0.25">
      <c r="A562" s="15">
        <v>561</v>
      </c>
      <c r="B562" s="15" t="s">
        <v>2091</v>
      </c>
      <c r="C562" s="15" t="s">
        <v>2092</v>
      </c>
      <c r="D562" s="15">
        <f>COUNTIF('Itemized Calculation'!C:C,B562)</f>
        <v>1</v>
      </c>
      <c r="E562" s="42">
        <v>13.72</v>
      </c>
      <c r="F562" s="16">
        <f>SUMIF('Itemized Calculation'!C:C,B562,'Itemized Calculation'!K:K)</f>
        <v>12.276</v>
      </c>
      <c r="G562" s="16">
        <f t="shared" si="8"/>
        <v>1.4440000000000008</v>
      </c>
    </row>
    <row r="563" spans="1:7" ht="15" customHeight="1" x14ac:dyDescent="0.25">
      <c r="A563" s="15">
        <v>562</v>
      </c>
      <c r="B563" s="15" t="s">
        <v>2094</v>
      </c>
      <c r="C563" s="15" t="s">
        <v>2095</v>
      </c>
      <c r="D563" s="15">
        <f>COUNTIF('Itemized Calculation'!C:C,B563)</f>
        <v>1</v>
      </c>
      <c r="E563" s="42">
        <v>23.32</v>
      </c>
      <c r="F563" s="16">
        <f>SUMIF('Itemized Calculation'!C:C,B563,'Itemized Calculation'!K:K)</f>
        <v>21.186</v>
      </c>
      <c r="G563" s="16">
        <f t="shared" si="8"/>
        <v>2.1340000000000003</v>
      </c>
    </row>
    <row r="564" spans="1:7" ht="15" customHeight="1" x14ac:dyDescent="0.25">
      <c r="D564" s="51" t="s">
        <v>2096</v>
      </c>
      <c r="E564" s="52">
        <f>SUM(E2:E563)</f>
        <v>13839.019999999991</v>
      </c>
      <c r="F564" s="52">
        <f>SUM(F2:F563)</f>
        <v>12941.350999999997</v>
      </c>
      <c r="G564" s="52">
        <f>SUM(G2:G563)</f>
        <v>897.66900000000032</v>
      </c>
    </row>
    <row r="566" spans="1:7" ht="15" customHeight="1" x14ac:dyDescent="0.25">
      <c r="A566" s="11" t="s">
        <v>33</v>
      </c>
    </row>
    <row r="567" spans="1:7" ht="15" customHeight="1" x14ac:dyDescent="0.25">
      <c r="A567" s="7" t="s">
        <v>2107</v>
      </c>
      <c r="B567" s="7"/>
      <c r="C567" s="7"/>
      <c r="D567" s="7"/>
      <c r="E567" s="7"/>
      <c r="F567" s="7"/>
      <c r="G567" s="7"/>
    </row>
    <row r="568" spans="1:7" ht="15" customHeight="1" x14ac:dyDescent="0.25">
      <c r="A568" s="7" t="s">
        <v>2108</v>
      </c>
      <c r="B568" s="7"/>
      <c r="C568" s="7"/>
      <c r="D568" s="7"/>
      <c r="E568" s="7"/>
      <c r="F568" s="7"/>
      <c r="G568" s="7"/>
    </row>
    <row r="569" spans="1:7" ht="15" customHeight="1" x14ac:dyDescent="0.25">
      <c r="A569" s="7" t="s">
        <v>2109</v>
      </c>
      <c r="B569" s="7"/>
      <c r="C569" s="7"/>
      <c r="D569" s="7"/>
      <c r="E569" s="7"/>
      <c r="F569" s="7"/>
      <c r="G569" s="7"/>
    </row>
  </sheetData>
  <mergeCells count="3">
    <mergeCell ref="A567:G567"/>
    <mergeCell ref="A568:G568"/>
    <mergeCell ref="A569:G569"/>
  </mergeCells>
  <pageMargins left="0.75" right="0.75" top="1" bottom="1"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0"/>
  <sheetViews>
    <sheetView zoomScaleNormal="100" workbookViewId="0">
      <selection activeCell="I17" sqref="I17"/>
    </sheetView>
  </sheetViews>
  <sheetFormatPr defaultColWidth="8.7109375" defaultRowHeight="15" x14ac:dyDescent="0.25"/>
  <cols>
    <col min="1" max="1" width="16" customWidth="1"/>
    <col min="2" max="2" width="42" customWidth="1"/>
    <col min="3" max="3" width="13" customWidth="1"/>
    <col min="4" max="5" width="16" customWidth="1"/>
    <col min="6" max="6" width="20" customWidth="1"/>
    <col min="7" max="7" width="16" customWidth="1"/>
    <col min="8" max="8" width="30" customWidth="1"/>
    <col min="9" max="9" width="18" customWidth="1"/>
    <col min="10" max="10" width="32" customWidth="1"/>
  </cols>
  <sheetData>
    <row r="1" spans="1:10" ht="19.5" customHeight="1" x14ac:dyDescent="0.3">
      <c r="A1" s="8" t="s">
        <v>2110</v>
      </c>
    </row>
    <row r="2" spans="1:10" ht="15" customHeight="1" x14ac:dyDescent="0.25">
      <c r="A2" s="57" t="s">
        <v>2111</v>
      </c>
    </row>
    <row r="4" spans="1:10" ht="15" customHeight="1" x14ac:dyDescent="0.25">
      <c r="A4" s="5" t="s">
        <v>2112</v>
      </c>
      <c r="B4" s="5"/>
      <c r="C4" s="5"/>
      <c r="D4" s="5"/>
      <c r="E4" s="5"/>
      <c r="F4" s="5"/>
      <c r="G4" s="5"/>
      <c r="H4" s="5"/>
      <c r="I4" s="5"/>
      <c r="J4" s="5"/>
    </row>
    <row r="5" spans="1:10" ht="39" customHeight="1" x14ac:dyDescent="0.25">
      <c r="A5" s="40" t="s">
        <v>47</v>
      </c>
      <c r="B5" s="40" t="s">
        <v>2113</v>
      </c>
      <c r="C5" s="40" t="s">
        <v>50</v>
      </c>
      <c r="D5" s="40" t="s">
        <v>2114</v>
      </c>
      <c r="E5" s="40" t="s">
        <v>2115</v>
      </c>
      <c r="F5" s="40" t="s">
        <v>2116</v>
      </c>
      <c r="G5" s="40" t="s">
        <v>2117</v>
      </c>
      <c r="H5" s="40" t="s">
        <v>2118</v>
      </c>
      <c r="I5" s="40" t="s">
        <v>2119</v>
      </c>
      <c r="J5" s="40" t="s">
        <v>2120</v>
      </c>
    </row>
    <row r="6" spans="1:10" ht="15" customHeight="1" x14ac:dyDescent="0.25">
      <c r="A6" s="15" t="s">
        <v>658</v>
      </c>
      <c r="B6" s="15" t="s">
        <v>2121</v>
      </c>
      <c r="C6" s="15">
        <v>1</v>
      </c>
      <c r="D6" s="16">
        <v>14.9</v>
      </c>
      <c r="E6" s="15" t="s">
        <v>2122</v>
      </c>
      <c r="F6" s="16">
        <v>-8.48</v>
      </c>
      <c r="G6" s="16">
        <f>SUMIF('Itemized Calculation'!C:C,A6,'Itemized Calculation'!Q:Q)</f>
        <v>10.395</v>
      </c>
      <c r="H6" s="26" t="s">
        <v>12837</v>
      </c>
      <c r="I6" s="16">
        <f t="shared" ref="I6:I11" si="0">IF(H6="Confirmed Good — Remove Charge",G6,0)</f>
        <v>10.395</v>
      </c>
      <c r="J6" s="34" t="s">
        <v>2123</v>
      </c>
    </row>
    <row r="7" spans="1:10" ht="15" customHeight="1" x14ac:dyDescent="0.25">
      <c r="A7" s="15" t="s">
        <v>808</v>
      </c>
      <c r="B7" s="15" t="s">
        <v>2124</v>
      </c>
      <c r="C7" s="15">
        <v>1</v>
      </c>
      <c r="D7" s="16">
        <v>47.9</v>
      </c>
      <c r="E7" s="15" t="s">
        <v>2122</v>
      </c>
      <c r="F7" s="16">
        <v>23.95</v>
      </c>
      <c r="G7" s="16">
        <f>SUMIF('Itemized Calculation'!C:C,A7,'Itemized Calculation'!Q:Q)</f>
        <v>33.700000000000003</v>
      </c>
      <c r="H7" s="26" t="s">
        <v>12837</v>
      </c>
      <c r="I7" s="16">
        <f t="shared" si="0"/>
        <v>33.700000000000003</v>
      </c>
      <c r="J7" s="34" t="s">
        <v>2125</v>
      </c>
    </row>
    <row r="8" spans="1:10" ht="15" customHeight="1" x14ac:dyDescent="0.25">
      <c r="A8" s="15" t="s">
        <v>215</v>
      </c>
      <c r="B8" s="15" t="s">
        <v>2126</v>
      </c>
      <c r="C8" s="15">
        <v>2</v>
      </c>
      <c r="D8" s="16">
        <v>26.53</v>
      </c>
      <c r="E8" s="15" t="s">
        <v>2122</v>
      </c>
      <c r="F8" s="16">
        <v>60.09</v>
      </c>
      <c r="G8" s="16">
        <f>SUMIF('Itemized Calculation'!C:C,A8,'Itemized Calculation'!Q:Q)</f>
        <v>90.88</v>
      </c>
      <c r="H8" s="26" t="s">
        <v>12837</v>
      </c>
      <c r="I8" s="16">
        <f t="shared" si="0"/>
        <v>90.88</v>
      </c>
      <c r="J8" s="34" t="s">
        <v>2125</v>
      </c>
    </row>
    <row r="9" spans="1:10" ht="15" customHeight="1" x14ac:dyDescent="0.25">
      <c r="A9" s="15" t="s">
        <v>215</v>
      </c>
      <c r="B9" s="15" t="s">
        <v>2127</v>
      </c>
      <c r="C9" s="15">
        <v>2</v>
      </c>
      <c r="D9" s="16">
        <v>67</v>
      </c>
      <c r="E9" s="15" t="s">
        <v>2122</v>
      </c>
      <c r="F9" s="16">
        <v>60.09</v>
      </c>
      <c r="G9" s="16">
        <f>SUMIF('Itemized Calculation'!C:C,A9,'Itemized Calculation'!Q:Q)</f>
        <v>90.88</v>
      </c>
      <c r="H9" s="26" t="s">
        <v>12837</v>
      </c>
      <c r="I9" s="16">
        <f t="shared" si="0"/>
        <v>90.88</v>
      </c>
      <c r="J9" s="34" t="s">
        <v>2125</v>
      </c>
    </row>
    <row r="10" spans="1:10" ht="15" customHeight="1" x14ac:dyDescent="0.25">
      <c r="A10" s="15" t="s">
        <v>1413</v>
      </c>
      <c r="B10" s="15" t="s">
        <v>2128</v>
      </c>
      <c r="C10" s="15">
        <v>2</v>
      </c>
      <c r="D10" s="16">
        <v>29.8</v>
      </c>
      <c r="E10" s="15" t="s">
        <v>2122</v>
      </c>
      <c r="F10" s="16">
        <v>-11.35</v>
      </c>
      <c r="G10" s="16">
        <f>SUMIF('Itemized Calculation'!C:C,A10,'Itemized Calculation'!Q:Q)</f>
        <v>19.200000000000003</v>
      </c>
      <c r="H10" s="26" t="s">
        <v>12837</v>
      </c>
      <c r="I10" s="16">
        <f t="shared" si="0"/>
        <v>19.200000000000003</v>
      </c>
      <c r="J10" s="34" t="s">
        <v>2123</v>
      </c>
    </row>
    <row r="11" spans="1:10" ht="15" customHeight="1" x14ac:dyDescent="0.25">
      <c r="A11" s="15" t="s">
        <v>2073</v>
      </c>
      <c r="B11" s="15" t="s">
        <v>2129</v>
      </c>
      <c r="C11" s="15">
        <v>1</v>
      </c>
      <c r="D11" s="16">
        <v>57.3</v>
      </c>
      <c r="E11" s="15" t="s">
        <v>2122</v>
      </c>
      <c r="F11" s="16">
        <v>-17.91</v>
      </c>
      <c r="G11" s="16">
        <f>SUMIF('Itemized Calculation'!C:C,A11,'Itemized Calculation'!Q:Q)</f>
        <v>43.263000000000005</v>
      </c>
      <c r="H11" s="26" t="s">
        <v>12837</v>
      </c>
      <c r="I11" s="16">
        <f t="shared" si="0"/>
        <v>43.263000000000005</v>
      </c>
      <c r="J11" s="34" t="s">
        <v>2123</v>
      </c>
    </row>
    <row r="12" spans="1:10" ht="15" customHeight="1" x14ac:dyDescent="0.25">
      <c r="B12" s="51" t="s">
        <v>2130</v>
      </c>
      <c r="I12" s="52">
        <f>SUM(I6:I11)</f>
        <v>288.31799999999998</v>
      </c>
    </row>
    <row r="13" spans="1:10" ht="15" customHeight="1" x14ac:dyDescent="0.25">
      <c r="A13" s="7" t="s">
        <v>2131</v>
      </c>
      <c r="B13" s="7"/>
      <c r="C13" s="7"/>
      <c r="D13" s="7"/>
      <c r="E13" s="7"/>
      <c r="F13" s="7"/>
      <c r="G13" s="7"/>
      <c r="H13" s="7"/>
      <c r="I13" s="7"/>
      <c r="J13" s="7"/>
    </row>
    <row r="15" spans="1:10" ht="15" customHeight="1" x14ac:dyDescent="0.25">
      <c r="A15" s="5" t="s">
        <v>2132</v>
      </c>
      <c r="B15" s="5"/>
      <c r="C15" s="5"/>
      <c r="D15" s="5"/>
      <c r="E15" s="5"/>
      <c r="F15" s="5"/>
      <c r="G15" s="5"/>
      <c r="H15" s="5"/>
    </row>
    <row r="16" spans="1:10" ht="39" customHeight="1" x14ac:dyDescent="0.25">
      <c r="A16" s="40" t="s">
        <v>2133</v>
      </c>
      <c r="B16" s="40" t="s">
        <v>47</v>
      </c>
      <c r="C16" s="40" t="s">
        <v>2134</v>
      </c>
      <c r="D16" s="40" t="s">
        <v>2135</v>
      </c>
      <c r="E16" s="40" t="s">
        <v>18</v>
      </c>
    </row>
    <row r="17" spans="1:8" ht="15" customHeight="1" x14ac:dyDescent="0.25">
      <c r="A17" s="15" t="s">
        <v>2136</v>
      </c>
      <c r="B17" s="15" t="s">
        <v>2137</v>
      </c>
      <c r="C17" s="58">
        <v>-199.48</v>
      </c>
      <c r="D17" s="15" t="s">
        <v>2138</v>
      </c>
      <c r="E17" s="15" t="s">
        <v>2139</v>
      </c>
    </row>
    <row r="18" spans="1:8" ht="15" customHeight="1" x14ac:dyDescent="0.25">
      <c r="A18" s="15" t="s">
        <v>2140</v>
      </c>
      <c r="B18" s="15" t="s">
        <v>2073</v>
      </c>
      <c r="C18" s="58">
        <v>-62.91</v>
      </c>
      <c r="D18" s="15" t="s">
        <v>63</v>
      </c>
      <c r="E18" s="15" t="s">
        <v>2141</v>
      </c>
    </row>
    <row r="19" spans="1:8" ht="15" customHeight="1" x14ac:dyDescent="0.25">
      <c r="A19" s="15" t="s">
        <v>2142</v>
      </c>
      <c r="B19" s="15" t="s">
        <v>1413</v>
      </c>
      <c r="C19" s="58">
        <v>-33.520000000000003</v>
      </c>
      <c r="D19" s="15" t="s">
        <v>63</v>
      </c>
      <c r="E19" s="15" t="s">
        <v>2143</v>
      </c>
    </row>
    <row r="20" spans="1:8" ht="15" customHeight="1" x14ac:dyDescent="0.25">
      <c r="A20" s="15" t="s">
        <v>2144</v>
      </c>
      <c r="B20" s="15" t="s">
        <v>2145</v>
      </c>
      <c r="C20" s="58">
        <v>-39.4</v>
      </c>
      <c r="D20" s="15" t="s">
        <v>2138</v>
      </c>
      <c r="E20" s="15" t="s">
        <v>2146</v>
      </c>
    </row>
    <row r="21" spans="1:8" ht="15" customHeight="1" x14ac:dyDescent="0.25">
      <c r="A21" s="15" t="s">
        <v>2147</v>
      </c>
      <c r="B21" s="15" t="s">
        <v>2148</v>
      </c>
      <c r="C21" s="58">
        <v>-55.3</v>
      </c>
      <c r="D21" s="15" t="s">
        <v>2138</v>
      </c>
      <c r="E21" s="15" t="s">
        <v>2149</v>
      </c>
    </row>
    <row r="22" spans="1:8" ht="15" customHeight="1" x14ac:dyDescent="0.25">
      <c r="A22" s="15" t="s">
        <v>2150</v>
      </c>
      <c r="B22" s="15" t="s">
        <v>2151</v>
      </c>
      <c r="C22" s="58">
        <v>-18.02</v>
      </c>
      <c r="D22" s="15" t="s">
        <v>2138</v>
      </c>
      <c r="E22" s="15" t="s">
        <v>2152</v>
      </c>
    </row>
    <row r="23" spans="1:8" ht="15" customHeight="1" x14ac:dyDescent="0.25">
      <c r="A23" s="15" t="s">
        <v>2153</v>
      </c>
      <c r="B23" s="15" t="s">
        <v>2154</v>
      </c>
      <c r="C23" s="58">
        <v>-21.29</v>
      </c>
      <c r="D23" s="15" t="s">
        <v>2138</v>
      </c>
      <c r="E23" s="15" t="s">
        <v>2155</v>
      </c>
    </row>
    <row r="24" spans="1:8" ht="15" customHeight="1" x14ac:dyDescent="0.25">
      <c r="A24" s="15" t="s">
        <v>2156</v>
      </c>
      <c r="B24" s="15" t="s">
        <v>2157</v>
      </c>
      <c r="C24" s="58">
        <v>-63.42</v>
      </c>
      <c r="D24" s="15" t="s">
        <v>2138</v>
      </c>
      <c r="E24" s="15" t="s">
        <v>2158</v>
      </c>
    </row>
    <row r="25" spans="1:8" ht="15" customHeight="1" x14ac:dyDescent="0.25">
      <c r="B25" s="51" t="s">
        <v>2096</v>
      </c>
      <c r="C25" s="52">
        <f>SUM(C17:C24)</f>
        <v>-493.34</v>
      </c>
    </row>
    <row r="27" spans="1:8" ht="15" customHeight="1" x14ac:dyDescent="0.25">
      <c r="A27" s="5" t="s">
        <v>2159</v>
      </c>
      <c r="B27" s="5"/>
      <c r="C27" s="5"/>
      <c r="D27" s="5"/>
      <c r="E27" s="5"/>
      <c r="F27" s="5"/>
      <c r="G27" s="5"/>
      <c r="H27" s="5"/>
    </row>
    <row r="28" spans="1:8" ht="15" customHeight="1" x14ac:dyDescent="0.25">
      <c r="A28" s="2" t="s">
        <v>2160</v>
      </c>
      <c r="B28" s="2"/>
      <c r="C28" s="2"/>
      <c r="D28" s="2"/>
      <c r="E28" s="2"/>
      <c r="F28" s="2"/>
      <c r="G28" s="2"/>
      <c r="H28" s="2"/>
    </row>
    <row r="29" spans="1:8" ht="15" customHeight="1" x14ac:dyDescent="0.25">
      <c r="A29" s="2" t="s">
        <v>2161</v>
      </c>
      <c r="B29" s="2"/>
      <c r="C29" s="2"/>
      <c r="D29" s="2"/>
      <c r="E29" s="2"/>
      <c r="F29" s="2"/>
      <c r="G29" s="2"/>
      <c r="H29" s="2"/>
    </row>
    <row r="30" spans="1:8" ht="15" customHeight="1" x14ac:dyDescent="0.25">
      <c r="A30" s="1" t="s">
        <v>2162</v>
      </c>
      <c r="B30" s="1"/>
      <c r="C30" s="1"/>
      <c r="D30" s="1"/>
      <c r="E30" s="1"/>
      <c r="F30" s="1"/>
      <c r="G30" s="1"/>
      <c r="H30" s="1"/>
    </row>
  </sheetData>
  <mergeCells count="7">
    <mergeCell ref="A29:H29"/>
    <mergeCell ref="A30:H30"/>
    <mergeCell ref="A4:J4"/>
    <mergeCell ref="A13:J13"/>
    <mergeCell ref="A15:H15"/>
    <mergeCell ref="A27:H27"/>
    <mergeCell ref="A28:H28"/>
  </mergeCells>
  <dataValidations count="1">
    <dataValidation type="list" sqref="H6:H11" xr:uid="{00000000-0002-0000-0400-000000000000}">
      <formula1>"Pending Review,Confirmed Good — Remove Charge,Not Returned / Keep Charge"</formula1>
      <formula2>0</formula2>
    </dataValidation>
  </dataValidations>
  <pageMargins left="0.75" right="0.75" top="1" bottom="1"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5"/>
  <sheetViews>
    <sheetView zoomScaleNormal="100" workbookViewId="0"/>
  </sheetViews>
  <sheetFormatPr defaultColWidth="8.7109375" defaultRowHeight="15" x14ac:dyDescent="0.25"/>
  <cols>
    <col min="1" max="1" width="34" customWidth="1"/>
    <col min="2" max="3" width="16" customWidth="1"/>
    <col min="4" max="4" width="52" customWidth="1"/>
    <col min="5" max="5" width="22" customWidth="1"/>
    <col min="6" max="6" width="20" customWidth="1"/>
    <col min="7" max="7" width="34" customWidth="1"/>
  </cols>
  <sheetData>
    <row r="1" spans="1:7" ht="19.5" customHeight="1" x14ac:dyDescent="0.3">
      <c r="A1" s="8" t="s">
        <v>2163</v>
      </c>
    </row>
    <row r="2" spans="1:7" ht="15" customHeight="1" x14ac:dyDescent="0.25">
      <c r="A2" s="24" t="s">
        <v>2164</v>
      </c>
    </row>
    <row r="4" spans="1:7" ht="15" customHeight="1" x14ac:dyDescent="0.25">
      <c r="A4" s="5" t="s">
        <v>2165</v>
      </c>
      <c r="B4" s="5"/>
      <c r="C4" s="5"/>
      <c r="D4" s="5"/>
      <c r="E4" s="5"/>
      <c r="F4" s="5"/>
      <c r="G4" s="5"/>
    </row>
    <row r="5" spans="1:7" ht="26.25" customHeight="1" x14ac:dyDescent="0.25">
      <c r="A5" s="40" t="s">
        <v>2166</v>
      </c>
      <c r="B5" s="40" t="s">
        <v>2167</v>
      </c>
      <c r="C5" s="40" t="s">
        <v>2103</v>
      </c>
      <c r="D5" s="40" t="s">
        <v>2168</v>
      </c>
      <c r="E5" s="40" t="s">
        <v>2169</v>
      </c>
      <c r="F5" s="40" t="s">
        <v>2170</v>
      </c>
      <c r="G5" s="40" t="s">
        <v>2171</v>
      </c>
    </row>
    <row r="6" spans="1:7" ht="15" customHeight="1" x14ac:dyDescent="0.25">
      <c r="A6" s="15" t="s">
        <v>2172</v>
      </c>
      <c r="B6" s="15">
        <v>516</v>
      </c>
      <c r="C6" s="15">
        <v>611</v>
      </c>
      <c r="D6" s="16">
        <v>16924.88</v>
      </c>
      <c r="E6" s="15">
        <v>516</v>
      </c>
      <c r="F6" s="16">
        <v>12876.41</v>
      </c>
      <c r="G6" s="15" t="s">
        <v>2173</v>
      </c>
    </row>
    <row r="7" spans="1:7" ht="15" customHeight="1" x14ac:dyDescent="0.25">
      <c r="A7" s="15" t="s">
        <v>2174</v>
      </c>
      <c r="B7" s="15">
        <v>46</v>
      </c>
      <c r="C7" s="15">
        <v>55</v>
      </c>
      <c r="D7" s="16">
        <v>1260.96</v>
      </c>
      <c r="E7" s="15">
        <v>46</v>
      </c>
      <c r="F7" s="16">
        <v>962.61</v>
      </c>
      <c r="G7" s="15" t="s">
        <v>2175</v>
      </c>
    </row>
    <row r="8" spans="1:7" ht="15" customHeight="1" x14ac:dyDescent="0.25">
      <c r="A8" s="15" t="s">
        <v>2176</v>
      </c>
      <c r="B8" s="15">
        <v>59</v>
      </c>
      <c r="C8" s="15">
        <v>65</v>
      </c>
      <c r="D8" s="16">
        <v>1609.47</v>
      </c>
      <c r="E8" s="15">
        <v>0</v>
      </c>
      <c r="F8" s="16">
        <v>0</v>
      </c>
      <c r="G8" s="30" t="s">
        <v>2177</v>
      </c>
    </row>
    <row r="9" spans="1:7" ht="15" customHeight="1" x14ac:dyDescent="0.25">
      <c r="A9" s="51" t="s">
        <v>2096</v>
      </c>
      <c r="B9" s="51">
        <v>621</v>
      </c>
      <c r="C9" s="51">
        <v>731</v>
      </c>
      <c r="D9" s="52">
        <v>19795.310000000001</v>
      </c>
      <c r="E9" s="59"/>
      <c r="F9" s="52">
        <v>13839.02</v>
      </c>
      <c r="G9" s="59"/>
    </row>
    <row r="10" spans="1:7" ht="15" customHeight="1" x14ac:dyDescent="0.25">
      <c r="A10" s="7" t="s">
        <v>2178</v>
      </c>
      <c r="B10" s="7"/>
      <c r="C10" s="7"/>
      <c r="D10" s="7"/>
      <c r="E10" s="7"/>
      <c r="F10" s="7"/>
      <c r="G10" s="7"/>
    </row>
    <row r="12" spans="1:7" ht="15" customHeight="1" x14ac:dyDescent="0.25">
      <c r="A12" s="5" t="s">
        <v>2179</v>
      </c>
      <c r="B12" s="5"/>
      <c r="C12" s="5"/>
      <c r="D12" s="5"/>
      <c r="E12" s="5"/>
      <c r="F12" s="5"/>
      <c r="G12" s="5"/>
    </row>
    <row r="13" spans="1:7" ht="26.25" customHeight="1" x14ac:dyDescent="0.25">
      <c r="A13" s="40" t="s">
        <v>47</v>
      </c>
      <c r="B13" s="40" t="s">
        <v>257</v>
      </c>
      <c r="C13" s="40" t="s">
        <v>2180</v>
      </c>
      <c r="D13" s="40" t="s">
        <v>2181</v>
      </c>
      <c r="E13" s="40" t="s">
        <v>2182</v>
      </c>
      <c r="F13" s="40" t="s">
        <v>2183</v>
      </c>
      <c r="G13" s="40" t="s">
        <v>79</v>
      </c>
    </row>
    <row r="14" spans="1:7" ht="15" customHeight="1" x14ac:dyDescent="0.25">
      <c r="A14" s="15" t="s">
        <v>2184</v>
      </c>
      <c r="B14" s="15" t="s">
        <v>2185</v>
      </c>
      <c r="C14" s="16">
        <v>20.9</v>
      </c>
      <c r="D14" s="60" t="s">
        <v>2186</v>
      </c>
      <c r="E14" s="15" t="s">
        <v>2187</v>
      </c>
      <c r="F14" s="16">
        <v>0</v>
      </c>
      <c r="G14" s="26" t="s">
        <v>83</v>
      </c>
    </row>
    <row r="15" spans="1:7" ht="15" customHeight="1" x14ac:dyDescent="0.25">
      <c r="A15" s="15" t="s">
        <v>2188</v>
      </c>
      <c r="B15" s="15" t="s">
        <v>2189</v>
      </c>
      <c r="C15" s="16">
        <v>19.7</v>
      </c>
      <c r="D15" s="60" t="s">
        <v>2190</v>
      </c>
      <c r="E15" s="15" t="s">
        <v>2187</v>
      </c>
      <c r="F15" s="16">
        <v>0</v>
      </c>
      <c r="G15" s="26" t="s">
        <v>83</v>
      </c>
    </row>
    <row r="16" spans="1:7" ht="15" customHeight="1" x14ac:dyDescent="0.25">
      <c r="A16" s="15" t="s">
        <v>2191</v>
      </c>
      <c r="B16" s="15" t="s">
        <v>2192</v>
      </c>
      <c r="C16" s="16">
        <v>17.7</v>
      </c>
      <c r="D16" s="60" t="s">
        <v>2193</v>
      </c>
      <c r="E16" s="15" t="s">
        <v>2187</v>
      </c>
      <c r="F16" s="16">
        <v>0</v>
      </c>
      <c r="G16" s="26" t="s">
        <v>83</v>
      </c>
    </row>
    <row r="17" spans="1:7" ht="15" customHeight="1" x14ac:dyDescent="0.25">
      <c r="A17" s="15" t="s">
        <v>2194</v>
      </c>
      <c r="B17" s="15" t="s">
        <v>2195</v>
      </c>
      <c r="C17" s="16">
        <v>14.9</v>
      </c>
      <c r="D17" s="60" t="s">
        <v>2196</v>
      </c>
      <c r="E17" s="15" t="s">
        <v>2187</v>
      </c>
      <c r="F17" s="16">
        <v>0</v>
      </c>
      <c r="G17" s="26" t="s">
        <v>83</v>
      </c>
    </row>
    <row r="18" spans="1:7" ht="15" customHeight="1" x14ac:dyDescent="0.25">
      <c r="A18" s="15" t="s">
        <v>2197</v>
      </c>
      <c r="B18" s="15" t="s">
        <v>2198</v>
      </c>
      <c r="C18" s="16">
        <v>27.9</v>
      </c>
      <c r="D18" s="60" t="s">
        <v>2190</v>
      </c>
      <c r="E18" s="15" t="s">
        <v>2187</v>
      </c>
      <c r="F18" s="16">
        <v>0</v>
      </c>
      <c r="G18" s="26" t="s">
        <v>83</v>
      </c>
    </row>
    <row r="19" spans="1:7" ht="15" customHeight="1" x14ac:dyDescent="0.25">
      <c r="A19" s="15" t="s">
        <v>2199</v>
      </c>
      <c r="B19" s="15" t="s">
        <v>2200</v>
      </c>
      <c r="C19" s="16">
        <v>17.7</v>
      </c>
      <c r="D19" s="60" t="s">
        <v>2201</v>
      </c>
      <c r="E19" s="15" t="s">
        <v>2187</v>
      </c>
      <c r="F19" s="16">
        <v>0</v>
      </c>
      <c r="G19" s="26" t="s">
        <v>83</v>
      </c>
    </row>
    <row r="20" spans="1:7" ht="15" customHeight="1" x14ac:dyDescent="0.25">
      <c r="A20" s="15" t="s">
        <v>2202</v>
      </c>
      <c r="B20" s="15" t="s">
        <v>2203</v>
      </c>
      <c r="C20" s="16">
        <v>23.7</v>
      </c>
      <c r="D20" s="60" t="s">
        <v>2201</v>
      </c>
      <c r="E20" s="15" t="s">
        <v>2187</v>
      </c>
      <c r="F20" s="16">
        <v>0</v>
      </c>
      <c r="G20" s="26" t="s">
        <v>83</v>
      </c>
    </row>
    <row r="21" spans="1:7" ht="15" customHeight="1" x14ac:dyDescent="0.25">
      <c r="A21" s="15" t="s">
        <v>2204</v>
      </c>
      <c r="B21" s="15" t="s">
        <v>2205</v>
      </c>
      <c r="C21" s="16">
        <v>17.7</v>
      </c>
      <c r="D21" s="60" t="s">
        <v>2201</v>
      </c>
      <c r="E21" s="15" t="s">
        <v>2187</v>
      </c>
      <c r="F21" s="16">
        <v>0</v>
      </c>
      <c r="G21" s="26" t="s">
        <v>83</v>
      </c>
    </row>
    <row r="22" spans="1:7" ht="15" customHeight="1" x14ac:dyDescent="0.25">
      <c r="A22" s="15" t="s">
        <v>2206</v>
      </c>
      <c r="B22" s="15" t="s">
        <v>2207</v>
      </c>
      <c r="C22" s="16">
        <v>14.9</v>
      </c>
      <c r="D22" s="60" t="s">
        <v>2208</v>
      </c>
      <c r="E22" s="15" t="s">
        <v>2187</v>
      </c>
      <c r="F22" s="16">
        <v>0</v>
      </c>
      <c r="G22" s="26" t="s">
        <v>83</v>
      </c>
    </row>
    <row r="23" spans="1:7" ht="15" customHeight="1" x14ac:dyDescent="0.25">
      <c r="A23" s="15" t="s">
        <v>2209</v>
      </c>
      <c r="B23" s="15" t="s">
        <v>2210</v>
      </c>
      <c r="C23" s="16">
        <v>20.7</v>
      </c>
      <c r="D23" s="60" t="s">
        <v>2196</v>
      </c>
      <c r="E23" s="15" t="s">
        <v>2187</v>
      </c>
      <c r="F23" s="16">
        <v>0</v>
      </c>
      <c r="G23" s="26" t="s">
        <v>83</v>
      </c>
    </row>
    <row r="24" spans="1:7" ht="15" customHeight="1" x14ac:dyDescent="0.25">
      <c r="A24" s="15" t="s">
        <v>2211</v>
      </c>
      <c r="B24" s="15" t="s">
        <v>2212</v>
      </c>
      <c r="C24" s="16">
        <v>38.4</v>
      </c>
      <c r="D24" s="60" t="s">
        <v>2213</v>
      </c>
      <c r="E24" s="15" t="s">
        <v>2187</v>
      </c>
      <c r="F24" s="16">
        <v>0</v>
      </c>
      <c r="G24" s="26" t="s">
        <v>83</v>
      </c>
    </row>
    <row r="25" spans="1:7" ht="15" customHeight="1" x14ac:dyDescent="0.25">
      <c r="A25" s="15" t="s">
        <v>2214</v>
      </c>
      <c r="B25" s="15" t="s">
        <v>2215</v>
      </c>
      <c r="C25" s="16">
        <v>18.899999999999999</v>
      </c>
      <c r="D25" s="60" t="s">
        <v>2201</v>
      </c>
      <c r="E25" s="15" t="s">
        <v>2187</v>
      </c>
      <c r="F25" s="16">
        <v>0</v>
      </c>
      <c r="G25" s="26" t="s">
        <v>83</v>
      </c>
    </row>
    <row r="26" spans="1:7" ht="15" customHeight="1" x14ac:dyDescent="0.25">
      <c r="A26" s="15" t="s">
        <v>2216</v>
      </c>
      <c r="B26" s="15" t="s">
        <v>2217</v>
      </c>
      <c r="C26" s="16">
        <v>17.7</v>
      </c>
      <c r="D26" s="60" t="s">
        <v>2196</v>
      </c>
      <c r="E26" s="15" t="s">
        <v>2187</v>
      </c>
      <c r="F26" s="16">
        <v>0</v>
      </c>
      <c r="G26" s="26" t="s">
        <v>83</v>
      </c>
    </row>
    <row r="27" spans="1:7" ht="15" customHeight="1" x14ac:dyDescent="0.25">
      <c r="A27" s="15" t="s">
        <v>2218</v>
      </c>
      <c r="B27" s="15" t="s">
        <v>2219</v>
      </c>
      <c r="C27" s="16">
        <v>43.1</v>
      </c>
      <c r="D27" s="60" t="s">
        <v>2220</v>
      </c>
      <c r="E27" s="15" t="s">
        <v>2187</v>
      </c>
      <c r="F27" s="16">
        <v>0</v>
      </c>
      <c r="G27" s="26" t="s">
        <v>83</v>
      </c>
    </row>
    <row r="28" spans="1:7" ht="15" customHeight="1" x14ac:dyDescent="0.25">
      <c r="A28" s="15" t="s">
        <v>2221</v>
      </c>
      <c r="B28" s="15" t="s">
        <v>2222</v>
      </c>
      <c r="C28" s="16">
        <v>17.7</v>
      </c>
      <c r="D28" s="60" t="s">
        <v>2201</v>
      </c>
      <c r="E28" s="15" t="s">
        <v>2187</v>
      </c>
      <c r="F28" s="16">
        <v>0</v>
      </c>
      <c r="G28" s="26" t="s">
        <v>83</v>
      </c>
    </row>
    <row r="29" spans="1:7" ht="15" customHeight="1" x14ac:dyDescent="0.25">
      <c r="A29" s="15" t="s">
        <v>2223</v>
      </c>
      <c r="B29" s="15" t="s">
        <v>2224</v>
      </c>
      <c r="C29" s="16">
        <v>18.899999999999999</v>
      </c>
      <c r="D29" s="60" t="s">
        <v>2220</v>
      </c>
      <c r="E29" s="15" t="s">
        <v>2187</v>
      </c>
      <c r="F29" s="16">
        <v>0</v>
      </c>
      <c r="G29" s="26" t="s">
        <v>83</v>
      </c>
    </row>
    <row r="30" spans="1:7" ht="15" customHeight="1" x14ac:dyDescent="0.25">
      <c r="A30" s="15" t="s">
        <v>2225</v>
      </c>
      <c r="B30" s="15" t="s">
        <v>2226</v>
      </c>
      <c r="C30" s="16">
        <v>7.4</v>
      </c>
      <c r="D30" s="60" t="s">
        <v>2208</v>
      </c>
      <c r="E30" s="15" t="s">
        <v>2187</v>
      </c>
      <c r="F30" s="16">
        <v>0</v>
      </c>
      <c r="G30" s="26" t="s">
        <v>83</v>
      </c>
    </row>
    <row r="31" spans="1:7" ht="15" customHeight="1" x14ac:dyDescent="0.25">
      <c r="A31" s="15" t="s">
        <v>2227</v>
      </c>
      <c r="B31" s="15" t="s">
        <v>2228</v>
      </c>
      <c r="C31" s="16">
        <v>17.5</v>
      </c>
      <c r="D31" s="60" t="s">
        <v>2201</v>
      </c>
      <c r="E31" s="15" t="s">
        <v>2187</v>
      </c>
      <c r="F31" s="16">
        <v>0</v>
      </c>
      <c r="G31" s="26" t="s">
        <v>83</v>
      </c>
    </row>
    <row r="32" spans="1:7" ht="15" customHeight="1" x14ac:dyDescent="0.25">
      <c r="A32" s="15" t="s">
        <v>2229</v>
      </c>
      <c r="B32" s="15" t="s">
        <v>2230</v>
      </c>
      <c r="C32" s="16">
        <v>33.200000000000003</v>
      </c>
      <c r="D32" s="60" t="s">
        <v>2196</v>
      </c>
      <c r="E32" s="15" t="s">
        <v>2187</v>
      </c>
      <c r="F32" s="16">
        <v>0</v>
      </c>
      <c r="G32" s="26" t="s">
        <v>83</v>
      </c>
    </row>
    <row r="33" spans="1:7" ht="15" customHeight="1" x14ac:dyDescent="0.25">
      <c r="A33" s="15" t="s">
        <v>2231</v>
      </c>
      <c r="B33" s="15" t="s">
        <v>2232</v>
      </c>
      <c r="C33" s="16">
        <v>29.8</v>
      </c>
      <c r="D33" s="60" t="s">
        <v>2193</v>
      </c>
      <c r="E33" s="15" t="s">
        <v>2187</v>
      </c>
      <c r="F33" s="16">
        <v>0</v>
      </c>
      <c r="G33" s="26" t="s">
        <v>83</v>
      </c>
    </row>
    <row r="34" spans="1:7" ht="15" customHeight="1" x14ac:dyDescent="0.25">
      <c r="A34" s="15" t="s">
        <v>2233</v>
      </c>
      <c r="B34" s="15" t="s">
        <v>2234</v>
      </c>
      <c r="C34" s="16">
        <v>36</v>
      </c>
      <c r="D34" s="60" t="s">
        <v>2190</v>
      </c>
      <c r="E34" s="15" t="s">
        <v>2187</v>
      </c>
      <c r="F34" s="16">
        <v>0</v>
      </c>
      <c r="G34" s="26" t="s">
        <v>83</v>
      </c>
    </row>
    <row r="35" spans="1:7" ht="15" customHeight="1" x14ac:dyDescent="0.25">
      <c r="A35" s="15" t="s">
        <v>2235</v>
      </c>
      <c r="B35" s="15" t="s">
        <v>2236</v>
      </c>
      <c r="C35" s="16">
        <v>17.899999999999999</v>
      </c>
      <c r="D35" s="60" t="s">
        <v>2237</v>
      </c>
      <c r="E35" s="15" t="s">
        <v>2187</v>
      </c>
      <c r="F35" s="16">
        <v>0</v>
      </c>
      <c r="G35" s="26" t="s">
        <v>83</v>
      </c>
    </row>
    <row r="36" spans="1:7" ht="15" customHeight="1" x14ac:dyDescent="0.25">
      <c r="A36" s="15" t="s">
        <v>2238</v>
      </c>
      <c r="B36" s="15" t="s">
        <v>2239</v>
      </c>
      <c r="C36" s="16">
        <v>14.9</v>
      </c>
      <c r="D36" s="60" t="s">
        <v>2220</v>
      </c>
      <c r="E36" s="15" t="s">
        <v>2187</v>
      </c>
      <c r="F36" s="16">
        <v>0</v>
      </c>
      <c r="G36" s="26" t="s">
        <v>83</v>
      </c>
    </row>
    <row r="37" spans="1:7" ht="15" customHeight="1" x14ac:dyDescent="0.25">
      <c r="A37" s="15" t="s">
        <v>2240</v>
      </c>
      <c r="B37" s="15" t="s">
        <v>2241</v>
      </c>
      <c r="C37" s="16">
        <v>20.9</v>
      </c>
      <c r="D37" s="60" t="s">
        <v>2242</v>
      </c>
      <c r="E37" s="15" t="s">
        <v>2187</v>
      </c>
      <c r="F37" s="16">
        <v>0</v>
      </c>
      <c r="G37" s="26" t="s">
        <v>83</v>
      </c>
    </row>
    <row r="38" spans="1:7" ht="15" customHeight="1" x14ac:dyDescent="0.25">
      <c r="A38" s="15" t="s">
        <v>2243</v>
      </c>
      <c r="B38" s="15" t="s">
        <v>2244</v>
      </c>
      <c r="C38" s="16">
        <v>48.4</v>
      </c>
      <c r="D38" s="60" t="s">
        <v>2201</v>
      </c>
      <c r="E38" s="15" t="s">
        <v>2187</v>
      </c>
      <c r="F38" s="16">
        <v>0</v>
      </c>
      <c r="G38" s="26" t="s">
        <v>83</v>
      </c>
    </row>
    <row r="39" spans="1:7" ht="15" customHeight="1" x14ac:dyDescent="0.25">
      <c r="A39" s="15" t="s">
        <v>2245</v>
      </c>
      <c r="B39" s="15" t="s">
        <v>2246</v>
      </c>
      <c r="C39" s="16">
        <v>17.7</v>
      </c>
      <c r="D39" s="60" t="s">
        <v>2201</v>
      </c>
      <c r="E39" s="15" t="s">
        <v>2187</v>
      </c>
      <c r="F39" s="16">
        <v>0</v>
      </c>
      <c r="G39" s="26" t="s">
        <v>83</v>
      </c>
    </row>
    <row r="40" spans="1:7" ht="15" customHeight="1" x14ac:dyDescent="0.25">
      <c r="A40" s="15" t="s">
        <v>2247</v>
      </c>
      <c r="B40" s="15" t="s">
        <v>2248</v>
      </c>
      <c r="C40" s="16">
        <v>42.6</v>
      </c>
      <c r="D40" s="60" t="s">
        <v>2213</v>
      </c>
      <c r="E40" s="15" t="s">
        <v>2187</v>
      </c>
      <c r="F40" s="16">
        <v>0</v>
      </c>
      <c r="G40" s="26" t="s">
        <v>83</v>
      </c>
    </row>
    <row r="41" spans="1:7" ht="15" customHeight="1" x14ac:dyDescent="0.25">
      <c r="A41" s="15" t="s">
        <v>2249</v>
      </c>
      <c r="B41" s="15" t="s">
        <v>2250</v>
      </c>
      <c r="C41" s="16">
        <v>20.8</v>
      </c>
      <c r="D41" s="60" t="s">
        <v>2196</v>
      </c>
      <c r="E41" s="15" t="s">
        <v>2187</v>
      </c>
      <c r="F41" s="16">
        <v>0</v>
      </c>
      <c r="G41" s="26" t="s">
        <v>83</v>
      </c>
    </row>
    <row r="42" spans="1:7" ht="15" customHeight="1" x14ac:dyDescent="0.25">
      <c r="A42" s="15" t="s">
        <v>2251</v>
      </c>
      <c r="B42" s="15" t="s">
        <v>2252</v>
      </c>
      <c r="C42" s="16">
        <v>57.13</v>
      </c>
      <c r="D42" s="60" t="s">
        <v>2213</v>
      </c>
      <c r="E42" s="15" t="s">
        <v>2187</v>
      </c>
      <c r="F42" s="16">
        <v>0</v>
      </c>
      <c r="G42" s="26" t="s">
        <v>83</v>
      </c>
    </row>
    <row r="43" spans="1:7" ht="15" customHeight="1" x14ac:dyDescent="0.25">
      <c r="A43" s="15" t="s">
        <v>2253</v>
      </c>
      <c r="B43" s="15" t="s">
        <v>2254</v>
      </c>
      <c r="C43" s="16">
        <v>27.9</v>
      </c>
      <c r="D43" s="60" t="s">
        <v>2193</v>
      </c>
      <c r="E43" s="15" t="s">
        <v>2187</v>
      </c>
      <c r="F43" s="16">
        <v>0</v>
      </c>
      <c r="G43" s="26" t="s">
        <v>83</v>
      </c>
    </row>
    <row r="44" spans="1:7" ht="15" customHeight="1" x14ac:dyDescent="0.25">
      <c r="A44" s="15" t="s">
        <v>2255</v>
      </c>
      <c r="B44" s="15" t="s">
        <v>2256</v>
      </c>
      <c r="C44" s="16">
        <v>14.9</v>
      </c>
      <c r="D44" s="60" t="s">
        <v>2201</v>
      </c>
      <c r="E44" s="15" t="s">
        <v>2187</v>
      </c>
      <c r="F44" s="16">
        <v>0</v>
      </c>
      <c r="G44" s="26" t="s">
        <v>83</v>
      </c>
    </row>
    <row r="45" spans="1:7" ht="15" customHeight="1" x14ac:dyDescent="0.25">
      <c r="A45" s="15" t="s">
        <v>2257</v>
      </c>
      <c r="B45" s="15" t="s">
        <v>2258</v>
      </c>
      <c r="C45" s="16">
        <v>20.7</v>
      </c>
      <c r="D45" s="60" t="s">
        <v>2259</v>
      </c>
      <c r="E45" s="15" t="s">
        <v>2187</v>
      </c>
      <c r="F45" s="16">
        <v>0</v>
      </c>
      <c r="G45" s="26" t="s">
        <v>83</v>
      </c>
    </row>
    <row r="46" spans="1:7" ht="15" customHeight="1" x14ac:dyDescent="0.25">
      <c r="A46" s="15" t="s">
        <v>2260</v>
      </c>
      <c r="B46" s="15" t="s">
        <v>2261</v>
      </c>
      <c r="C46" s="16">
        <v>58.7</v>
      </c>
      <c r="D46" s="60" t="s">
        <v>2201</v>
      </c>
      <c r="E46" s="15" t="s">
        <v>2187</v>
      </c>
      <c r="F46" s="16">
        <v>0</v>
      </c>
      <c r="G46" s="26" t="s">
        <v>83</v>
      </c>
    </row>
    <row r="47" spans="1:7" ht="15" customHeight="1" x14ac:dyDescent="0.25">
      <c r="A47" s="15" t="s">
        <v>2262</v>
      </c>
      <c r="B47" s="15" t="s">
        <v>2263</v>
      </c>
      <c r="C47" s="16">
        <v>8.5</v>
      </c>
      <c r="D47" s="60" t="s">
        <v>2220</v>
      </c>
      <c r="E47" s="15" t="s">
        <v>2187</v>
      </c>
      <c r="F47" s="16">
        <v>0</v>
      </c>
      <c r="G47" s="26" t="s">
        <v>83</v>
      </c>
    </row>
    <row r="48" spans="1:7" ht="15" customHeight="1" x14ac:dyDescent="0.25">
      <c r="A48" s="15" t="s">
        <v>2264</v>
      </c>
      <c r="B48" s="15" t="s">
        <v>2265</v>
      </c>
      <c r="C48" s="16">
        <v>20.9</v>
      </c>
      <c r="D48" s="60" t="s">
        <v>2266</v>
      </c>
      <c r="E48" s="15" t="s">
        <v>2187</v>
      </c>
      <c r="F48" s="16">
        <v>0</v>
      </c>
      <c r="G48" s="26" t="s">
        <v>83</v>
      </c>
    </row>
    <row r="49" spans="1:7" ht="15" customHeight="1" x14ac:dyDescent="0.25">
      <c r="A49" s="15" t="s">
        <v>2267</v>
      </c>
      <c r="B49" s="15" t="s">
        <v>2268</v>
      </c>
      <c r="C49" s="16">
        <v>19.84</v>
      </c>
      <c r="D49" s="60" t="s">
        <v>2220</v>
      </c>
      <c r="E49" s="15" t="s">
        <v>2187</v>
      </c>
      <c r="F49" s="16">
        <v>0</v>
      </c>
      <c r="G49" s="26" t="s">
        <v>83</v>
      </c>
    </row>
    <row r="50" spans="1:7" ht="15" customHeight="1" x14ac:dyDescent="0.25">
      <c r="A50" s="15" t="s">
        <v>2269</v>
      </c>
      <c r="B50" s="15" t="s">
        <v>2270</v>
      </c>
      <c r="C50" s="16">
        <v>36</v>
      </c>
      <c r="D50" s="60" t="s">
        <v>2220</v>
      </c>
      <c r="E50" s="15" t="s">
        <v>2187</v>
      </c>
      <c r="F50" s="16">
        <v>0</v>
      </c>
      <c r="G50" s="26" t="s">
        <v>83</v>
      </c>
    </row>
    <row r="51" spans="1:7" ht="15" customHeight="1" x14ac:dyDescent="0.25">
      <c r="A51" s="15" t="s">
        <v>2271</v>
      </c>
      <c r="B51" s="15" t="s">
        <v>2272</v>
      </c>
      <c r="C51" s="16">
        <v>24.2</v>
      </c>
      <c r="D51" s="60" t="s">
        <v>2196</v>
      </c>
      <c r="E51" s="15" t="s">
        <v>2187</v>
      </c>
      <c r="F51" s="16">
        <v>0</v>
      </c>
      <c r="G51" s="26" t="s">
        <v>83</v>
      </c>
    </row>
    <row r="52" spans="1:7" ht="15" customHeight="1" x14ac:dyDescent="0.25">
      <c r="A52" s="15" t="s">
        <v>2273</v>
      </c>
      <c r="B52" s="15" t="s">
        <v>2274</v>
      </c>
      <c r="C52" s="16">
        <v>17.7</v>
      </c>
      <c r="D52" s="60" t="s">
        <v>2201</v>
      </c>
      <c r="E52" s="15" t="s">
        <v>2187</v>
      </c>
      <c r="F52" s="16">
        <v>0</v>
      </c>
      <c r="G52" s="26" t="s">
        <v>83</v>
      </c>
    </row>
    <row r="53" spans="1:7" ht="15" customHeight="1" x14ac:dyDescent="0.25">
      <c r="A53" s="15" t="s">
        <v>2275</v>
      </c>
      <c r="B53" s="15" t="s">
        <v>2276</v>
      </c>
      <c r="C53" s="16">
        <v>14.9</v>
      </c>
      <c r="D53" s="60" t="s">
        <v>2266</v>
      </c>
      <c r="E53" s="15" t="s">
        <v>2187</v>
      </c>
      <c r="F53" s="16">
        <v>0</v>
      </c>
      <c r="G53" s="26" t="s">
        <v>83</v>
      </c>
    </row>
    <row r="54" spans="1:7" ht="15" customHeight="1" x14ac:dyDescent="0.25">
      <c r="A54" s="15" t="s">
        <v>2277</v>
      </c>
      <c r="B54" s="15" t="s">
        <v>2278</v>
      </c>
      <c r="C54" s="16">
        <v>87.9</v>
      </c>
      <c r="D54" s="60" t="s">
        <v>2196</v>
      </c>
      <c r="E54" s="15" t="s">
        <v>2187</v>
      </c>
      <c r="F54" s="16">
        <v>0</v>
      </c>
      <c r="G54" s="26" t="s">
        <v>83</v>
      </c>
    </row>
    <row r="55" spans="1:7" ht="15" customHeight="1" x14ac:dyDescent="0.25">
      <c r="A55" s="15" t="s">
        <v>2279</v>
      </c>
      <c r="B55" s="15" t="s">
        <v>1621</v>
      </c>
      <c r="C55" s="16">
        <v>18.3</v>
      </c>
      <c r="D55" s="60" t="s">
        <v>2201</v>
      </c>
      <c r="E55" s="15" t="s">
        <v>2187</v>
      </c>
      <c r="F55" s="16">
        <v>0</v>
      </c>
      <c r="G55" s="26" t="s">
        <v>83</v>
      </c>
    </row>
    <row r="56" spans="1:7" ht="15" customHeight="1" x14ac:dyDescent="0.25">
      <c r="A56" s="15" t="s">
        <v>2280</v>
      </c>
      <c r="B56" s="15" t="s">
        <v>2281</v>
      </c>
      <c r="C56" s="16">
        <v>27.9</v>
      </c>
      <c r="D56" s="60" t="s">
        <v>2201</v>
      </c>
      <c r="E56" s="15" t="s">
        <v>2187</v>
      </c>
      <c r="F56" s="16">
        <v>0</v>
      </c>
      <c r="G56" s="26" t="s">
        <v>83</v>
      </c>
    </row>
    <row r="57" spans="1:7" ht="15" customHeight="1" x14ac:dyDescent="0.25">
      <c r="A57" s="15" t="s">
        <v>2282</v>
      </c>
      <c r="B57" s="15" t="s">
        <v>2283</v>
      </c>
      <c r="C57" s="16">
        <v>14.9</v>
      </c>
      <c r="D57" s="60" t="s">
        <v>2266</v>
      </c>
      <c r="E57" s="15" t="s">
        <v>2187</v>
      </c>
      <c r="F57" s="16">
        <v>0</v>
      </c>
      <c r="G57" s="26" t="s">
        <v>83</v>
      </c>
    </row>
    <row r="58" spans="1:7" ht="15" customHeight="1" x14ac:dyDescent="0.25">
      <c r="A58" s="15" t="s">
        <v>2284</v>
      </c>
      <c r="B58" s="15" t="s">
        <v>2285</v>
      </c>
      <c r="C58" s="16">
        <v>27.9</v>
      </c>
      <c r="D58" s="60" t="s">
        <v>2190</v>
      </c>
      <c r="E58" s="15" t="s">
        <v>2187</v>
      </c>
      <c r="F58" s="16">
        <v>0</v>
      </c>
      <c r="G58" s="26" t="s">
        <v>83</v>
      </c>
    </row>
    <row r="59" spans="1:7" ht="15" customHeight="1" x14ac:dyDescent="0.25">
      <c r="A59" s="15" t="s">
        <v>2286</v>
      </c>
      <c r="B59" s="15" t="s">
        <v>2287</v>
      </c>
      <c r="C59" s="16">
        <v>27.3</v>
      </c>
      <c r="D59" s="60" t="s">
        <v>2196</v>
      </c>
      <c r="E59" s="15" t="s">
        <v>2187</v>
      </c>
      <c r="F59" s="16">
        <v>0</v>
      </c>
      <c r="G59" s="26" t="s">
        <v>83</v>
      </c>
    </row>
    <row r="60" spans="1:7" ht="15" customHeight="1" x14ac:dyDescent="0.25">
      <c r="A60" s="15" t="s">
        <v>2288</v>
      </c>
      <c r="B60" s="15" t="s">
        <v>2289</v>
      </c>
      <c r="C60" s="16">
        <v>17.7</v>
      </c>
      <c r="D60" s="60" t="s">
        <v>2201</v>
      </c>
      <c r="E60" s="15" t="s">
        <v>2187</v>
      </c>
      <c r="F60" s="16">
        <v>0</v>
      </c>
      <c r="G60" s="26" t="s">
        <v>83</v>
      </c>
    </row>
    <row r="61" spans="1:7" ht="15" customHeight="1" x14ac:dyDescent="0.25">
      <c r="A61" s="15" t="s">
        <v>2290</v>
      </c>
      <c r="B61" s="15" t="s">
        <v>2291</v>
      </c>
      <c r="C61" s="16">
        <v>57.3</v>
      </c>
      <c r="D61" s="60" t="s">
        <v>2201</v>
      </c>
      <c r="E61" s="15" t="s">
        <v>2187</v>
      </c>
      <c r="F61" s="16">
        <v>0</v>
      </c>
      <c r="G61" s="26" t="s">
        <v>83</v>
      </c>
    </row>
    <row r="62" spans="1:7" ht="15" customHeight="1" x14ac:dyDescent="0.25">
      <c r="A62" s="15" t="s">
        <v>2292</v>
      </c>
      <c r="B62" s="15" t="s">
        <v>2293</v>
      </c>
      <c r="C62" s="16">
        <v>17.7</v>
      </c>
      <c r="D62" s="60" t="s">
        <v>2196</v>
      </c>
      <c r="E62" s="15" t="s">
        <v>2187</v>
      </c>
      <c r="F62" s="16">
        <v>0</v>
      </c>
      <c r="G62" s="26" t="s">
        <v>83</v>
      </c>
    </row>
    <row r="63" spans="1:7" ht="15" customHeight="1" x14ac:dyDescent="0.25">
      <c r="A63" s="15" t="s">
        <v>2294</v>
      </c>
      <c r="B63" s="15" t="s">
        <v>2295</v>
      </c>
      <c r="C63" s="16">
        <v>41.3</v>
      </c>
      <c r="D63" s="60" t="s">
        <v>2196</v>
      </c>
      <c r="E63" s="15" t="s">
        <v>2187</v>
      </c>
      <c r="F63" s="16">
        <v>0</v>
      </c>
      <c r="G63" s="26" t="s">
        <v>83</v>
      </c>
    </row>
    <row r="64" spans="1:7" ht="15" customHeight="1" x14ac:dyDescent="0.25">
      <c r="A64" s="15" t="s">
        <v>2296</v>
      </c>
      <c r="B64" s="15" t="s">
        <v>2297</v>
      </c>
      <c r="C64" s="16">
        <v>14.9</v>
      </c>
      <c r="D64" s="60" t="s">
        <v>2193</v>
      </c>
      <c r="E64" s="15" t="s">
        <v>2187</v>
      </c>
      <c r="F64" s="16">
        <v>0</v>
      </c>
      <c r="G64" s="26" t="s">
        <v>83</v>
      </c>
    </row>
    <row r="65" spans="1:7" ht="15" customHeight="1" x14ac:dyDescent="0.25">
      <c r="A65" s="15" t="s">
        <v>2298</v>
      </c>
      <c r="B65" s="15" t="s">
        <v>2299</v>
      </c>
      <c r="C65" s="16">
        <v>79.900000000000006</v>
      </c>
      <c r="D65" s="60" t="s">
        <v>2196</v>
      </c>
      <c r="E65" s="15" t="s">
        <v>2187</v>
      </c>
      <c r="F65" s="16">
        <v>0</v>
      </c>
      <c r="G65" s="26" t="s">
        <v>83</v>
      </c>
    </row>
    <row r="66" spans="1:7" ht="15" customHeight="1" x14ac:dyDescent="0.25">
      <c r="A66" s="15" t="s">
        <v>2300</v>
      </c>
      <c r="B66" s="15" t="s">
        <v>2301</v>
      </c>
      <c r="C66" s="16">
        <v>27.5</v>
      </c>
      <c r="D66" s="60" t="s">
        <v>2220</v>
      </c>
      <c r="E66" s="15" t="s">
        <v>2187</v>
      </c>
      <c r="F66" s="16">
        <v>0</v>
      </c>
      <c r="G66" s="26" t="s">
        <v>83</v>
      </c>
    </row>
    <row r="67" spans="1:7" ht="15" customHeight="1" x14ac:dyDescent="0.25">
      <c r="A67" s="15" t="s">
        <v>2302</v>
      </c>
      <c r="B67" s="15" t="s">
        <v>2303</v>
      </c>
      <c r="C67" s="16">
        <v>38.9</v>
      </c>
      <c r="D67" s="60" t="s">
        <v>2190</v>
      </c>
      <c r="E67" s="15" t="s">
        <v>2187</v>
      </c>
      <c r="F67" s="16">
        <v>0</v>
      </c>
      <c r="G67" s="26" t="s">
        <v>83</v>
      </c>
    </row>
    <row r="68" spans="1:7" ht="15" customHeight="1" x14ac:dyDescent="0.25">
      <c r="A68" s="15" t="s">
        <v>2304</v>
      </c>
      <c r="B68" s="15" t="s">
        <v>1880</v>
      </c>
      <c r="C68" s="16">
        <v>59.9</v>
      </c>
      <c r="D68" s="60" t="s">
        <v>2220</v>
      </c>
      <c r="E68" s="15" t="s">
        <v>2187</v>
      </c>
      <c r="F68" s="16">
        <v>0</v>
      </c>
      <c r="G68" s="26" t="s">
        <v>83</v>
      </c>
    </row>
    <row r="69" spans="1:7" ht="15" customHeight="1" x14ac:dyDescent="0.25">
      <c r="A69" s="15" t="s">
        <v>2305</v>
      </c>
      <c r="B69" s="15" t="s">
        <v>2306</v>
      </c>
      <c r="C69" s="16">
        <v>17.7</v>
      </c>
      <c r="D69" s="60" t="s">
        <v>2201</v>
      </c>
      <c r="E69" s="15" t="s">
        <v>2187</v>
      </c>
      <c r="F69" s="16">
        <v>0</v>
      </c>
      <c r="G69" s="26" t="s">
        <v>83</v>
      </c>
    </row>
    <row r="70" spans="1:7" ht="15" customHeight="1" x14ac:dyDescent="0.25">
      <c r="A70" s="15" t="s">
        <v>2307</v>
      </c>
      <c r="B70" s="15" t="s">
        <v>2308</v>
      </c>
      <c r="C70" s="16">
        <v>14.9</v>
      </c>
      <c r="D70" s="60" t="s">
        <v>2201</v>
      </c>
      <c r="E70" s="15" t="s">
        <v>2187</v>
      </c>
      <c r="F70" s="16">
        <v>0</v>
      </c>
      <c r="G70" s="26" t="s">
        <v>83</v>
      </c>
    </row>
    <row r="71" spans="1:7" ht="15" customHeight="1" x14ac:dyDescent="0.25">
      <c r="A71" s="15" t="s">
        <v>2309</v>
      </c>
      <c r="B71" s="15" t="s">
        <v>2310</v>
      </c>
      <c r="C71" s="16">
        <v>23.7</v>
      </c>
      <c r="D71" s="60" t="s">
        <v>2201</v>
      </c>
      <c r="E71" s="15" t="s">
        <v>2187</v>
      </c>
      <c r="F71" s="16">
        <v>0</v>
      </c>
      <c r="G71" s="26" t="s">
        <v>83</v>
      </c>
    </row>
    <row r="72" spans="1:7" ht="15" customHeight="1" x14ac:dyDescent="0.25">
      <c r="A72" s="15" t="s">
        <v>2311</v>
      </c>
      <c r="B72" s="15" t="s">
        <v>2312</v>
      </c>
      <c r="C72" s="16">
        <v>14.9</v>
      </c>
      <c r="D72" s="60" t="s">
        <v>2201</v>
      </c>
      <c r="E72" s="15" t="s">
        <v>2187</v>
      </c>
      <c r="F72" s="16">
        <v>0</v>
      </c>
      <c r="G72" s="26" t="s">
        <v>83</v>
      </c>
    </row>
    <row r="73" spans="1:7" ht="15" customHeight="1" x14ac:dyDescent="0.25">
      <c r="A73" s="4" t="str">
        <f>COUNTIF(G14:G72,"Pending Review")&amp;" of 59 cancelled orders still pending your review"</f>
        <v>59 of 59 cancelled orders still pending your review</v>
      </c>
      <c r="B73" s="4"/>
      <c r="C73" s="4"/>
      <c r="D73" s="4"/>
      <c r="E73" s="4"/>
      <c r="F73" s="4"/>
      <c r="G73" s="4"/>
    </row>
    <row r="75" spans="1:7" ht="15" customHeight="1" x14ac:dyDescent="0.25">
      <c r="A75" s="7" t="s">
        <v>2313</v>
      </c>
      <c r="B75" s="7"/>
      <c r="C75" s="7"/>
      <c r="D75" s="7"/>
      <c r="E75" s="7"/>
      <c r="F75" s="7"/>
      <c r="G75" s="7"/>
    </row>
  </sheetData>
  <mergeCells count="5">
    <mergeCell ref="A4:G4"/>
    <mergeCell ref="A10:G10"/>
    <mergeCell ref="A12:G12"/>
    <mergeCell ref="A73:G73"/>
    <mergeCell ref="A75:G75"/>
  </mergeCells>
  <dataValidations count="1">
    <dataValidation type="list" sqref="G14:G72" xr:uid="{00000000-0002-0000-0500-000000000000}">
      <formula1>"Pending Review,Checked — OK,Checked — Issue Found"</formula1>
      <formula2>0</formula2>
    </dataValidation>
  </dataValidations>
  <pageMargins left="0.75" right="0.75" top="1" bottom="1"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6"/>
  <sheetViews>
    <sheetView zoomScaleNormal="100" workbookViewId="0"/>
  </sheetViews>
  <sheetFormatPr defaultColWidth="8.7109375" defaultRowHeight="15" x14ac:dyDescent="0.25"/>
  <cols>
    <col min="1" max="1" width="16" customWidth="1"/>
    <col min="2" max="2" width="32" customWidth="1"/>
    <col min="3" max="3" width="22" customWidth="1"/>
    <col min="4" max="4" width="34" customWidth="1"/>
    <col min="5" max="5" width="42" customWidth="1"/>
    <col min="6" max="6" width="16" customWidth="1"/>
    <col min="7" max="7" width="20" customWidth="1"/>
  </cols>
  <sheetData>
    <row r="1" spans="1:7" ht="19.5" customHeight="1" x14ac:dyDescent="0.3">
      <c r="A1" s="8" t="s">
        <v>2314</v>
      </c>
    </row>
    <row r="2" spans="1:7" ht="15" customHeight="1" x14ac:dyDescent="0.25">
      <c r="A2" s="24" t="s">
        <v>2315</v>
      </c>
    </row>
    <row r="4" spans="1:7" ht="39" customHeight="1" x14ac:dyDescent="0.25">
      <c r="A4" s="40" t="s">
        <v>47</v>
      </c>
      <c r="B4" s="40" t="s">
        <v>18</v>
      </c>
      <c r="C4" s="40" t="s">
        <v>2316</v>
      </c>
      <c r="D4" s="40" t="s">
        <v>2317</v>
      </c>
      <c r="E4" s="40" t="s">
        <v>2318</v>
      </c>
      <c r="F4" s="40" t="s">
        <v>2319</v>
      </c>
      <c r="G4" s="40" t="s">
        <v>2320</v>
      </c>
    </row>
    <row r="5" spans="1:7" ht="15" customHeight="1" x14ac:dyDescent="0.25">
      <c r="A5" s="61"/>
      <c r="B5" s="61"/>
      <c r="C5" s="61"/>
      <c r="D5" s="61"/>
      <c r="E5" s="61"/>
      <c r="F5" s="62"/>
      <c r="G5" s="63" t="s">
        <v>83</v>
      </c>
    </row>
    <row r="6" spans="1:7" ht="15" customHeight="1" x14ac:dyDescent="0.25">
      <c r="A6" s="61"/>
      <c r="B6" s="61"/>
      <c r="C6" s="61"/>
      <c r="D6" s="61"/>
      <c r="E6" s="61"/>
      <c r="F6" s="62"/>
      <c r="G6" s="63" t="s">
        <v>83</v>
      </c>
    </row>
    <row r="7" spans="1:7" ht="15" customHeight="1" x14ac:dyDescent="0.25">
      <c r="A7" s="61"/>
      <c r="B7" s="61"/>
      <c r="C7" s="61"/>
      <c r="D7" s="61"/>
      <c r="E7" s="61"/>
      <c r="F7" s="62"/>
      <c r="G7" s="63" t="s">
        <v>83</v>
      </c>
    </row>
    <row r="8" spans="1:7" ht="15" customHeight="1" x14ac:dyDescent="0.25">
      <c r="A8" s="61"/>
      <c r="B8" s="61"/>
      <c r="C8" s="61"/>
      <c r="D8" s="61"/>
      <c r="E8" s="61"/>
      <c r="F8" s="62"/>
      <c r="G8" s="63" t="s">
        <v>83</v>
      </c>
    </row>
    <row r="9" spans="1:7" ht="15" customHeight="1" x14ac:dyDescent="0.25">
      <c r="A9" s="61"/>
      <c r="B9" s="61"/>
      <c r="C9" s="61"/>
      <c r="D9" s="61"/>
      <c r="E9" s="61"/>
      <c r="F9" s="62"/>
      <c r="G9" s="63" t="s">
        <v>83</v>
      </c>
    </row>
    <row r="10" spans="1:7" ht="15" customHeight="1" x14ac:dyDescent="0.25">
      <c r="A10" s="61"/>
      <c r="B10" s="61"/>
      <c r="C10" s="61"/>
      <c r="D10" s="61"/>
      <c r="E10" s="61"/>
      <c r="F10" s="62"/>
      <c r="G10" s="63" t="s">
        <v>83</v>
      </c>
    </row>
    <row r="11" spans="1:7" ht="15" customHeight="1" x14ac:dyDescent="0.25">
      <c r="A11" s="61"/>
      <c r="B11" s="61"/>
      <c r="C11" s="61"/>
      <c r="D11" s="61"/>
      <c r="E11" s="61"/>
      <c r="F11" s="62"/>
      <c r="G11" s="63" t="s">
        <v>83</v>
      </c>
    </row>
    <row r="12" spans="1:7" ht="15" customHeight="1" x14ac:dyDescent="0.25">
      <c r="A12" s="61"/>
      <c r="B12" s="61"/>
      <c r="C12" s="61"/>
      <c r="D12" s="61"/>
      <c r="E12" s="61"/>
      <c r="F12" s="62"/>
      <c r="G12" s="63" t="s">
        <v>83</v>
      </c>
    </row>
    <row r="13" spans="1:7" ht="15" customHeight="1" x14ac:dyDescent="0.25">
      <c r="A13" s="61"/>
      <c r="B13" s="61"/>
      <c r="C13" s="61"/>
      <c r="D13" s="61"/>
      <c r="E13" s="61"/>
      <c r="F13" s="62"/>
      <c r="G13" s="63" t="s">
        <v>83</v>
      </c>
    </row>
    <row r="14" spans="1:7" ht="15" customHeight="1" x14ac:dyDescent="0.25">
      <c r="A14" s="61"/>
      <c r="B14" s="61"/>
      <c r="C14" s="61"/>
      <c r="D14" s="61"/>
      <c r="E14" s="61"/>
      <c r="F14" s="62"/>
      <c r="G14" s="63" t="s">
        <v>83</v>
      </c>
    </row>
    <row r="15" spans="1:7" ht="15" customHeight="1" x14ac:dyDescent="0.25">
      <c r="A15" s="61"/>
      <c r="B15" s="61"/>
      <c r="C15" s="61"/>
      <c r="D15" s="61"/>
      <c r="E15" s="61"/>
      <c r="F15" s="62"/>
      <c r="G15" s="63" t="s">
        <v>83</v>
      </c>
    </row>
    <row r="16" spans="1:7" ht="15" customHeight="1" x14ac:dyDescent="0.25">
      <c r="A16" s="61"/>
      <c r="B16" s="61"/>
      <c r="C16" s="61"/>
      <c r="D16" s="61"/>
      <c r="E16" s="61"/>
      <c r="F16" s="62"/>
      <c r="G16" s="63" t="s">
        <v>83</v>
      </c>
    </row>
    <row r="17" spans="1:7" ht="15" customHeight="1" x14ac:dyDescent="0.25">
      <c r="A17" s="61"/>
      <c r="B17" s="61"/>
      <c r="C17" s="61"/>
      <c r="D17" s="61"/>
      <c r="E17" s="61"/>
      <c r="F17" s="62"/>
      <c r="G17" s="63" t="s">
        <v>83</v>
      </c>
    </row>
    <row r="18" spans="1:7" ht="15" customHeight="1" x14ac:dyDescent="0.25">
      <c r="A18" s="61"/>
      <c r="B18" s="61"/>
      <c r="C18" s="61"/>
      <c r="D18" s="61"/>
      <c r="E18" s="61"/>
      <c r="F18" s="62"/>
      <c r="G18" s="63" t="s">
        <v>83</v>
      </c>
    </row>
    <row r="19" spans="1:7" ht="15" customHeight="1" x14ac:dyDescent="0.25">
      <c r="A19" s="61"/>
      <c r="B19" s="61"/>
      <c r="C19" s="61"/>
      <c r="D19" s="61"/>
      <c r="E19" s="61"/>
      <c r="F19" s="62"/>
      <c r="G19" s="63" t="s">
        <v>83</v>
      </c>
    </row>
    <row r="20" spans="1:7" ht="15" customHeight="1" x14ac:dyDescent="0.25">
      <c r="A20" s="61"/>
      <c r="B20" s="61"/>
      <c r="C20" s="61"/>
      <c r="D20" s="61"/>
      <c r="E20" s="61"/>
      <c r="F20" s="62"/>
      <c r="G20" s="63" t="s">
        <v>83</v>
      </c>
    </row>
    <row r="21" spans="1:7" ht="15" customHeight="1" x14ac:dyDescent="0.25">
      <c r="A21" s="61"/>
      <c r="B21" s="61"/>
      <c r="C21" s="61"/>
      <c r="D21" s="61"/>
      <c r="E21" s="61"/>
      <c r="F21" s="62"/>
      <c r="G21" s="63" t="s">
        <v>83</v>
      </c>
    </row>
    <row r="22" spans="1:7" ht="15" customHeight="1" x14ac:dyDescent="0.25">
      <c r="A22" s="61"/>
      <c r="B22" s="61"/>
      <c r="C22" s="61"/>
      <c r="D22" s="61"/>
      <c r="E22" s="61"/>
      <c r="F22" s="62"/>
      <c r="G22" s="63" t="s">
        <v>83</v>
      </c>
    </row>
    <row r="23" spans="1:7" ht="15" customHeight="1" x14ac:dyDescent="0.25">
      <c r="A23" s="61"/>
      <c r="B23" s="61"/>
      <c r="C23" s="61"/>
      <c r="D23" s="61"/>
      <c r="E23" s="61"/>
      <c r="F23" s="62"/>
      <c r="G23" s="63" t="s">
        <v>83</v>
      </c>
    </row>
    <row r="24" spans="1:7" ht="15" customHeight="1" x14ac:dyDescent="0.25">
      <c r="A24" s="61"/>
      <c r="B24" s="61"/>
      <c r="C24" s="61"/>
      <c r="D24" s="61"/>
      <c r="E24" s="61"/>
      <c r="F24" s="62"/>
      <c r="G24" s="63" t="s">
        <v>83</v>
      </c>
    </row>
    <row r="25" spans="1:7" ht="15" customHeight="1" x14ac:dyDescent="0.25">
      <c r="A25" s="61"/>
      <c r="B25" s="61"/>
      <c r="C25" s="61"/>
      <c r="D25" s="61"/>
      <c r="E25" s="61"/>
      <c r="F25" s="62"/>
      <c r="G25" s="63" t="s">
        <v>83</v>
      </c>
    </row>
    <row r="26" spans="1:7" ht="15" customHeight="1" x14ac:dyDescent="0.25">
      <c r="A26" s="61"/>
      <c r="B26" s="61"/>
      <c r="C26" s="61"/>
      <c r="D26" s="61"/>
      <c r="E26" s="61"/>
      <c r="F26" s="62"/>
      <c r="G26" s="63" t="s">
        <v>83</v>
      </c>
    </row>
    <row r="27" spans="1:7" ht="15" customHeight="1" x14ac:dyDescent="0.25">
      <c r="A27" s="61"/>
      <c r="B27" s="61"/>
      <c r="C27" s="61"/>
      <c r="D27" s="61"/>
      <c r="E27" s="61"/>
      <c r="F27" s="62"/>
      <c r="G27" s="63" t="s">
        <v>83</v>
      </c>
    </row>
    <row r="28" spans="1:7" ht="15" customHeight="1" x14ac:dyDescent="0.25">
      <c r="A28" s="61"/>
      <c r="B28" s="61"/>
      <c r="C28" s="61"/>
      <c r="D28" s="61"/>
      <c r="E28" s="61"/>
      <c r="F28" s="62"/>
      <c r="G28" s="63" t="s">
        <v>83</v>
      </c>
    </row>
    <row r="29" spans="1:7" ht="15" customHeight="1" x14ac:dyDescent="0.25">
      <c r="A29" s="61"/>
      <c r="B29" s="61"/>
      <c r="C29" s="61"/>
      <c r="D29" s="61"/>
      <c r="E29" s="61"/>
      <c r="F29" s="62"/>
      <c r="G29" s="63" t="s">
        <v>83</v>
      </c>
    </row>
    <row r="30" spans="1:7" ht="15" customHeight="1" x14ac:dyDescent="0.25">
      <c r="A30" s="61"/>
      <c r="B30" s="61"/>
      <c r="C30" s="61"/>
      <c r="D30" s="61"/>
      <c r="E30" s="61"/>
      <c r="F30" s="62"/>
      <c r="G30" s="63" t="s">
        <v>83</v>
      </c>
    </row>
    <row r="31" spans="1:7" ht="15" customHeight="1" x14ac:dyDescent="0.25">
      <c r="A31" s="61"/>
      <c r="B31" s="61"/>
      <c r="C31" s="61"/>
      <c r="D31" s="61"/>
      <c r="E31" s="61"/>
      <c r="F31" s="62"/>
      <c r="G31" s="63" t="s">
        <v>83</v>
      </c>
    </row>
    <row r="32" spans="1:7" ht="15" customHeight="1" x14ac:dyDescent="0.25">
      <c r="A32" s="61"/>
      <c r="B32" s="61"/>
      <c r="C32" s="61"/>
      <c r="D32" s="61"/>
      <c r="E32" s="61"/>
      <c r="F32" s="62"/>
      <c r="G32" s="63" t="s">
        <v>83</v>
      </c>
    </row>
    <row r="33" spans="1:7" ht="15" customHeight="1" x14ac:dyDescent="0.25">
      <c r="A33" s="61"/>
      <c r="B33" s="61"/>
      <c r="C33" s="61"/>
      <c r="D33" s="61"/>
      <c r="E33" s="61"/>
      <c r="F33" s="62"/>
      <c r="G33" s="63" t="s">
        <v>83</v>
      </c>
    </row>
    <row r="34" spans="1:7" ht="15" customHeight="1" x14ac:dyDescent="0.25">
      <c r="A34" s="61"/>
      <c r="B34" s="61"/>
      <c r="C34" s="61"/>
      <c r="D34" s="61"/>
      <c r="E34" s="61"/>
      <c r="F34" s="62"/>
      <c r="G34" s="63" t="s">
        <v>83</v>
      </c>
    </row>
    <row r="35" spans="1:7" ht="15" customHeight="1" x14ac:dyDescent="0.25">
      <c r="A35" s="61"/>
      <c r="B35" s="61"/>
      <c r="C35" s="61"/>
      <c r="D35" s="61"/>
      <c r="E35" s="61"/>
      <c r="F35" s="62"/>
      <c r="G35" s="63" t="s">
        <v>83</v>
      </c>
    </row>
    <row r="36" spans="1:7" ht="15" customHeight="1" x14ac:dyDescent="0.25">
      <c r="A36" s="61"/>
      <c r="B36" s="61"/>
      <c r="C36" s="61"/>
      <c r="D36" s="61"/>
      <c r="E36" s="61"/>
      <c r="F36" s="62"/>
      <c r="G36" s="63" t="s">
        <v>83</v>
      </c>
    </row>
    <row r="37" spans="1:7" ht="15" customHeight="1" x14ac:dyDescent="0.25">
      <c r="A37" s="61"/>
      <c r="B37" s="61"/>
      <c r="C37" s="61"/>
      <c r="D37" s="61"/>
      <c r="E37" s="61"/>
      <c r="F37" s="62"/>
      <c r="G37" s="63" t="s">
        <v>83</v>
      </c>
    </row>
    <row r="38" spans="1:7" ht="15" customHeight="1" x14ac:dyDescent="0.25">
      <c r="A38" s="61"/>
      <c r="B38" s="61"/>
      <c r="C38" s="61"/>
      <c r="D38" s="61"/>
      <c r="E38" s="61"/>
      <c r="F38" s="62"/>
      <c r="G38" s="63" t="s">
        <v>83</v>
      </c>
    </row>
    <row r="39" spans="1:7" ht="15" customHeight="1" x14ac:dyDescent="0.25">
      <c r="A39" s="61"/>
      <c r="B39" s="61"/>
      <c r="C39" s="61"/>
      <c r="D39" s="61"/>
      <c r="E39" s="61"/>
      <c r="F39" s="62"/>
      <c r="G39" s="63" t="s">
        <v>83</v>
      </c>
    </row>
    <row r="40" spans="1:7" ht="15" customHeight="1" x14ac:dyDescent="0.25">
      <c r="A40" s="61"/>
      <c r="B40" s="61"/>
      <c r="C40" s="61"/>
      <c r="D40" s="61"/>
      <c r="E40" s="61"/>
      <c r="F40" s="62"/>
      <c r="G40" s="63" t="s">
        <v>83</v>
      </c>
    </row>
    <row r="41" spans="1:7" ht="15" customHeight="1" x14ac:dyDescent="0.25">
      <c r="A41" s="61"/>
      <c r="B41" s="61"/>
      <c r="C41" s="61"/>
      <c r="D41" s="61"/>
      <c r="E41" s="61"/>
      <c r="F41" s="62"/>
      <c r="G41" s="63" t="s">
        <v>83</v>
      </c>
    </row>
    <row r="42" spans="1:7" ht="15" customHeight="1" x14ac:dyDescent="0.25">
      <c r="A42" s="61"/>
      <c r="B42" s="61"/>
      <c r="C42" s="61"/>
      <c r="D42" s="61"/>
      <c r="E42" s="61"/>
      <c r="F42" s="62"/>
      <c r="G42" s="63" t="s">
        <v>83</v>
      </c>
    </row>
    <row r="43" spans="1:7" ht="15" customHeight="1" x14ac:dyDescent="0.25">
      <c r="A43" s="61"/>
      <c r="B43" s="61"/>
      <c r="C43" s="61"/>
      <c r="D43" s="61"/>
      <c r="E43" s="61"/>
      <c r="F43" s="62"/>
      <c r="G43" s="63" t="s">
        <v>83</v>
      </c>
    </row>
    <row r="44" spans="1:7" ht="15" customHeight="1" x14ac:dyDescent="0.25">
      <c r="A44" s="61"/>
      <c r="B44" s="61"/>
      <c r="C44" s="61"/>
      <c r="D44" s="61"/>
      <c r="E44" s="61"/>
      <c r="F44" s="62"/>
      <c r="G44" s="63" t="s">
        <v>83</v>
      </c>
    </row>
    <row r="45" spans="1:7" ht="15" customHeight="1" x14ac:dyDescent="0.25">
      <c r="E45" s="51" t="s">
        <v>2321</v>
      </c>
      <c r="F45" s="52">
        <f>SUM(F5:F44)</f>
        <v>0</v>
      </c>
    </row>
    <row r="46" spans="1:7" ht="15" customHeight="1" x14ac:dyDescent="0.25">
      <c r="E46" s="64" t="s">
        <v>2322</v>
      </c>
      <c r="F46" s="65">
        <f>SUMIF(G5:G44,"Approved",F5:F44)</f>
        <v>0</v>
      </c>
    </row>
    <row r="48" spans="1:7" ht="15" customHeight="1" x14ac:dyDescent="0.25">
      <c r="A48" s="66" t="s">
        <v>2323</v>
      </c>
    </row>
    <row r="49" spans="1:7" ht="15" customHeight="1" x14ac:dyDescent="0.25">
      <c r="A49" s="67" t="s">
        <v>1413</v>
      </c>
      <c r="B49" s="67" t="s">
        <v>2324</v>
      </c>
      <c r="C49" s="67" t="s">
        <v>2325</v>
      </c>
      <c r="D49" s="67" t="s">
        <v>2326</v>
      </c>
      <c r="E49" s="67" t="s">
        <v>2327</v>
      </c>
      <c r="F49" s="68">
        <v>19.8</v>
      </c>
      <c r="G49" s="67" t="s">
        <v>2328</v>
      </c>
    </row>
    <row r="51" spans="1:7" ht="15" customHeight="1" x14ac:dyDescent="0.25">
      <c r="A51" s="11" t="s">
        <v>2329</v>
      </c>
    </row>
    <row r="52" spans="1:7" ht="15" customHeight="1" x14ac:dyDescent="0.25">
      <c r="A52" s="7" t="s">
        <v>2330</v>
      </c>
      <c r="B52" s="7"/>
      <c r="C52" s="7"/>
      <c r="D52" s="7"/>
      <c r="E52" s="7"/>
      <c r="F52" s="7"/>
      <c r="G52" s="7"/>
    </row>
    <row r="53" spans="1:7" ht="15" customHeight="1" x14ac:dyDescent="0.25">
      <c r="A53" s="7" t="s">
        <v>2331</v>
      </c>
      <c r="B53" s="7"/>
      <c r="C53" s="7"/>
      <c r="D53" s="7"/>
      <c r="E53" s="7"/>
      <c r="F53" s="7"/>
      <c r="G53" s="7"/>
    </row>
    <row r="54" spans="1:7" ht="15" customHeight="1" x14ac:dyDescent="0.25">
      <c r="A54" s="7" t="s">
        <v>2332</v>
      </c>
      <c r="B54" s="7"/>
      <c r="C54" s="7"/>
      <c r="D54" s="7"/>
      <c r="E54" s="7"/>
      <c r="F54" s="7"/>
      <c r="G54" s="7"/>
    </row>
    <row r="55" spans="1:7" ht="15" customHeight="1" x14ac:dyDescent="0.25">
      <c r="A55" s="7" t="s">
        <v>2333</v>
      </c>
      <c r="B55" s="7"/>
      <c r="C55" s="7"/>
      <c r="D55" s="7"/>
      <c r="E55" s="7"/>
      <c r="F55" s="7"/>
      <c r="G55" s="7"/>
    </row>
    <row r="56" spans="1:7" ht="15" customHeight="1" x14ac:dyDescent="0.25">
      <c r="A56" s="7" t="s">
        <v>2334</v>
      </c>
      <c r="B56" s="7"/>
      <c r="C56" s="7"/>
      <c r="D56" s="7"/>
      <c r="E56" s="7"/>
      <c r="F56" s="7"/>
      <c r="G56" s="7"/>
    </row>
  </sheetData>
  <mergeCells count="5">
    <mergeCell ref="A52:G52"/>
    <mergeCell ref="A53:G53"/>
    <mergeCell ref="A54:G54"/>
    <mergeCell ref="A55:G55"/>
    <mergeCell ref="A56:G56"/>
  </mergeCells>
  <dataValidations count="1">
    <dataValidation type="list" sqref="G5:G44" xr:uid="{00000000-0002-0000-0600-000000000000}">
      <formula1>"Pending Review,Approved,Rejected"</formula1>
      <formula2>0</formula2>
    </dataValidation>
  </dataValidations>
  <pageMargins left="0.75" right="0.75" top="1" bottom="1" header="0.511811023622047" footer="0.511811023622047"/>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6"/>
  <sheetViews>
    <sheetView tabSelected="1" zoomScaleNormal="100" workbookViewId="0">
      <selection activeCell="H21" sqref="H21"/>
    </sheetView>
  </sheetViews>
  <sheetFormatPr defaultColWidth="8.7109375" defaultRowHeight="15" x14ac:dyDescent="0.25"/>
  <cols>
    <col min="1" max="1" width="68" style="77" customWidth="1"/>
    <col min="2" max="2" width="4" customWidth="1"/>
    <col min="3" max="3" width="23.7109375" bestFit="1" customWidth="1"/>
    <col min="4" max="4" width="18" customWidth="1"/>
  </cols>
  <sheetData>
    <row r="1" spans="1:4" ht="19.5" customHeight="1" x14ac:dyDescent="0.3">
      <c r="A1" s="73" t="s">
        <v>2335</v>
      </c>
    </row>
    <row r="2" spans="1:4" ht="15" customHeight="1" x14ac:dyDescent="0.25">
      <c r="A2" s="74" t="s">
        <v>2336</v>
      </c>
    </row>
    <row r="4" spans="1:4" ht="15" customHeight="1" x14ac:dyDescent="0.25">
      <c r="A4" s="5" t="s">
        <v>2337</v>
      </c>
      <c r="B4" s="5"/>
      <c r="C4" s="5"/>
      <c r="D4" s="5"/>
    </row>
    <row r="5" spans="1:4" ht="15" customHeight="1" x14ac:dyDescent="0.25">
      <c r="A5" s="75" t="s">
        <v>2338</v>
      </c>
      <c r="C5" s="2" t="s">
        <v>2339</v>
      </c>
      <c r="D5" s="2"/>
    </row>
    <row r="6" spans="1:4" ht="15" customHeight="1" x14ac:dyDescent="0.25">
      <c r="A6" s="75" t="s">
        <v>2340</v>
      </c>
      <c r="C6" s="2" t="s">
        <v>2339</v>
      </c>
      <c r="D6" s="2"/>
    </row>
    <row r="7" spans="1:4" ht="15" customHeight="1" x14ac:dyDescent="0.25">
      <c r="A7" s="75" t="s">
        <v>2341</v>
      </c>
      <c r="C7" s="2" t="s">
        <v>2342</v>
      </c>
      <c r="D7" s="2"/>
    </row>
    <row r="8" spans="1:4" ht="15" customHeight="1" x14ac:dyDescent="0.25">
      <c r="A8" s="75" t="s">
        <v>2343</v>
      </c>
      <c r="C8" s="2" t="s">
        <v>2344</v>
      </c>
      <c r="D8" s="2"/>
    </row>
    <row r="9" spans="1:4" ht="15" customHeight="1" x14ac:dyDescent="0.25">
      <c r="A9" s="75" t="s">
        <v>2345</v>
      </c>
      <c r="C9" s="2" t="s">
        <v>2346</v>
      </c>
      <c r="D9" s="2"/>
    </row>
    <row r="10" spans="1:4" ht="15" customHeight="1" x14ac:dyDescent="0.25">
      <c r="A10" s="75" t="s">
        <v>2347</v>
      </c>
      <c r="C10" s="2" t="s">
        <v>2348</v>
      </c>
      <c r="D10" s="2"/>
    </row>
    <row r="12" spans="1:4" ht="15" customHeight="1" x14ac:dyDescent="0.25">
      <c r="A12" s="5" t="s">
        <v>2349</v>
      </c>
      <c r="B12" s="5"/>
      <c r="C12" s="5"/>
      <c r="D12" s="5"/>
    </row>
    <row r="13" spans="1:4" ht="15" customHeight="1" x14ac:dyDescent="0.25">
      <c r="A13" s="75" t="s">
        <v>2350</v>
      </c>
      <c r="C13" s="13">
        <v>621</v>
      </c>
    </row>
    <row r="14" spans="1:4" ht="15" customHeight="1" x14ac:dyDescent="0.25">
      <c r="A14" s="75" t="s">
        <v>2351</v>
      </c>
      <c r="C14" s="13">
        <v>516</v>
      </c>
    </row>
    <row r="15" spans="1:4" ht="15" customHeight="1" x14ac:dyDescent="0.25">
      <c r="A15" s="75" t="s">
        <v>2352</v>
      </c>
      <c r="C15" s="13">
        <v>46</v>
      </c>
    </row>
    <row r="16" spans="1:4" ht="15" customHeight="1" x14ac:dyDescent="0.25">
      <c r="A16" s="75" t="s">
        <v>2353</v>
      </c>
      <c r="C16" s="13">
        <v>59</v>
      </c>
    </row>
    <row r="17" spans="1:4" ht="15" customHeight="1" x14ac:dyDescent="0.25">
      <c r="A17" s="75" t="s">
        <v>2354</v>
      </c>
      <c r="C17" s="13">
        <v>666</v>
      </c>
    </row>
    <row r="18" spans="1:4" ht="15" customHeight="1" x14ac:dyDescent="0.25">
      <c r="A18" s="75" t="s">
        <v>2355</v>
      </c>
      <c r="C18" s="13">
        <v>562</v>
      </c>
    </row>
    <row r="19" spans="1:4" ht="15" customHeight="1" x14ac:dyDescent="0.25">
      <c r="A19" s="75" t="s">
        <v>2356</v>
      </c>
      <c r="C19" s="13">
        <v>662</v>
      </c>
    </row>
    <row r="20" spans="1:4" ht="15" customHeight="1" x14ac:dyDescent="0.25">
      <c r="A20" s="75" t="s">
        <v>2357</v>
      </c>
      <c r="C20" s="13">
        <v>4</v>
      </c>
    </row>
    <row r="22" spans="1:4" ht="15" customHeight="1" x14ac:dyDescent="0.25">
      <c r="A22" s="5" t="s">
        <v>2358</v>
      </c>
      <c r="B22" s="5"/>
      <c r="C22" s="5"/>
      <c r="D22" s="5"/>
    </row>
    <row r="23" spans="1:4" ht="15" customHeight="1" x14ac:dyDescent="0.25">
      <c r="A23" s="75" t="s">
        <v>2359</v>
      </c>
      <c r="C23" s="69">
        <f>SUM('Itemized Calculation'!K2:K667)</f>
        <v>12941.351000000011</v>
      </c>
    </row>
    <row r="24" spans="1:4" ht="15" customHeight="1" x14ac:dyDescent="0.25">
      <c r="A24" s="75" t="s">
        <v>2360</v>
      </c>
      <c r="C24" s="70">
        <v>362</v>
      </c>
    </row>
    <row r="25" spans="1:4" ht="15" customHeight="1" x14ac:dyDescent="0.25">
      <c r="A25" s="75" t="s">
        <v>2361</v>
      </c>
      <c r="C25" s="69">
        <f>C24*0.7</f>
        <v>253.39999999999998</v>
      </c>
    </row>
    <row r="26" spans="1:4" ht="15" customHeight="1" x14ac:dyDescent="0.25">
      <c r="A26" s="75" t="s">
        <v>2362</v>
      </c>
      <c r="C26" s="69">
        <f>Claims!F46</f>
        <v>0</v>
      </c>
    </row>
    <row r="27" spans="1:4" ht="15" customHeight="1" x14ac:dyDescent="0.25">
      <c r="A27" s="76" t="s">
        <v>2363</v>
      </c>
      <c r="C27" s="71">
        <f>C23-C25-C26</f>
        <v>12687.951000000012</v>
      </c>
    </row>
    <row r="28" spans="1:4" ht="15" customHeight="1" x14ac:dyDescent="0.25"/>
    <row r="29" spans="1:4" ht="15" customHeight="1" x14ac:dyDescent="0.25">
      <c r="A29" s="78" t="s">
        <v>2364</v>
      </c>
    </row>
    <row r="30" spans="1:4" ht="15" customHeight="1" x14ac:dyDescent="0.25">
      <c r="A30" s="2" t="s">
        <v>2365</v>
      </c>
      <c r="B30" s="2"/>
      <c r="C30" s="2"/>
      <c r="D30" s="2"/>
    </row>
    <row r="31" spans="1:4" ht="15" customHeight="1" x14ac:dyDescent="0.25">
      <c r="A31" s="75" t="s">
        <v>2366</v>
      </c>
      <c r="C31" s="13">
        <v>524</v>
      </c>
    </row>
    <row r="32" spans="1:4" ht="15" customHeight="1" x14ac:dyDescent="0.25">
      <c r="A32" s="75" t="s">
        <v>2367</v>
      </c>
      <c r="C32" s="13">
        <v>70</v>
      </c>
    </row>
    <row r="33" spans="1:4" ht="15" customHeight="1" x14ac:dyDescent="0.25">
      <c r="A33" s="75" t="s">
        <v>2368</v>
      </c>
      <c r="C33" s="13">
        <v>70</v>
      </c>
    </row>
    <row r="34" spans="1:4" ht="15" customHeight="1" x14ac:dyDescent="0.25">
      <c r="A34" s="75" t="s">
        <v>2369</v>
      </c>
      <c r="C34" s="13">
        <v>1</v>
      </c>
    </row>
    <row r="35" spans="1:4" ht="15" customHeight="1" x14ac:dyDescent="0.25">
      <c r="A35" s="75" t="s">
        <v>2370</v>
      </c>
      <c r="C35" s="13">
        <v>1</v>
      </c>
    </row>
    <row r="36" spans="1:4" ht="15" customHeight="1" x14ac:dyDescent="0.25">
      <c r="A36" s="79" t="s">
        <v>2371</v>
      </c>
    </row>
    <row r="37" spans="1:4" ht="15" customHeight="1" x14ac:dyDescent="0.25"/>
    <row r="38" spans="1:4" ht="15" customHeight="1" x14ac:dyDescent="0.25">
      <c r="A38" s="78" t="s">
        <v>2372</v>
      </c>
    </row>
    <row r="39" spans="1:4" ht="15" customHeight="1" x14ac:dyDescent="0.25">
      <c r="A39" s="2" t="s">
        <v>2373</v>
      </c>
      <c r="B39" s="2"/>
      <c r="C39" s="2"/>
      <c r="D39" s="2"/>
    </row>
    <row r="40" spans="1:4" ht="15" customHeight="1" x14ac:dyDescent="0.25">
      <c r="A40" s="75" t="s">
        <v>2374</v>
      </c>
      <c r="C40" s="69">
        <f>SUM('Order-Level Summary'!F2:F563)</f>
        <v>12941.350999999997</v>
      </c>
    </row>
    <row r="41" spans="1:4" ht="15" customHeight="1" x14ac:dyDescent="0.25">
      <c r="A41" s="75" t="s">
        <v>2375</v>
      </c>
      <c r="C41" s="69">
        <f>SUM('Order-Level Summary'!G2:G563)</f>
        <v>897.66900000000032</v>
      </c>
    </row>
    <row r="42" spans="1:4" ht="15" customHeight="1" x14ac:dyDescent="0.25">
      <c r="A42" s="75" t="s">
        <v>2376</v>
      </c>
      <c r="C42" s="69">
        <f>-362*(1-0.7)</f>
        <v>-108.60000000000002</v>
      </c>
    </row>
    <row r="43" spans="1:4" ht="15" customHeight="1" x14ac:dyDescent="0.25">
      <c r="A43" s="76" t="s">
        <v>2377</v>
      </c>
      <c r="C43" s="71">
        <f>C41+C42</f>
        <v>789.0690000000003</v>
      </c>
    </row>
    <row r="44" spans="1:4" ht="15" customHeight="1" x14ac:dyDescent="0.25">
      <c r="A44" s="79" t="s">
        <v>2378</v>
      </c>
    </row>
    <row r="45" spans="1:4" ht="15" customHeight="1" x14ac:dyDescent="0.25"/>
    <row r="46" spans="1:4" ht="15" customHeight="1" x14ac:dyDescent="0.25">
      <c r="A46" s="78" t="s">
        <v>2379</v>
      </c>
    </row>
    <row r="47" spans="1:4" ht="15" customHeight="1" x14ac:dyDescent="0.25">
      <c r="A47" s="2" t="s">
        <v>2380</v>
      </c>
      <c r="B47" s="2"/>
      <c r="C47" s="2"/>
      <c r="D47" s="2"/>
    </row>
    <row r="48" spans="1:4" ht="15" customHeight="1" x14ac:dyDescent="0.25">
      <c r="A48" s="75" t="s">
        <v>2381</v>
      </c>
      <c r="C48" s="13">
        <v>3</v>
      </c>
    </row>
    <row r="49" spans="1:4" ht="15" customHeight="1" x14ac:dyDescent="0.25">
      <c r="A49" s="75" t="s">
        <v>2382</v>
      </c>
      <c r="C49" s="13">
        <v>2</v>
      </c>
    </row>
    <row r="50" spans="1:4" ht="15" customHeight="1" x14ac:dyDescent="0.25">
      <c r="A50" s="75" t="s">
        <v>2383</v>
      </c>
      <c r="C50" s="13">
        <v>8</v>
      </c>
    </row>
    <row r="51" spans="1:4" ht="15" customHeight="1" x14ac:dyDescent="0.25">
      <c r="A51" s="75" t="s">
        <v>2384</v>
      </c>
      <c r="C51" s="13" t="s">
        <v>2385</v>
      </c>
    </row>
    <row r="52" spans="1:4" ht="15" customHeight="1" x14ac:dyDescent="0.25">
      <c r="A52" s="75" t="str">
        <f>COUNTIF('Returns &amp; Refunds'!H6:H11,"Pending Review")&amp;" of "&amp;6&amp;" return cases still awaiting your Sitegiant check (column H)"</f>
        <v>0 of 6 return cases still awaiting your Sitegiant check (column H)</v>
      </c>
    </row>
    <row r="53" spans="1:4" ht="15" customHeight="1" x14ac:dyDescent="0.25">
      <c r="A53" s="75" t="s">
        <v>2386</v>
      </c>
      <c r="C53" s="69">
        <f>'Returns &amp; Refunds'!I12</f>
        <v>288.31799999999998</v>
      </c>
    </row>
    <row r="54" spans="1:4" ht="15" customHeight="1" x14ac:dyDescent="0.25">
      <c r="A54" s="75" t="s">
        <v>2387</v>
      </c>
      <c r="C54" s="69">
        <f>Claims!F46</f>
        <v>0</v>
      </c>
    </row>
    <row r="55" spans="1:4" ht="15" customHeight="1" x14ac:dyDescent="0.25">
      <c r="A55" s="79" t="s">
        <v>2388</v>
      </c>
    </row>
    <row r="56" spans="1:4" ht="15" customHeight="1" x14ac:dyDescent="0.25"/>
    <row r="57" spans="1:4" ht="15" customHeight="1" x14ac:dyDescent="0.25">
      <c r="A57" s="78" t="s">
        <v>2389</v>
      </c>
    </row>
    <row r="58" spans="1:4" ht="15" customHeight="1" x14ac:dyDescent="0.25">
      <c r="A58" s="2" t="s">
        <v>2390</v>
      </c>
      <c r="B58" s="2"/>
      <c r="C58" s="2"/>
      <c r="D58" s="2"/>
    </row>
    <row r="59" spans="1:4" ht="15" customHeight="1" x14ac:dyDescent="0.25">
      <c r="A59" s="75" t="s">
        <v>2391</v>
      </c>
      <c r="C59" s="13">
        <v>14</v>
      </c>
    </row>
    <row r="60" spans="1:4" ht="15" customHeight="1" x14ac:dyDescent="0.25">
      <c r="A60" s="75" t="s">
        <v>2392</v>
      </c>
      <c r="C60" s="13">
        <v>1</v>
      </c>
    </row>
    <row r="61" spans="1:4" ht="15" customHeight="1" x14ac:dyDescent="0.25">
      <c r="A61" s="75" t="s">
        <v>2393</v>
      </c>
      <c r="C61" s="13">
        <v>70</v>
      </c>
    </row>
    <row r="62" spans="1:4" ht="15" customHeight="1" x14ac:dyDescent="0.25">
      <c r="A62" s="75" t="s">
        <v>2394</v>
      </c>
      <c r="C62" s="13">
        <v>1</v>
      </c>
    </row>
    <row r="63" spans="1:4" ht="15" customHeight="1" x14ac:dyDescent="0.25">
      <c r="A63" s="75" t="s">
        <v>2395</v>
      </c>
      <c r="C63" s="13">
        <v>6</v>
      </c>
    </row>
    <row r="64" spans="1:4" ht="15" customHeight="1" x14ac:dyDescent="0.25">
      <c r="A64" s="75" t="s">
        <v>2396</v>
      </c>
      <c r="C64" s="13">
        <v>59</v>
      </c>
    </row>
    <row r="65" spans="1:4" ht="15" customHeight="1" x14ac:dyDescent="0.25">
      <c r="A65" s="79" t="s">
        <v>2397</v>
      </c>
    </row>
    <row r="66" spans="1:4" ht="15" customHeight="1" x14ac:dyDescent="0.25">
      <c r="A66" s="6"/>
      <c r="B66" s="6"/>
      <c r="C66" s="6"/>
      <c r="D66" s="6"/>
    </row>
  </sheetData>
  <mergeCells count="14">
    <mergeCell ref="A39:D39"/>
    <mergeCell ref="A47:D47"/>
    <mergeCell ref="A58:D58"/>
    <mergeCell ref="A66:D66"/>
    <mergeCell ref="C9:D9"/>
    <mergeCell ref="C10:D10"/>
    <mergeCell ref="A12:D12"/>
    <mergeCell ref="A22:D22"/>
    <mergeCell ref="A30:D30"/>
    <mergeCell ref="A4:D4"/>
    <mergeCell ref="C5:D5"/>
    <mergeCell ref="C6:D6"/>
    <mergeCell ref="C7:D7"/>
    <mergeCell ref="C8:D8"/>
  </mergeCells>
  <pageMargins left="0.75" right="0.75" top="1" bottom="1" header="0.511811023622047" footer="0.511811023622047"/>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750"/>
  <sheetViews>
    <sheetView zoomScaleNormal="100" workbookViewId="0"/>
  </sheetViews>
  <sheetFormatPr defaultColWidth="8.7109375" defaultRowHeight="15" x14ac:dyDescent="0.25"/>
  <cols>
    <col min="1" max="1" width="32" customWidth="1"/>
  </cols>
  <sheetData>
    <row r="1" spans="1:3" ht="15" customHeight="1" x14ac:dyDescent="0.25">
      <c r="A1" s="11" t="s">
        <v>113</v>
      </c>
      <c r="B1" s="11" t="s">
        <v>76</v>
      </c>
      <c r="C1" s="11" t="s">
        <v>258</v>
      </c>
    </row>
    <row r="2" spans="1:3" ht="15" customHeight="1" x14ac:dyDescent="0.25">
      <c r="A2" t="s">
        <v>2398</v>
      </c>
      <c r="B2">
        <v>49.5</v>
      </c>
      <c r="C2">
        <v>0.02</v>
      </c>
    </row>
    <row r="3" spans="1:3" ht="15" customHeight="1" x14ac:dyDescent="0.25">
      <c r="A3" t="s">
        <v>2399</v>
      </c>
      <c r="B3">
        <v>49.5</v>
      </c>
      <c r="C3">
        <v>0.02</v>
      </c>
    </row>
    <row r="4" spans="1:3" ht="15" customHeight="1" x14ac:dyDescent="0.25">
      <c r="A4" t="s">
        <v>1480</v>
      </c>
      <c r="B4">
        <v>49.5</v>
      </c>
      <c r="C4">
        <v>0.02</v>
      </c>
    </row>
    <row r="5" spans="1:3" ht="15" customHeight="1" x14ac:dyDescent="0.25">
      <c r="A5" t="s">
        <v>1388</v>
      </c>
      <c r="B5">
        <v>49.5</v>
      </c>
      <c r="C5">
        <v>0.02</v>
      </c>
    </row>
    <row r="6" spans="1:3" ht="15" customHeight="1" x14ac:dyDescent="0.25">
      <c r="A6" t="s">
        <v>2400</v>
      </c>
      <c r="B6">
        <v>49.5</v>
      </c>
      <c r="C6">
        <v>0.02</v>
      </c>
    </row>
    <row r="7" spans="1:3" ht="15" customHeight="1" x14ac:dyDescent="0.25">
      <c r="A7" t="s">
        <v>2401</v>
      </c>
      <c r="B7">
        <v>49.5</v>
      </c>
      <c r="C7">
        <v>0.02</v>
      </c>
    </row>
    <row r="8" spans="1:3" ht="15" customHeight="1" x14ac:dyDescent="0.25">
      <c r="A8" t="s">
        <v>2402</v>
      </c>
      <c r="B8">
        <v>48.7</v>
      </c>
      <c r="C8">
        <v>0.02</v>
      </c>
    </row>
    <row r="9" spans="1:3" ht="15" customHeight="1" x14ac:dyDescent="0.25">
      <c r="A9" t="s">
        <v>2403</v>
      </c>
      <c r="B9">
        <v>48.7</v>
      </c>
      <c r="C9">
        <v>0.02</v>
      </c>
    </row>
    <row r="10" spans="1:3" ht="15" customHeight="1" x14ac:dyDescent="0.25">
      <c r="A10" t="s">
        <v>2404</v>
      </c>
      <c r="B10">
        <v>48.7</v>
      </c>
      <c r="C10">
        <v>0.02</v>
      </c>
    </row>
    <row r="11" spans="1:3" ht="15" customHeight="1" x14ac:dyDescent="0.25">
      <c r="A11" t="s">
        <v>501</v>
      </c>
      <c r="B11">
        <v>48.7</v>
      </c>
      <c r="C11">
        <v>0.02</v>
      </c>
    </row>
    <row r="12" spans="1:3" ht="15" customHeight="1" x14ac:dyDescent="0.25">
      <c r="A12" t="s">
        <v>2405</v>
      </c>
      <c r="B12">
        <v>49.5</v>
      </c>
      <c r="C12">
        <v>0.02</v>
      </c>
    </row>
    <row r="13" spans="1:3" ht="15" customHeight="1" x14ac:dyDescent="0.25">
      <c r="A13" t="s">
        <v>1011</v>
      </c>
      <c r="B13">
        <v>49.5</v>
      </c>
      <c r="C13">
        <v>0.02</v>
      </c>
    </row>
    <row r="14" spans="1:3" ht="15" customHeight="1" x14ac:dyDescent="0.25">
      <c r="A14" t="s">
        <v>2406</v>
      </c>
      <c r="B14">
        <v>49.5</v>
      </c>
    </row>
    <row r="15" spans="1:3" ht="15" customHeight="1" x14ac:dyDescent="0.25">
      <c r="A15" t="s">
        <v>2407</v>
      </c>
      <c r="B15">
        <v>19.3</v>
      </c>
      <c r="C15">
        <v>0.02</v>
      </c>
    </row>
    <row r="16" spans="1:3" ht="15" customHeight="1" x14ac:dyDescent="0.25">
      <c r="A16" t="s">
        <v>2408</v>
      </c>
      <c r="B16">
        <v>19.3</v>
      </c>
      <c r="C16">
        <v>0.02</v>
      </c>
    </row>
    <row r="17" spans="1:3" ht="15" customHeight="1" x14ac:dyDescent="0.25">
      <c r="A17" t="s">
        <v>2409</v>
      </c>
      <c r="B17">
        <v>13.6</v>
      </c>
      <c r="C17">
        <v>0.02</v>
      </c>
    </row>
    <row r="18" spans="1:3" ht="15" customHeight="1" x14ac:dyDescent="0.25">
      <c r="A18" t="s">
        <v>417</v>
      </c>
      <c r="B18">
        <v>13.6</v>
      </c>
      <c r="C18">
        <v>0.1</v>
      </c>
    </row>
    <row r="19" spans="1:3" ht="15" customHeight="1" x14ac:dyDescent="0.25">
      <c r="A19" t="s">
        <v>2410</v>
      </c>
      <c r="B19">
        <v>20.3</v>
      </c>
      <c r="C19">
        <v>0.1</v>
      </c>
    </row>
    <row r="20" spans="1:3" ht="15" customHeight="1" x14ac:dyDescent="0.25">
      <c r="A20" t="s">
        <v>2411</v>
      </c>
      <c r="B20">
        <v>20.3</v>
      </c>
      <c r="C20">
        <v>0.1</v>
      </c>
    </row>
    <row r="21" spans="1:3" ht="15" customHeight="1" x14ac:dyDescent="0.25">
      <c r="A21" t="s">
        <v>1114</v>
      </c>
      <c r="B21">
        <v>20.3</v>
      </c>
      <c r="C21">
        <v>0.02</v>
      </c>
    </row>
    <row r="22" spans="1:3" ht="15" customHeight="1" x14ac:dyDescent="0.25">
      <c r="A22" t="s">
        <v>1312</v>
      </c>
      <c r="B22">
        <v>20.3</v>
      </c>
      <c r="C22">
        <v>0.02</v>
      </c>
    </row>
    <row r="23" spans="1:3" ht="15" customHeight="1" x14ac:dyDescent="0.25">
      <c r="A23" t="s">
        <v>2412</v>
      </c>
      <c r="B23">
        <v>20.3</v>
      </c>
      <c r="C23">
        <v>0.1</v>
      </c>
    </row>
    <row r="24" spans="1:3" ht="15" customHeight="1" x14ac:dyDescent="0.25">
      <c r="A24" t="s">
        <v>2413</v>
      </c>
      <c r="B24">
        <v>20.3</v>
      </c>
      <c r="C24">
        <v>0.1</v>
      </c>
    </row>
    <row r="25" spans="1:3" ht="15" customHeight="1" x14ac:dyDescent="0.25">
      <c r="A25" t="s">
        <v>2414</v>
      </c>
      <c r="B25">
        <v>20.3</v>
      </c>
      <c r="C25">
        <v>0.02</v>
      </c>
    </row>
    <row r="26" spans="1:3" ht="15" customHeight="1" x14ac:dyDescent="0.25">
      <c r="A26" t="s">
        <v>2415</v>
      </c>
      <c r="B26">
        <v>20.3</v>
      </c>
      <c r="C26">
        <v>0.02</v>
      </c>
    </row>
    <row r="27" spans="1:3" ht="15" customHeight="1" x14ac:dyDescent="0.25">
      <c r="A27" t="s">
        <v>2416</v>
      </c>
      <c r="B27">
        <v>20.3</v>
      </c>
      <c r="C27">
        <v>0.1</v>
      </c>
    </row>
    <row r="28" spans="1:3" ht="15" customHeight="1" x14ac:dyDescent="0.25">
      <c r="A28" t="s">
        <v>2417</v>
      </c>
      <c r="B28">
        <v>20.3</v>
      </c>
      <c r="C28">
        <v>0.1</v>
      </c>
    </row>
    <row r="29" spans="1:3" ht="15" customHeight="1" x14ac:dyDescent="0.25">
      <c r="A29" t="s">
        <v>2418</v>
      </c>
      <c r="B29">
        <v>20.3</v>
      </c>
      <c r="C29">
        <v>0.1</v>
      </c>
    </row>
    <row r="30" spans="1:3" ht="15" customHeight="1" x14ac:dyDescent="0.25">
      <c r="A30" t="s">
        <v>2419</v>
      </c>
      <c r="B30">
        <v>20.3</v>
      </c>
      <c r="C30">
        <v>0.1</v>
      </c>
    </row>
    <row r="31" spans="1:3" ht="15" customHeight="1" x14ac:dyDescent="0.25">
      <c r="A31" t="s">
        <v>2420</v>
      </c>
      <c r="B31">
        <v>20.3</v>
      </c>
      <c r="C31">
        <v>0.1</v>
      </c>
    </row>
    <row r="32" spans="1:3" ht="15" customHeight="1" x14ac:dyDescent="0.25">
      <c r="A32" t="s">
        <v>2421</v>
      </c>
      <c r="B32">
        <v>20.3</v>
      </c>
      <c r="C32">
        <v>0.1</v>
      </c>
    </row>
    <row r="33" spans="1:3" ht="15" customHeight="1" x14ac:dyDescent="0.25">
      <c r="A33" t="s">
        <v>2422</v>
      </c>
      <c r="B33">
        <v>13.9</v>
      </c>
      <c r="C33">
        <v>0.1</v>
      </c>
    </row>
    <row r="34" spans="1:3" ht="15" customHeight="1" x14ac:dyDescent="0.25">
      <c r="A34" t="s">
        <v>2423</v>
      </c>
      <c r="B34">
        <v>13.9</v>
      </c>
      <c r="C34">
        <v>0.1</v>
      </c>
    </row>
    <row r="35" spans="1:3" ht="15" customHeight="1" x14ac:dyDescent="0.25">
      <c r="A35" t="s">
        <v>2424</v>
      </c>
      <c r="B35">
        <v>20.3</v>
      </c>
      <c r="C35">
        <v>0.1</v>
      </c>
    </row>
    <row r="36" spans="1:3" ht="15" customHeight="1" x14ac:dyDescent="0.25">
      <c r="A36" t="s">
        <v>2425</v>
      </c>
      <c r="B36">
        <v>20.3</v>
      </c>
      <c r="C36">
        <v>0.1</v>
      </c>
    </row>
    <row r="37" spans="1:3" ht="15" customHeight="1" x14ac:dyDescent="0.25">
      <c r="A37" t="s">
        <v>2426</v>
      </c>
      <c r="B37">
        <v>20.3</v>
      </c>
      <c r="C37">
        <v>0.02</v>
      </c>
    </row>
    <row r="38" spans="1:3" ht="15" customHeight="1" x14ac:dyDescent="0.25">
      <c r="A38" t="s">
        <v>1056</v>
      </c>
      <c r="B38">
        <v>20.3</v>
      </c>
      <c r="C38">
        <v>0.02</v>
      </c>
    </row>
    <row r="39" spans="1:3" ht="15" customHeight="1" x14ac:dyDescent="0.25">
      <c r="A39" t="s">
        <v>1593</v>
      </c>
      <c r="B39">
        <v>20.3</v>
      </c>
      <c r="C39">
        <v>0.02</v>
      </c>
    </row>
    <row r="40" spans="1:3" ht="15" customHeight="1" x14ac:dyDescent="0.25">
      <c r="A40" t="s">
        <v>2427</v>
      </c>
      <c r="B40">
        <v>20.3</v>
      </c>
      <c r="C40">
        <v>0.02</v>
      </c>
    </row>
    <row r="41" spans="1:3" ht="15" customHeight="1" x14ac:dyDescent="0.25">
      <c r="A41" t="s">
        <v>2428</v>
      </c>
      <c r="B41">
        <v>20.3</v>
      </c>
      <c r="C41">
        <v>0.02</v>
      </c>
    </row>
    <row r="42" spans="1:3" ht="15" customHeight="1" x14ac:dyDescent="0.25">
      <c r="A42" t="s">
        <v>561</v>
      </c>
      <c r="B42">
        <v>20.3</v>
      </c>
      <c r="C42">
        <v>0.02</v>
      </c>
    </row>
    <row r="43" spans="1:3" ht="15" customHeight="1" x14ac:dyDescent="0.25">
      <c r="A43" t="s">
        <v>1642</v>
      </c>
      <c r="B43">
        <v>19.899999999999999</v>
      </c>
      <c r="C43">
        <v>0.02</v>
      </c>
    </row>
    <row r="44" spans="1:3" ht="15" customHeight="1" x14ac:dyDescent="0.25">
      <c r="A44" t="s">
        <v>2429</v>
      </c>
      <c r="B44">
        <v>19.899999999999999</v>
      </c>
      <c r="C44">
        <v>0.02</v>
      </c>
    </row>
    <row r="45" spans="1:3" ht="15" customHeight="1" x14ac:dyDescent="0.25">
      <c r="A45" t="s">
        <v>2430</v>
      </c>
      <c r="B45">
        <v>20.3</v>
      </c>
      <c r="C45">
        <v>0.1</v>
      </c>
    </row>
    <row r="46" spans="1:3" ht="15" customHeight="1" x14ac:dyDescent="0.25">
      <c r="A46" t="s">
        <v>1579</v>
      </c>
      <c r="B46">
        <v>20.3</v>
      </c>
      <c r="C46">
        <v>0.1</v>
      </c>
    </row>
    <row r="47" spans="1:3" ht="15" customHeight="1" x14ac:dyDescent="0.25">
      <c r="A47" t="s">
        <v>874</v>
      </c>
      <c r="B47">
        <v>20.3</v>
      </c>
      <c r="C47">
        <v>0.02</v>
      </c>
    </row>
    <row r="48" spans="1:3" ht="15" customHeight="1" x14ac:dyDescent="0.25">
      <c r="A48" t="s">
        <v>2431</v>
      </c>
      <c r="B48">
        <v>20.3</v>
      </c>
      <c r="C48">
        <v>0.02</v>
      </c>
    </row>
    <row r="49" spans="1:3" ht="15" customHeight="1" x14ac:dyDescent="0.25">
      <c r="A49" t="s">
        <v>2432</v>
      </c>
      <c r="B49">
        <v>19.899999999999999</v>
      </c>
      <c r="C49">
        <v>0.02</v>
      </c>
    </row>
    <row r="50" spans="1:3" ht="15" customHeight="1" x14ac:dyDescent="0.25">
      <c r="A50" t="s">
        <v>2433</v>
      </c>
      <c r="B50">
        <v>19.899999999999999</v>
      </c>
      <c r="C50">
        <v>0.02</v>
      </c>
    </row>
    <row r="51" spans="1:3" ht="15" customHeight="1" x14ac:dyDescent="0.25">
      <c r="A51" t="s">
        <v>2434</v>
      </c>
      <c r="B51">
        <v>19.899999999999999</v>
      </c>
      <c r="C51">
        <v>0.02</v>
      </c>
    </row>
    <row r="52" spans="1:3" ht="15" customHeight="1" x14ac:dyDescent="0.25">
      <c r="A52" t="s">
        <v>2435</v>
      </c>
      <c r="B52">
        <v>19.899999999999999</v>
      </c>
      <c r="C52">
        <v>0.02</v>
      </c>
    </row>
    <row r="53" spans="1:3" ht="15" customHeight="1" x14ac:dyDescent="0.25">
      <c r="A53" t="s">
        <v>1292</v>
      </c>
      <c r="B53">
        <v>20.3</v>
      </c>
      <c r="C53">
        <v>0.02</v>
      </c>
    </row>
    <row r="54" spans="1:3" ht="15" customHeight="1" x14ac:dyDescent="0.25">
      <c r="A54" t="s">
        <v>2436</v>
      </c>
      <c r="B54">
        <v>20.3</v>
      </c>
      <c r="C54">
        <v>0.02</v>
      </c>
    </row>
    <row r="55" spans="1:3" ht="15" customHeight="1" x14ac:dyDescent="0.25">
      <c r="A55" t="s">
        <v>2437</v>
      </c>
      <c r="B55">
        <v>20.3</v>
      </c>
      <c r="C55">
        <v>0.02</v>
      </c>
    </row>
    <row r="56" spans="1:3" ht="15" customHeight="1" x14ac:dyDescent="0.25">
      <c r="A56" t="s">
        <v>2438</v>
      </c>
      <c r="B56">
        <v>20.3</v>
      </c>
      <c r="C56">
        <v>0.02</v>
      </c>
    </row>
    <row r="57" spans="1:3" ht="15" customHeight="1" x14ac:dyDescent="0.25">
      <c r="A57" t="s">
        <v>2439</v>
      </c>
      <c r="B57">
        <v>20.3</v>
      </c>
      <c r="C57">
        <v>0.02</v>
      </c>
    </row>
    <row r="58" spans="1:3" ht="15" customHeight="1" x14ac:dyDescent="0.25">
      <c r="A58" t="s">
        <v>1169</v>
      </c>
      <c r="B58">
        <v>20.3</v>
      </c>
      <c r="C58">
        <v>0.02</v>
      </c>
    </row>
    <row r="59" spans="1:3" ht="15" customHeight="1" x14ac:dyDescent="0.25">
      <c r="A59" t="s">
        <v>1827</v>
      </c>
      <c r="B59">
        <v>20.3</v>
      </c>
      <c r="C59">
        <v>0.02</v>
      </c>
    </row>
    <row r="60" spans="1:3" ht="15" customHeight="1" x14ac:dyDescent="0.25">
      <c r="A60" t="s">
        <v>2000</v>
      </c>
      <c r="B60">
        <v>20.3</v>
      </c>
      <c r="C60">
        <v>0.02</v>
      </c>
    </row>
    <row r="61" spans="1:3" ht="15" customHeight="1" x14ac:dyDescent="0.25">
      <c r="A61" t="s">
        <v>2440</v>
      </c>
      <c r="B61">
        <v>19.899999999999999</v>
      </c>
      <c r="C61">
        <v>0.02</v>
      </c>
    </row>
    <row r="62" spans="1:3" ht="15" customHeight="1" x14ac:dyDescent="0.25">
      <c r="A62" t="s">
        <v>2441</v>
      </c>
      <c r="B62">
        <v>19.899999999999999</v>
      </c>
      <c r="C62">
        <v>0.02</v>
      </c>
    </row>
    <row r="63" spans="1:3" ht="15" customHeight="1" x14ac:dyDescent="0.25">
      <c r="A63" t="s">
        <v>2082</v>
      </c>
      <c r="B63">
        <v>19.899999999999999</v>
      </c>
      <c r="C63">
        <v>0.02</v>
      </c>
    </row>
    <row r="64" spans="1:3" ht="15" customHeight="1" x14ac:dyDescent="0.25">
      <c r="A64" t="s">
        <v>2442</v>
      </c>
      <c r="B64">
        <v>19.899999999999999</v>
      </c>
      <c r="C64">
        <v>0.02</v>
      </c>
    </row>
    <row r="65" spans="1:3" ht="15" customHeight="1" x14ac:dyDescent="0.25">
      <c r="A65" t="s">
        <v>2443</v>
      </c>
      <c r="B65">
        <v>19.899999999999999</v>
      </c>
      <c r="C65">
        <v>0.02</v>
      </c>
    </row>
    <row r="66" spans="1:3" ht="15" customHeight="1" x14ac:dyDescent="0.25">
      <c r="A66" t="s">
        <v>2444</v>
      </c>
      <c r="B66">
        <v>19.899999999999999</v>
      </c>
      <c r="C66">
        <v>0.02</v>
      </c>
    </row>
    <row r="67" spans="1:3" ht="15" customHeight="1" x14ac:dyDescent="0.25">
      <c r="A67" t="s">
        <v>2445</v>
      </c>
      <c r="B67">
        <v>20.3</v>
      </c>
      <c r="C67">
        <v>0.02</v>
      </c>
    </row>
    <row r="68" spans="1:3" ht="15" customHeight="1" x14ac:dyDescent="0.25">
      <c r="A68" t="s">
        <v>1255</v>
      </c>
      <c r="B68">
        <v>20.3</v>
      </c>
      <c r="C68">
        <v>0.02</v>
      </c>
    </row>
    <row r="69" spans="1:3" ht="15" customHeight="1" x14ac:dyDescent="0.25">
      <c r="A69" t="s">
        <v>2446</v>
      </c>
      <c r="B69">
        <v>20.3</v>
      </c>
      <c r="C69">
        <v>0.02</v>
      </c>
    </row>
    <row r="70" spans="1:3" ht="15" customHeight="1" x14ac:dyDescent="0.25">
      <c r="A70" t="s">
        <v>2447</v>
      </c>
      <c r="B70">
        <v>20.3</v>
      </c>
      <c r="C70">
        <v>0.02</v>
      </c>
    </row>
    <row r="71" spans="1:3" ht="15" customHeight="1" x14ac:dyDescent="0.25">
      <c r="A71" t="s">
        <v>379</v>
      </c>
      <c r="B71">
        <v>20.3</v>
      </c>
      <c r="C71">
        <v>0.02</v>
      </c>
    </row>
    <row r="72" spans="1:3" ht="15" customHeight="1" x14ac:dyDescent="0.25">
      <c r="A72" t="s">
        <v>2448</v>
      </c>
      <c r="B72">
        <v>20.3</v>
      </c>
      <c r="C72">
        <v>0.02</v>
      </c>
    </row>
    <row r="73" spans="1:3" ht="15" customHeight="1" x14ac:dyDescent="0.25">
      <c r="A73" t="s">
        <v>2449</v>
      </c>
      <c r="B73">
        <v>20.3</v>
      </c>
      <c r="C73">
        <v>0.1</v>
      </c>
    </row>
    <row r="74" spans="1:3" ht="15" customHeight="1" x14ac:dyDescent="0.25">
      <c r="A74" t="s">
        <v>2450</v>
      </c>
      <c r="B74">
        <v>20.3</v>
      </c>
      <c r="C74">
        <v>0.1</v>
      </c>
    </row>
    <row r="75" spans="1:3" ht="15" customHeight="1" x14ac:dyDescent="0.25">
      <c r="A75" t="s">
        <v>2451</v>
      </c>
      <c r="B75">
        <v>20.3</v>
      </c>
      <c r="C75">
        <v>0.1</v>
      </c>
    </row>
    <row r="76" spans="1:3" ht="15" customHeight="1" x14ac:dyDescent="0.25">
      <c r="A76" t="s">
        <v>2452</v>
      </c>
      <c r="B76">
        <v>20.3</v>
      </c>
      <c r="C76">
        <v>0.1</v>
      </c>
    </row>
    <row r="77" spans="1:3" ht="15" customHeight="1" x14ac:dyDescent="0.25">
      <c r="A77" t="s">
        <v>2453</v>
      </c>
      <c r="B77">
        <v>20.3</v>
      </c>
      <c r="C77">
        <v>0.1</v>
      </c>
    </row>
    <row r="78" spans="1:3" ht="15" customHeight="1" x14ac:dyDescent="0.25">
      <c r="A78" t="s">
        <v>2454</v>
      </c>
      <c r="B78">
        <v>20.3</v>
      </c>
      <c r="C78">
        <v>0.1</v>
      </c>
    </row>
    <row r="79" spans="1:3" ht="15" customHeight="1" x14ac:dyDescent="0.25">
      <c r="A79" t="s">
        <v>2455</v>
      </c>
      <c r="B79">
        <v>20.3</v>
      </c>
      <c r="C79">
        <v>0.1</v>
      </c>
    </row>
    <row r="80" spans="1:3" ht="15" customHeight="1" x14ac:dyDescent="0.25">
      <c r="A80" t="s">
        <v>2456</v>
      </c>
      <c r="B80">
        <v>20.3</v>
      </c>
      <c r="C80">
        <v>0.1</v>
      </c>
    </row>
    <row r="81" spans="1:3" ht="15" customHeight="1" x14ac:dyDescent="0.25">
      <c r="A81" t="s">
        <v>2457</v>
      </c>
      <c r="B81">
        <v>20.3</v>
      </c>
      <c r="C81">
        <v>0.1</v>
      </c>
    </row>
    <row r="82" spans="1:3" ht="15" customHeight="1" x14ac:dyDescent="0.25">
      <c r="A82" t="s">
        <v>2458</v>
      </c>
      <c r="B82">
        <v>20.3</v>
      </c>
      <c r="C82">
        <v>0.1</v>
      </c>
    </row>
    <row r="83" spans="1:3" ht="15" customHeight="1" x14ac:dyDescent="0.25">
      <c r="A83" t="s">
        <v>341</v>
      </c>
      <c r="B83">
        <v>20.3</v>
      </c>
      <c r="C83">
        <v>0.1</v>
      </c>
    </row>
    <row r="84" spans="1:3" ht="15" customHeight="1" x14ac:dyDescent="0.25">
      <c r="A84" t="s">
        <v>2459</v>
      </c>
      <c r="B84">
        <v>20.3</v>
      </c>
      <c r="C84">
        <v>0.1</v>
      </c>
    </row>
    <row r="85" spans="1:3" ht="15" customHeight="1" x14ac:dyDescent="0.25">
      <c r="A85" t="s">
        <v>2460</v>
      </c>
      <c r="B85">
        <v>20.3</v>
      </c>
      <c r="C85">
        <v>0.02</v>
      </c>
    </row>
    <row r="86" spans="1:3" ht="15" customHeight="1" x14ac:dyDescent="0.25">
      <c r="A86" t="s">
        <v>2461</v>
      </c>
      <c r="B86">
        <v>20.3</v>
      </c>
      <c r="C86">
        <v>0.02</v>
      </c>
    </row>
    <row r="87" spans="1:3" ht="15" customHeight="1" x14ac:dyDescent="0.25">
      <c r="A87" t="s">
        <v>2462</v>
      </c>
      <c r="B87">
        <v>20.3</v>
      </c>
      <c r="C87">
        <v>0.1</v>
      </c>
    </row>
    <row r="88" spans="1:3" ht="15" customHeight="1" x14ac:dyDescent="0.25">
      <c r="A88" t="s">
        <v>2463</v>
      </c>
      <c r="B88">
        <v>20.3</v>
      </c>
      <c r="C88">
        <v>0.1</v>
      </c>
    </row>
    <row r="89" spans="1:3" ht="15" customHeight="1" x14ac:dyDescent="0.25">
      <c r="A89" t="s">
        <v>1210</v>
      </c>
      <c r="B89">
        <v>20.3</v>
      </c>
      <c r="C89">
        <v>0.02</v>
      </c>
    </row>
    <row r="90" spans="1:3" ht="15" customHeight="1" x14ac:dyDescent="0.25">
      <c r="A90" t="s">
        <v>2464</v>
      </c>
      <c r="B90">
        <v>20.3</v>
      </c>
      <c r="C90">
        <v>0.02</v>
      </c>
    </row>
    <row r="91" spans="1:3" ht="15" customHeight="1" x14ac:dyDescent="0.25">
      <c r="A91" t="s">
        <v>2465</v>
      </c>
      <c r="B91">
        <v>20.3</v>
      </c>
      <c r="C91">
        <v>0.1</v>
      </c>
    </row>
    <row r="92" spans="1:3" ht="15" customHeight="1" x14ac:dyDescent="0.25">
      <c r="A92" t="s">
        <v>2466</v>
      </c>
      <c r="B92">
        <v>20.3</v>
      </c>
      <c r="C92">
        <v>0.1</v>
      </c>
    </row>
    <row r="93" spans="1:3" ht="15" customHeight="1" x14ac:dyDescent="0.25">
      <c r="A93" t="s">
        <v>2467</v>
      </c>
      <c r="B93">
        <v>20.3</v>
      </c>
      <c r="C93">
        <v>0.02</v>
      </c>
    </row>
    <row r="94" spans="1:3" ht="15" customHeight="1" x14ac:dyDescent="0.25">
      <c r="A94" t="s">
        <v>2468</v>
      </c>
      <c r="B94">
        <v>20.3</v>
      </c>
      <c r="C94">
        <v>0.02</v>
      </c>
    </row>
    <row r="95" spans="1:3" ht="15" customHeight="1" x14ac:dyDescent="0.25">
      <c r="A95" t="s">
        <v>2469</v>
      </c>
      <c r="B95">
        <v>13.9</v>
      </c>
      <c r="C95">
        <v>0.1</v>
      </c>
    </row>
    <row r="96" spans="1:3" ht="15" customHeight="1" x14ac:dyDescent="0.25">
      <c r="A96" t="s">
        <v>2470</v>
      </c>
      <c r="B96">
        <v>13.9</v>
      </c>
      <c r="C96">
        <v>0.1</v>
      </c>
    </row>
    <row r="97" spans="1:3" ht="15" customHeight="1" x14ac:dyDescent="0.25">
      <c r="A97" t="s">
        <v>2471</v>
      </c>
      <c r="B97">
        <v>13.9</v>
      </c>
      <c r="C97">
        <v>0.1</v>
      </c>
    </row>
    <row r="98" spans="1:3" ht="15" customHeight="1" x14ac:dyDescent="0.25">
      <c r="A98" t="s">
        <v>2472</v>
      </c>
      <c r="B98">
        <v>13.9</v>
      </c>
      <c r="C98">
        <v>0.1</v>
      </c>
    </row>
    <row r="99" spans="1:3" ht="15" customHeight="1" x14ac:dyDescent="0.25">
      <c r="A99" t="s">
        <v>2473</v>
      </c>
      <c r="B99">
        <v>13.9</v>
      </c>
      <c r="C99">
        <v>0.02</v>
      </c>
    </row>
    <row r="100" spans="1:3" ht="15" customHeight="1" x14ac:dyDescent="0.25">
      <c r="A100" t="s">
        <v>2474</v>
      </c>
      <c r="B100">
        <v>13.9</v>
      </c>
      <c r="C100">
        <v>0.02</v>
      </c>
    </row>
    <row r="101" spans="1:3" ht="15" customHeight="1" x14ac:dyDescent="0.25">
      <c r="A101" t="s">
        <v>2475</v>
      </c>
      <c r="B101">
        <v>13.8</v>
      </c>
      <c r="C101">
        <v>0.02</v>
      </c>
    </row>
    <row r="102" spans="1:3" ht="15" customHeight="1" x14ac:dyDescent="0.25">
      <c r="A102" t="s">
        <v>2476</v>
      </c>
      <c r="B102">
        <v>13.8</v>
      </c>
      <c r="C102">
        <v>0.02</v>
      </c>
    </row>
    <row r="103" spans="1:3" ht="15" customHeight="1" x14ac:dyDescent="0.25">
      <c r="A103" t="s">
        <v>2477</v>
      </c>
      <c r="B103">
        <v>13.9</v>
      </c>
      <c r="C103">
        <v>0.1</v>
      </c>
    </row>
    <row r="104" spans="1:3" ht="15" customHeight="1" x14ac:dyDescent="0.25">
      <c r="A104" t="s">
        <v>2478</v>
      </c>
      <c r="B104">
        <v>13.9</v>
      </c>
      <c r="C104">
        <v>0.1</v>
      </c>
    </row>
    <row r="105" spans="1:3" ht="15" customHeight="1" x14ac:dyDescent="0.25">
      <c r="A105" t="s">
        <v>2479</v>
      </c>
      <c r="B105">
        <v>13.9</v>
      </c>
      <c r="C105">
        <v>0.1</v>
      </c>
    </row>
    <row r="106" spans="1:3" ht="15" customHeight="1" x14ac:dyDescent="0.25">
      <c r="A106" t="s">
        <v>2480</v>
      </c>
      <c r="B106">
        <v>13.9</v>
      </c>
      <c r="C106">
        <v>0.1</v>
      </c>
    </row>
    <row r="107" spans="1:3" ht="15" customHeight="1" x14ac:dyDescent="0.25">
      <c r="A107" t="s">
        <v>2481</v>
      </c>
      <c r="B107">
        <v>13.9</v>
      </c>
      <c r="C107">
        <v>0.1</v>
      </c>
    </row>
    <row r="108" spans="1:3" ht="15" customHeight="1" x14ac:dyDescent="0.25">
      <c r="A108" t="s">
        <v>2482</v>
      </c>
      <c r="B108">
        <v>13.9</v>
      </c>
      <c r="C108">
        <v>0.1</v>
      </c>
    </row>
    <row r="109" spans="1:3" ht="15" customHeight="1" x14ac:dyDescent="0.25">
      <c r="A109" t="s">
        <v>2483</v>
      </c>
      <c r="B109">
        <v>13.9</v>
      </c>
      <c r="C109">
        <v>0.1</v>
      </c>
    </row>
    <row r="110" spans="1:3" ht="15" customHeight="1" x14ac:dyDescent="0.25">
      <c r="A110" t="s">
        <v>2484</v>
      </c>
      <c r="B110">
        <v>13.9</v>
      </c>
      <c r="C110">
        <v>0.1</v>
      </c>
    </row>
    <row r="111" spans="1:3" ht="15" customHeight="1" x14ac:dyDescent="0.25">
      <c r="A111" t="s">
        <v>2485</v>
      </c>
      <c r="B111">
        <v>13.9</v>
      </c>
      <c r="C111">
        <v>0.1</v>
      </c>
    </row>
    <row r="112" spans="1:3" ht="15" customHeight="1" x14ac:dyDescent="0.25">
      <c r="A112" t="s">
        <v>2486</v>
      </c>
      <c r="B112">
        <v>13.9</v>
      </c>
      <c r="C112">
        <v>0.1</v>
      </c>
    </row>
    <row r="113" spans="1:3" ht="15" customHeight="1" x14ac:dyDescent="0.25">
      <c r="A113" t="s">
        <v>2487</v>
      </c>
      <c r="B113">
        <v>13.9</v>
      </c>
      <c r="C113">
        <v>0.1</v>
      </c>
    </row>
    <row r="114" spans="1:3" ht="15" customHeight="1" x14ac:dyDescent="0.25">
      <c r="A114" t="s">
        <v>2488</v>
      </c>
      <c r="B114">
        <v>13.9</v>
      </c>
      <c r="C114">
        <v>0.1</v>
      </c>
    </row>
    <row r="115" spans="1:3" ht="15" customHeight="1" x14ac:dyDescent="0.25">
      <c r="A115" t="s">
        <v>2489</v>
      </c>
      <c r="B115">
        <v>13.9</v>
      </c>
      <c r="C115">
        <v>0.1</v>
      </c>
    </row>
    <row r="116" spans="1:3" ht="15" customHeight="1" x14ac:dyDescent="0.25">
      <c r="A116" t="s">
        <v>2490</v>
      </c>
      <c r="B116">
        <v>13.9</v>
      </c>
      <c r="C116">
        <v>0.1</v>
      </c>
    </row>
    <row r="117" spans="1:3" ht="15" customHeight="1" x14ac:dyDescent="0.25">
      <c r="A117" t="s">
        <v>2491</v>
      </c>
      <c r="B117">
        <v>13.9</v>
      </c>
      <c r="C117">
        <v>0.1</v>
      </c>
    </row>
    <row r="118" spans="1:3" ht="15" customHeight="1" x14ac:dyDescent="0.25">
      <c r="A118" t="s">
        <v>2492</v>
      </c>
      <c r="B118">
        <v>13.9</v>
      </c>
      <c r="C118">
        <v>0.1</v>
      </c>
    </row>
    <row r="119" spans="1:3" ht="15" customHeight="1" x14ac:dyDescent="0.25">
      <c r="A119" t="s">
        <v>2493</v>
      </c>
      <c r="B119">
        <v>13.9</v>
      </c>
      <c r="C119">
        <v>0.1</v>
      </c>
    </row>
    <row r="120" spans="1:3" ht="15" customHeight="1" x14ac:dyDescent="0.25">
      <c r="A120" t="s">
        <v>2494</v>
      </c>
      <c r="B120">
        <v>13.9</v>
      </c>
      <c r="C120">
        <v>0.1</v>
      </c>
    </row>
    <row r="121" spans="1:3" ht="15" customHeight="1" x14ac:dyDescent="0.25">
      <c r="A121" t="s">
        <v>2495</v>
      </c>
      <c r="B121">
        <v>13.9</v>
      </c>
      <c r="C121">
        <v>0.02</v>
      </c>
    </row>
    <row r="122" spans="1:3" ht="15" customHeight="1" x14ac:dyDescent="0.25">
      <c r="A122" t="s">
        <v>2496</v>
      </c>
      <c r="B122">
        <v>13.9</v>
      </c>
      <c r="C122">
        <v>0.02</v>
      </c>
    </row>
    <row r="123" spans="1:3" ht="15" customHeight="1" x14ac:dyDescent="0.25">
      <c r="A123" t="s">
        <v>2497</v>
      </c>
      <c r="B123">
        <v>13.8</v>
      </c>
      <c r="C123">
        <v>0.02</v>
      </c>
    </row>
    <row r="124" spans="1:3" ht="15" customHeight="1" x14ac:dyDescent="0.25">
      <c r="A124" t="s">
        <v>1777</v>
      </c>
      <c r="B124">
        <v>13.8</v>
      </c>
      <c r="C124">
        <v>0.02</v>
      </c>
    </row>
    <row r="125" spans="1:3" ht="15" customHeight="1" x14ac:dyDescent="0.25">
      <c r="A125" t="s">
        <v>2498</v>
      </c>
      <c r="B125">
        <v>13.9</v>
      </c>
      <c r="C125">
        <v>0.02</v>
      </c>
    </row>
    <row r="126" spans="1:3" ht="15" customHeight="1" x14ac:dyDescent="0.25">
      <c r="A126" t="s">
        <v>1536</v>
      </c>
      <c r="B126">
        <v>13.9</v>
      </c>
      <c r="C126">
        <v>0.02</v>
      </c>
    </row>
    <row r="127" spans="1:3" ht="15" customHeight="1" x14ac:dyDescent="0.25">
      <c r="A127" t="s">
        <v>2499</v>
      </c>
      <c r="B127">
        <v>13.9</v>
      </c>
      <c r="C127">
        <v>0.02</v>
      </c>
    </row>
    <row r="128" spans="1:3" ht="15" customHeight="1" x14ac:dyDescent="0.25">
      <c r="A128" t="s">
        <v>2500</v>
      </c>
      <c r="B128">
        <v>13.9</v>
      </c>
      <c r="C128">
        <v>0.02</v>
      </c>
    </row>
    <row r="129" spans="1:3" ht="15" customHeight="1" x14ac:dyDescent="0.25">
      <c r="A129" t="s">
        <v>2501</v>
      </c>
      <c r="B129">
        <v>13.8</v>
      </c>
      <c r="C129">
        <v>0.02</v>
      </c>
    </row>
    <row r="130" spans="1:3" ht="15" customHeight="1" x14ac:dyDescent="0.25">
      <c r="A130" t="s">
        <v>2502</v>
      </c>
      <c r="B130">
        <v>13.8</v>
      </c>
      <c r="C130">
        <v>0.02</v>
      </c>
    </row>
    <row r="131" spans="1:3" ht="15" customHeight="1" x14ac:dyDescent="0.25">
      <c r="A131" t="s">
        <v>2503</v>
      </c>
      <c r="B131">
        <v>13.8</v>
      </c>
      <c r="C131">
        <v>0.02</v>
      </c>
    </row>
    <row r="132" spans="1:3" ht="15" customHeight="1" x14ac:dyDescent="0.25">
      <c r="A132" t="s">
        <v>2504</v>
      </c>
      <c r="B132">
        <v>13.8</v>
      </c>
      <c r="C132">
        <v>0.02</v>
      </c>
    </row>
    <row r="133" spans="1:3" ht="15" customHeight="1" x14ac:dyDescent="0.25">
      <c r="A133" t="s">
        <v>2505</v>
      </c>
      <c r="B133">
        <v>13.9</v>
      </c>
      <c r="C133">
        <v>0.02</v>
      </c>
    </row>
    <row r="134" spans="1:3" ht="15" customHeight="1" x14ac:dyDescent="0.25">
      <c r="A134" t="s">
        <v>2506</v>
      </c>
      <c r="B134">
        <v>13.9</v>
      </c>
      <c r="C134">
        <v>0.02</v>
      </c>
    </row>
    <row r="135" spans="1:3" ht="15" customHeight="1" x14ac:dyDescent="0.25">
      <c r="A135" t="s">
        <v>2507</v>
      </c>
      <c r="B135">
        <v>13.9</v>
      </c>
      <c r="C135">
        <v>0.02</v>
      </c>
    </row>
    <row r="136" spans="1:3" ht="15" customHeight="1" x14ac:dyDescent="0.25">
      <c r="A136" t="s">
        <v>2027</v>
      </c>
      <c r="B136">
        <v>13.9</v>
      </c>
      <c r="C136">
        <v>0.02</v>
      </c>
    </row>
    <row r="137" spans="1:3" ht="15" customHeight="1" x14ac:dyDescent="0.25">
      <c r="A137" t="s">
        <v>1087</v>
      </c>
      <c r="B137">
        <v>13.9</v>
      </c>
      <c r="C137">
        <v>0.02</v>
      </c>
    </row>
    <row r="138" spans="1:3" ht="15" customHeight="1" x14ac:dyDescent="0.25">
      <c r="A138" t="s">
        <v>1476</v>
      </c>
      <c r="B138">
        <v>13.9</v>
      </c>
      <c r="C138">
        <v>0.02</v>
      </c>
    </row>
    <row r="139" spans="1:3" ht="15" customHeight="1" x14ac:dyDescent="0.25">
      <c r="A139" t="s">
        <v>2508</v>
      </c>
      <c r="B139">
        <v>13.8</v>
      </c>
      <c r="C139">
        <v>0.02</v>
      </c>
    </row>
    <row r="140" spans="1:3" ht="15" customHeight="1" x14ac:dyDescent="0.25">
      <c r="A140" t="s">
        <v>2509</v>
      </c>
      <c r="B140">
        <v>13.8</v>
      </c>
      <c r="C140">
        <v>0.02</v>
      </c>
    </row>
    <row r="141" spans="1:3" ht="15" customHeight="1" x14ac:dyDescent="0.25">
      <c r="A141" t="s">
        <v>2510</v>
      </c>
      <c r="B141">
        <v>13.9</v>
      </c>
      <c r="C141">
        <v>0.1</v>
      </c>
    </row>
    <row r="142" spans="1:3" ht="15" customHeight="1" x14ac:dyDescent="0.25">
      <c r="A142" t="s">
        <v>2511</v>
      </c>
      <c r="B142">
        <v>13.9</v>
      </c>
      <c r="C142">
        <v>0.1</v>
      </c>
    </row>
    <row r="143" spans="1:3" ht="15" customHeight="1" x14ac:dyDescent="0.25">
      <c r="A143" t="s">
        <v>751</v>
      </c>
      <c r="B143">
        <v>13.8</v>
      </c>
      <c r="C143">
        <v>0.02</v>
      </c>
    </row>
    <row r="144" spans="1:3" ht="15" customHeight="1" x14ac:dyDescent="0.25">
      <c r="A144" t="s">
        <v>2512</v>
      </c>
      <c r="B144">
        <v>13.8</v>
      </c>
      <c r="C144">
        <v>0.02</v>
      </c>
    </row>
    <row r="145" spans="1:3" ht="15" customHeight="1" x14ac:dyDescent="0.25">
      <c r="A145" t="s">
        <v>2513</v>
      </c>
      <c r="B145">
        <v>13.8</v>
      </c>
      <c r="C145">
        <v>0.02</v>
      </c>
    </row>
    <row r="146" spans="1:3" ht="15" customHeight="1" x14ac:dyDescent="0.25">
      <c r="A146" t="s">
        <v>2514</v>
      </c>
      <c r="B146">
        <v>13.8</v>
      </c>
      <c r="C146">
        <v>0.02</v>
      </c>
    </row>
    <row r="147" spans="1:3" ht="15" customHeight="1" x14ac:dyDescent="0.25">
      <c r="A147" t="s">
        <v>2515</v>
      </c>
      <c r="B147">
        <v>13.9</v>
      </c>
      <c r="C147">
        <v>0.02</v>
      </c>
    </row>
    <row r="148" spans="1:3" ht="15" customHeight="1" x14ac:dyDescent="0.25">
      <c r="A148" t="s">
        <v>645</v>
      </c>
      <c r="B148">
        <v>13.9</v>
      </c>
      <c r="C148">
        <v>0.02</v>
      </c>
    </row>
    <row r="149" spans="1:3" ht="15" customHeight="1" x14ac:dyDescent="0.25">
      <c r="A149" t="s">
        <v>2516</v>
      </c>
      <c r="B149">
        <v>13.9</v>
      </c>
      <c r="C149">
        <v>0.02</v>
      </c>
    </row>
    <row r="150" spans="1:3" ht="15" customHeight="1" x14ac:dyDescent="0.25">
      <c r="A150" t="s">
        <v>2517</v>
      </c>
      <c r="B150">
        <v>13.9</v>
      </c>
      <c r="C150">
        <v>0.02</v>
      </c>
    </row>
    <row r="151" spans="1:3" ht="15" customHeight="1" x14ac:dyDescent="0.25">
      <c r="A151" t="s">
        <v>2518</v>
      </c>
      <c r="B151">
        <v>13.9</v>
      </c>
      <c r="C151">
        <v>0.02</v>
      </c>
    </row>
    <row r="152" spans="1:3" ht="15" customHeight="1" x14ac:dyDescent="0.25">
      <c r="A152" t="s">
        <v>2519</v>
      </c>
      <c r="B152">
        <v>13.9</v>
      </c>
      <c r="C152">
        <v>0.1</v>
      </c>
    </row>
    <row r="153" spans="1:3" ht="15" customHeight="1" x14ac:dyDescent="0.25">
      <c r="A153" t="s">
        <v>1806</v>
      </c>
      <c r="B153">
        <v>13.9</v>
      </c>
      <c r="C153">
        <v>0.1</v>
      </c>
    </row>
    <row r="154" spans="1:3" ht="15" customHeight="1" x14ac:dyDescent="0.25">
      <c r="A154" t="s">
        <v>2520</v>
      </c>
      <c r="B154">
        <v>13.9</v>
      </c>
      <c r="C154">
        <v>0.1</v>
      </c>
    </row>
    <row r="155" spans="1:3" ht="15" customHeight="1" x14ac:dyDescent="0.25">
      <c r="A155" t="s">
        <v>2521</v>
      </c>
      <c r="B155">
        <v>13.9</v>
      </c>
      <c r="C155">
        <v>0.1</v>
      </c>
    </row>
    <row r="156" spans="1:3" ht="15" customHeight="1" x14ac:dyDescent="0.25">
      <c r="A156" t="s">
        <v>2522</v>
      </c>
      <c r="B156">
        <v>13.9</v>
      </c>
      <c r="C156">
        <v>0.1</v>
      </c>
    </row>
    <row r="157" spans="1:3" ht="15" customHeight="1" x14ac:dyDescent="0.25">
      <c r="A157" t="s">
        <v>2523</v>
      </c>
      <c r="B157">
        <v>13.9</v>
      </c>
      <c r="C157">
        <v>0.1</v>
      </c>
    </row>
    <row r="158" spans="1:3" ht="15" customHeight="1" x14ac:dyDescent="0.25">
      <c r="A158" t="s">
        <v>2524</v>
      </c>
      <c r="B158">
        <v>13.9</v>
      </c>
      <c r="C158">
        <v>0.1</v>
      </c>
    </row>
    <row r="159" spans="1:3" ht="15" customHeight="1" x14ac:dyDescent="0.25">
      <c r="A159" t="s">
        <v>2525</v>
      </c>
      <c r="B159">
        <v>13.9</v>
      </c>
      <c r="C159">
        <v>0.1</v>
      </c>
    </row>
    <row r="160" spans="1:3" ht="15" customHeight="1" x14ac:dyDescent="0.25">
      <c r="A160" t="s">
        <v>2526</v>
      </c>
      <c r="B160">
        <v>13.9</v>
      </c>
      <c r="C160">
        <v>0.1</v>
      </c>
    </row>
    <row r="161" spans="1:3" ht="15" customHeight="1" x14ac:dyDescent="0.25">
      <c r="A161" t="s">
        <v>2527</v>
      </c>
      <c r="B161">
        <v>13.9</v>
      </c>
      <c r="C161">
        <v>0.1</v>
      </c>
    </row>
    <row r="162" spans="1:3" ht="15" customHeight="1" x14ac:dyDescent="0.25">
      <c r="A162" t="s">
        <v>2528</v>
      </c>
      <c r="B162">
        <v>13.9</v>
      </c>
      <c r="C162">
        <v>0.1</v>
      </c>
    </row>
    <row r="163" spans="1:3" ht="15" customHeight="1" x14ac:dyDescent="0.25">
      <c r="A163" t="s">
        <v>2529</v>
      </c>
      <c r="B163">
        <v>13.9</v>
      </c>
      <c r="C163">
        <v>0.1</v>
      </c>
    </row>
    <row r="164" spans="1:3" ht="15" customHeight="1" x14ac:dyDescent="0.25">
      <c r="A164" t="s">
        <v>2530</v>
      </c>
      <c r="B164">
        <v>13.9</v>
      </c>
      <c r="C164">
        <v>0.1</v>
      </c>
    </row>
    <row r="165" spans="1:3" ht="15" customHeight="1" x14ac:dyDescent="0.25">
      <c r="A165" t="s">
        <v>2531</v>
      </c>
      <c r="B165">
        <v>13.9</v>
      </c>
      <c r="C165">
        <v>0.1</v>
      </c>
    </row>
    <row r="166" spans="1:3" ht="15" customHeight="1" x14ac:dyDescent="0.25">
      <c r="A166" t="s">
        <v>2532</v>
      </c>
      <c r="B166">
        <v>13.9</v>
      </c>
      <c r="C166">
        <v>0.02</v>
      </c>
    </row>
    <row r="167" spans="1:3" ht="15" customHeight="1" x14ac:dyDescent="0.25">
      <c r="A167" t="s">
        <v>2533</v>
      </c>
      <c r="B167">
        <v>13.9</v>
      </c>
      <c r="C167">
        <v>0.02</v>
      </c>
    </row>
    <row r="168" spans="1:3" ht="15" customHeight="1" x14ac:dyDescent="0.25">
      <c r="A168" t="s">
        <v>2534</v>
      </c>
      <c r="B168">
        <v>13.9</v>
      </c>
      <c r="C168">
        <v>0.1</v>
      </c>
    </row>
    <row r="169" spans="1:3" ht="15" customHeight="1" x14ac:dyDescent="0.25">
      <c r="A169" t="s">
        <v>2535</v>
      </c>
      <c r="B169">
        <v>13.9</v>
      </c>
      <c r="C169">
        <v>0.1</v>
      </c>
    </row>
    <row r="170" spans="1:3" ht="15" customHeight="1" x14ac:dyDescent="0.25">
      <c r="A170" t="s">
        <v>2536</v>
      </c>
      <c r="B170">
        <v>13.9</v>
      </c>
      <c r="C170">
        <v>0.1</v>
      </c>
    </row>
    <row r="171" spans="1:3" ht="15" customHeight="1" x14ac:dyDescent="0.25">
      <c r="A171" t="s">
        <v>2537</v>
      </c>
      <c r="B171">
        <v>13.9</v>
      </c>
      <c r="C171">
        <v>0.1</v>
      </c>
    </row>
    <row r="172" spans="1:3" ht="15" customHeight="1" x14ac:dyDescent="0.25">
      <c r="A172" t="s">
        <v>2538</v>
      </c>
      <c r="B172">
        <v>13.9</v>
      </c>
      <c r="C172">
        <v>0.1</v>
      </c>
    </row>
    <row r="173" spans="1:3" ht="15" customHeight="1" x14ac:dyDescent="0.25">
      <c r="A173" t="s">
        <v>2539</v>
      </c>
      <c r="B173">
        <v>13.9</v>
      </c>
      <c r="C173">
        <v>0.1</v>
      </c>
    </row>
    <row r="174" spans="1:3" ht="15" customHeight="1" x14ac:dyDescent="0.25">
      <c r="A174" t="s">
        <v>2540</v>
      </c>
      <c r="B174">
        <v>48.9</v>
      </c>
      <c r="C174">
        <v>0.02</v>
      </c>
    </row>
    <row r="175" spans="1:3" ht="15" customHeight="1" x14ac:dyDescent="0.25">
      <c r="A175" t="s">
        <v>2541</v>
      </c>
      <c r="B175">
        <v>48.9</v>
      </c>
      <c r="C175">
        <v>0.02</v>
      </c>
    </row>
    <row r="176" spans="1:3" ht="15" customHeight="1" x14ac:dyDescent="0.25">
      <c r="A176" t="s">
        <v>2542</v>
      </c>
      <c r="B176">
        <v>48.9</v>
      </c>
      <c r="C176">
        <v>0.02</v>
      </c>
    </row>
    <row r="177" spans="1:3" ht="15" customHeight="1" x14ac:dyDescent="0.25">
      <c r="A177" t="s">
        <v>1206</v>
      </c>
      <c r="B177">
        <v>48.9</v>
      </c>
      <c r="C177">
        <v>0.02</v>
      </c>
    </row>
    <row r="178" spans="1:3" ht="15" customHeight="1" x14ac:dyDescent="0.25">
      <c r="A178" t="s">
        <v>404</v>
      </c>
      <c r="B178">
        <v>48.9</v>
      </c>
      <c r="C178">
        <v>0.02</v>
      </c>
    </row>
    <row r="179" spans="1:3" ht="15" customHeight="1" x14ac:dyDescent="0.25">
      <c r="A179" t="s">
        <v>2543</v>
      </c>
      <c r="B179">
        <v>48.9</v>
      </c>
      <c r="C179">
        <v>0.02</v>
      </c>
    </row>
    <row r="180" spans="1:3" ht="15" customHeight="1" x14ac:dyDescent="0.25">
      <c r="A180" t="s">
        <v>2544</v>
      </c>
      <c r="B180">
        <v>10.5</v>
      </c>
    </row>
    <row r="181" spans="1:3" ht="15" customHeight="1" x14ac:dyDescent="0.25">
      <c r="A181" t="s">
        <v>2545</v>
      </c>
      <c r="B181">
        <v>10.5</v>
      </c>
    </row>
    <row r="182" spans="1:3" ht="15" customHeight="1" x14ac:dyDescent="0.25">
      <c r="A182" t="s">
        <v>2546</v>
      </c>
      <c r="B182">
        <v>10.5</v>
      </c>
      <c r="C182">
        <v>0.05</v>
      </c>
    </row>
    <row r="183" spans="1:3" ht="15" customHeight="1" x14ac:dyDescent="0.25">
      <c r="A183" t="s">
        <v>2547</v>
      </c>
      <c r="B183">
        <v>6.3</v>
      </c>
      <c r="C183">
        <v>0.05</v>
      </c>
    </row>
    <row r="184" spans="1:3" ht="15" customHeight="1" x14ac:dyDescent="0.25">
      <c r="A184" t="s">
        <v>2548</v>
      </c>
      <c r="B184">
        <v>6.3</v>
      </c>
      <c r="C184">
        <v>0.05</v>
      </c>
    </row>
    <row r="185" spans="1:3" ht="15" customHeight="1" x14ac:dyDescent="0.25">
      <c r="A185" t="s">
        <v>2549</v>
      </c>
      <c r="B185">
        <v>6.3</v>
      </c>
      <c r="C185">
        <v>0.05</v>
      </c>
    </row>
    <row r="186" spans="1:3" ht="15" customHeight="1" x14ac:dyDescent="0.25">
      <c r="A186" t="s">
        <v>2550</v>
      </c>
      <c r="B186">
        <v>6.3</v>
      </c>
      <c r="C186">
        <v>0.05</v>
      </c>
    </row>
    <row r="187" spans="1:3" ht="15" customHeight="1" x14ac:dyDescent="0.25">
      <c r="A187" t="s">
        <v>2551</v>
      </c>
      <c r="B187">
        <v>6.3</v>
      </c>
      <c r="C187">
        <v>0.05</v>
      </c>
    </row>
    <row r="188" spans="1:3" ht="15" customHeight="1" x14ac:dyDescent="0.25">
      <c r="A188" t="s">
        <v>2552</v>
      </c>
      <c r="B188">
        <v>6.3</v>
      </c>
      <c r="C188">
        <v>0.05</v>
      </c>
    </row>
    <row r="189" spans="1:3" ht="15" customHeight="1" x14ac:dyDescent="0.25">
      <c r="A189" t="s">
        <v>2553</v>
      </c>
      <c r="B189">
        <v>6.3</v>
      </c>
      <c r="C189">
        <v>0.05</v>
      </c>
    </row>
    <row r="190" spans="1:3" ht="15" customHeight="1" x14ac:dyDescent="0.25">
      <c r="A190" t="s">
        <v>2554</v>
      </c>
      <c r="B190">
        <v>6.3</v>
      </c>
      <c r="C190">
        <v>0.05</v>
      </c>
    </row>
    <row r="191" spans="1:3" ht="15" customHeight="1" x14ac:dyDescent="0.25">
      <c r="A191" t="s">
        <v>2555</v>
      </c>
      <c r="B191">
        <v>6.3</v>
      </c>
      <c r="C191">
        <v>0.05</v>
      </c>
    </row>
    <row r="192" spans="1:3" ht="15" customHeight="1" x14ac:dyDescent="0.25">
      <c r="A192" t="s">
        <v>2556</v>
      </c>
      <c r="B192">
        <v>6.3</v>
      </c>
      <c r="C192">
        <v>0.05</v>
      </c>
    </row>
    <row r="193" spans="1:3" ht="15" customHeight="1" x14ac:dyDescent="0.25">
      <c r="A193" t="s">
        <v>2557</v>
      </c>
      <c r="B193">
        <v>6.3</v>
      </c>
      <c r="C193">
        <v>0.05</v>
      </c>
    </row>
    <row r="194" spans="1:3" ht="15" customHeight="1" x14ac:dyDescent="0.25">
      <c r="A194" t="s">
        <v>2558</v>
      </c>
      <c r="B194">
        <v>6.3</v>
      </c>
      <c r="C194">
        <v>0.05</v>
      </c>
    </row>
    <row r="195" spans="1:3" ht="15" customHeight="1" x14ac:dyDescent="0.25">
      <c r="A195" t="s">
        <v>2559</v>
      </c>
      <c r="B195">
        <v>6.3</v>
      </c>
      <c r="C195">
        <v>0.05</v>
      </c>
    </row>
    <row r="196" spans="1:3" ht="15" customHeight="1" x14ac:dyDescent="0.25">
      <c r="A196" t="s">
        <v>2560</v>
      </c>
      <c r="B196">
        <v>6.3</v>
      </c>
      <c r="C196">
        <v>0.05</v>
      </c>
    </row>
    <row r="197" spans="1:3" ht="15" customHeight="1" x14ac:dyDescent="0.25">
      <c r="A197" t="s">
        <v>2561</v>
      </c>
      <c r="B197">
        <v>6.3</v>
      </c>
      <c r="C197">
        <v>0.05</v>
      </c>
    </row>
    <row r="198" spans="1:3" ht="15" customHeight="1" x14ac:dyDescent="0.25">
      <c r="A198" t="s">
        <v>2562</v>
      </c>
      <c r="B198">
        <v>6.3</v>
      </c>
      <c r="C198">
        <v>0.05</v>
      </c>
    </row>
    <row r="199" spans="1:3" ht="15" customHeight="1" x14ac:dyDescent="0.25">
      <c r="A199" t="s">
        <v>2563</v>
      </c>
      <c r="B199">
        <v>6.3</v>
      </c>
      <c r="C199">
        <v>0.05</v>
      </c>
    </row>
    <row r="200" spans="1:3" ht="15" customHeight="1" x14ac:dyDescent="0.25">
      <c r="A200" t="s">
        <v>2564</v>
      </c>
      <c r="B200">
        <v>6.3</v>
      </c>
      <c r="C200">
        <v>0.05</v>
      </c>
    </row>
    <row r="201" spans="1:3" ht="15" customHeight="1" x14ac:dyDescent="0.25">
      <c r="A201" t="s">
        <v>2565</v>
      </c>
      <c r="B201">
        <v>6.3</v>
      </c>
      <c r="C201">
        <v>0.05</v>
      </c>
    </row>
    <row r="202" spans="1:3" ht="15" customHeight="1" x14ac:dyDescent="0.25">
      <c r="A202" t="s">
        <v>2566</v>
      </c>
      <c r="B202">
        <v>6.3</v>
      </c>
      <c r="C202">
        <v>0.05</v>
      </c>
    </row>
    <row r="203" spans="1:3" ht="15" customHeight="1" x14ac:dyDescent="0.25">
      <c r="A203" t="s">
        <v>2567</v>
      </c>
      <c r="B203">
        <v>6.3</v>
      </c>
      <c r="C203">
        <v>0.05</v>
      </c>
    </row>
    <row r="204" spans="1:3" ht="15" customHeight="1" x14ac:dyDescent="0.25">
      <c r="A204" t="s">
        <v>2568</v>
      </c>
      <c r="B204">
        <v>6.3</v>
      </c>
      <c r="C204">
        <v>0.05</v>
      </c>
    </row>
    <row r="205" spans="1:3" ht="15" customHeight="1" x14ac:dyDescent="0.25">
      <c r="A205" t="s">
        <v>2569</v>
      </c>
      <c r="B205">
        <v>6.3</v>
      </c>
      <c r="C205">
        <v>0.05</v>
      </c>
    </row>
    <row r="206" spans="1:3" ht="15" customHeight="1" x14ac:dyDescent="0.25">
      <c r="A206" t="s">
        <v>2570</v>
      </c>
      <c r="B206">
        <v>6.3</v>
      </c>
      <c r="C206">
        <v>0.05</v>
      </c>
    </row>
    <row r="207" spans="1:3" ht="15" customHeight="1" x14ac:dyDescent="0.25">
      <c r="A207" t="s">
        <v>2571</v>
      </c>
      <c r="B207">
        <v>6.3</v>
      </c>
      <c r="C207">
        <v>0.05</v>
      </c>
    </row>
    <row r="208" spans="1:3" ht="15" customHeight="1" x14ac:dyDescent="0.25">
      <c r="A208" t="s">
        <v>2572</v>
      </c>
      <c r="B208">
        <v>6.3</v>
      </c>
      <c r="C208">
        <v>0.05</v>
      </c>
    </row>
    <row r="209" spans="1:3" ht="15" customHeight="1" x14ac:dyDescent="0.25">
      <c r="A209" t="s">
        <v>2573</v>
      </c>
      <c r="B209">
        <v>6.3</v>
      </c>
      <c r="C209">
        <v>0.05</v>
      </c>
    </row>
    <row r="210" spans="1:3" ht="15" customHeight="1" x14ac:dyDescent="0.25">
      <c r="A210" t="s">
        <v>2574</v>
      </c>
      <c r="B210">
        <v>6.3</v>
      </c>
      <c r="C210">
        <v>0.05</v>
      </c>
    </row>
    <row r="211" spans="1:3" ht="15" customHeight="1" x14ac:dyDescent="0.25">
      <c r="A211" t="s">
        <v>2575</v>
      </c>
      <c r="B211">
        <v>6.3</v>
      </c>
      <c r="C211">
        <v>0.05</v>
      </c>
    </row>
    <row r="212" spans="1:3" ht="15" customHeight="1" x14ac:dyDescent="0.25">
      <c r="A212" t="s">
        <v>2576</v>
      </c>
      <c r="B212">
        <v>6.3</v>
      </c>
      <c r="C212">
        <v>0.05</v>
      </c>
    </row>
    <row r="213" spans="1:3" ht="15" customHeight="1" x14ac:dyDescent="0.25">
      <c r="A213" t="s">
        <v>2577</v>
      </c>
      <c r="B213">
        <v>6.3</v>
      </c>
      <c r="C213">
        <v>0.05</v>
      </c>
    </row>
    <row r="214" spans="1:3" ht="15" customHeight="1" x14ac:dyDescent="0.25">
      <c r="A214" t="s">
        <v>2578</v>
      </c>
      <c r="B214">
        <v>6.3</v>
      </c>
      <c r="C214">
        <v>0.05</v>
      </c>
    </row>
    <row r="215" spans="1:3" ht="15" customHeight="1" x14ac:dyDescent="0.25">
      <c r="A215" t="s">
        <v>2579</v>
      </c>
      <c r="B215">
        <v>6.3</v>
      </c>
      <c r="C215">
        <v>0.05</v>
      </c>
    </row>
    <row r="216" spans="1:3" ht="15" customHeight="1" x14ac:dyDescent="0.25">
      <c r="A216" t="s">
        <v>2580</v>
      </c>
      <c r="B216">
        <v>6.3</v>
      </c>
      <c r="C216">
        <v>0.05</v>
      </c>
    </row>
    <row r="217" spans="1:3" ht="15" customHeight="1" x14ac:dyDescent="0.25">
      <c r="A217" t="s">
        <v>2581</v>
      </c>
      <c r="B217">
        <v>6.3</v>
      </c>
      <c r="C217">
        <v>0.05</v>
      </c>
    </row>
    <row r="218" spans="1:3" ht="15" customHeight="1" x14ac:dyDescent="0.25">
      <c r="A218" t="s">
        <v>2582</v>
      </c>
      <c r="B218">
        <v>6.3</v>
      </c>
      <c r="C218">
        <v>0.05</v>
      </c>
    </row>
    <row r="219" spans="1:3" ht="15" customHeight="1" x14ac:dyDescent="0.25">
      <c r="A219" t="s">
        <v>2583</v>
      </c>
      <c r="B219">
        <v>6.3</v>
      </c>
      <c r="C219">
        <v>0.05</v>
      </c>
    </row>
    <row r="220" spans="1:3" ht="15" customHeight="1" x14ac:dyDescent="0.25">
      <c r="A220" t="s">
        <v>2584</v>
      </c>
      <c r="B220">
        <v>6.3</v>
      </c>
      <c r="C220">
        <v>0.05</v>
      </c>
    </row>
    <row r="221" spans="1:3" ht="15" customHeight="1" x14ac:dyDescent="0.25">
      <c r="A221" t="s">
        <v>2585</v>
      </c>
      <c r="B221">
        <v>6.3</v>
      </c>
      <c r="C221">
        <v>0.05</v>
      </c>
    </row>
    <row r="222" spans="1:3" ht="15" customHeight="1" x14ac:dyDescent="0.25">
      <c r="A222" t="s">
        <v>2586</v>
      </c>
      <c r="B222">
        <v>6.3</v>
      </c>
    </row>
    <row r="223" spans="1:3" ht="15" customHeight="1" x14ac:dyDescent="0.25">
      <c r="A223" t="s">
        <v>2587</v>
      </c>
      <c r="B223">
        <v>6.3</v>
      </c>
      <c r="C223">
        <v>0.05</v>
      </c>
    </row>
    <row r="224" spans="1:3" ht="15" customHeight="1" x14ac:dyDescent="0.25">
      <c r="A224" t="s">
        <v>2588</v>
      </c>
      <c r="B224">
        <v>6.3</v>
      </c>
      <c r="C224">
        <v>0.05</v>
      </c>
    </row>
    <row r="225" spans="1:3" ht="15" customHeight="1" x14ac:dyDescent="0.25">
      <c r="A225" t="s">
        <v>2589</v>
      </c>
      <c r="B225">
        <v>6.2</v>
      </c>
      <c r="C225">
        <v>0.05</v>
      </c>
    </row>
    <row r="226" spans="1:3" ht="15" customHeight="1" x14ac:dyDescent="0.25">
      <c r="A226" t="s">
        <v>2590</v>
      </c>
      <c r="B226">
        <v>6.2</v>
      </c>
      <c r="C226">
        <v>0.05</v>
      </c>
    </row>
    <row r="227" spans="1:3" ht="15" customHeight="1" x14ac:dyDescent="0.25">
      <c r="A227" t="s">
        <v>2591</v>
      </c>
      <c r="B227">
        <v>6.2</v>
      </c>
      <c r="C227">
        <v>0.05</v>
      </c>
    </row>
    <row r="228" spans="1:3" ht="15" customHeight="1" x14ac:dyDescent="0.25">
      <c r="A228" t="s">
        <v>2592</v>
      </c>
      <c r="B228">
        <v>6.2</v>
      </c>
      <c r="C228">
        <v>0.05</v>
      </c>
    </row>
    <row r="229" spans="1:3" ht="15" customHeight="1" x14ac:dyDescent="0.25">
      <c r="A229" t="s">
        <v>2593</v>
      </c>
      <c r="B229">
        <v>6.2</v>
      </c>
      <c r="C229">
        <v>0.05</v>
      </c>
    </row>
    <row r="230" spans="1:3" ht="15" customHeight="1" x14ac:dyDescent="0.25">
      <c r="A230" t="s">
        <v>2594</v>
      </c>
      <c r="B230">
        <v>6.2</v>
      </c>
      <c r="C230">
        <v>0.05</v>
      </c>
    </row>
    <row r="231" spans="1:3" ht="15" customHeight="1" x14ac:dyDescent="0.25">
      <c r="A231" t="s">
        <v>2595</v>
      </c>
      <c r="B231">
        <v>6.2</v>
      </c>
      <c r="C231">
        <v>0.05</v>
      </c>
    </row>
    <row r="232" spans="1:3" ht="15" customHeight="1" x14ac:dyDescent="0.25">
      <c r="A232" t="s">
        <v>2596</v>
      </c>
      <c r="B232">
        <v>6.2</v>
      </c>
      <c r="C232">
        <v>0.05</v>
      </c>
    </row>
    <row r="233" spans="1:3" ht="15" customHeight="1" x14ac:dyDescent="0.25">
      <c r="A233" t="s">
        <v>2597</v>
      </c>
      <c r="B233">
        <v>6.2</v>
      </c>
      <c r="C233">
        <v>0.05</v>
      </c>
    </row>
    <row r="234" spans="1:3" ht="15" customHeight="1" x14ac:dyDescent="0.25">
      <c r="A234" t="s">
        <v>2598</v>
      </c>
      <c r="B234">
        <v>6.2</v>
      </c>
      <c r="C234">
        <v>0.05</v>
      </c>
    </row>
    <row r="235" spans="1:3" ht="15" customHeight="1" x14ac:dyDescent="0.25">
      <c r="A235" t="s">
        <v>2599</v>
      </c>
      <c r="B235">
        <v>6.2</v>
      </c>
      <c r="C235">
        <v>0.05</v>
      </c>
    </row>
    <row r="236" spans="1:3" ht="15" customHeight="1" x14ac:dyDescent="0.25">
      <c r="A236" t="s">
        <v>2600</v>
      </c>
      <c r="B236">
        <v>6.2</v>
      </c>
      <c r="C236">
        <v>0.05</v>
      </c>
    </row>
    <row r="237" spans="1:3" ht="15" customHeight="1" x14ac:dyDescent="0.25">
      <c r="A237" t="s">
        <v>2601</v>
      </c>
      <c r="B237">
        <v>6.2</v>
      </c>
      <c r="C237">
        <v>0.05</v>
      </c>
    </row>
    <row r="238" spans="1:3" ht="15" customHeight="1" x14ac:dyDescent="0.25">
      <c r="A238" t="s">
        <v>2602</v>
      </c>
      <c r="B238">
        <v>6.2</v>
      </c>
      <c r="C238">
        <v>0.05</v>
      </c>
    </row>
    <row r="239" spans="1:3" ht="15" customHeight="1" x14ac:dyDescent="0.25">
      <c r="A239" t="s">
        <v>2603</v>
      </c>
      <c r="B239">
        <v>6.2</v>
      </c>
      <c r="C239">
        <v>0.05</v>
      </c>
    </row>
    <row r="240" spans="1:3" ht="15" customHeight="1" x14ac:dyDescent="0.25">
      <c r="A240" t="s">
        <v>2604</v>
      </c>
      <c r="B240">
        <v>6.2</v>
      </c>
      <c r="C240">
        <v>0.05</v>
      </c>
    </row>
    <row r="241" spans="1:3" ht="15" customHeight="1" x14ac:dyDescent="0.25">
      <c r="A241" t="s">
        <v>2605</v>
      </c>
      <c r="B241">
        <v>9.5</v>
      </c>
      <c r="C241">
        <v>0.05</v>
      </c>
    </row>
    <row r="242" spans="1:3" ht="15" customHeight="1" x14ac:dyDescent="0.25">
      <c r="A242" t="s">
        <v>2606</v>
      </c>
      <c r="B242">
        <v>9.5</v>
      </c>
      <c r="C242">
        <v>0.05</v>
      </c>
    </row>
    <row r="243" spans="1:3" ht="15" customHeight="1" x14ac:dyDescent="0.25">
      <c r="A243" t="s">
        <v>2607</v>
      </c>
      <c r="B243">
        <v>9.5</v>
      </c>
      <c r="C243">
        <v>0.05</v>
      </c>
    </row>
    <row r="244" spans="1:3" ht="15" customHeight="1" x14ac:dyDescent="0.25">
      <c r="A244" t="s">
        <v>2608</v>
      </c>
      <c r="B244">
        <v>9.5</v>
      </c>
      <c r="C244">
        <v>0.05</v>
      </c>
    </row>
    <row r="245" spans="1:3" ht="15" customHeight="1" x14ac:dyDescent="0.25">
      <c r="A245" t="s">
        <v>2609</v>
      </c>
      <c r="B245">
        <v>9.5</v>
      </c>
      <c r="C245">
        <v>0.05</v>
      </c>
    </row>
    <row r="246" spans="1:3" ht="15" customHeight="1" x14ac:dyDescent="0.25">
      <c r="A246" t="s">
        <v>2610</v>
      </c>
      <c r="B246">
        <v>9.5</v>
      </c>
      <c r="C246">
        <v>0.05</v>
      </c>
    </row>
    <row r="247" spans="1:3" ht="15" customHeight="1" x14ac:dyDescent="0.25">
      <c r="A247" t="s">
        <v>2611</v>
      </c>
      <c r="B247">
        <v>9.5</v>
      </c>
      <c r="C247">
        <v>0.05</v>
      </c>
    </row>
    <row r="248" spans="1:3" ht="15" customHeight="1" x14ac:dyDescent="0.25">
      <c r="A248" t="s">
        <v>2612</v>
      </c>
      <c r="B248">
        <v>9.5</v>
      </c>
      <c r="C248">
        <v>0.05</v>
      </c>
    </row>
    <row r="249" spans="1:3" ht="15" customHeight="1" x14ac:dyDescent="0.25">
      <c r="A249" t="s">
        <v>2613</v>
      </c>
      <c r="B249">
        <v>9.5</v>
      </c>
      <c r="C249">
        <v>0.05</v>
      </c>
    </row>
    <row r="250" spans="1:3" ht="15" customHeight="1" x14ac:dyDescent="0.25">
      <c r="A250" t="s">
        <v>2614</v>
      </c>
      <c r="B250">
        <v>11.1</v>
      </c>
      <c r="C250">
        <v>0.05</v>
      </c>
    </row>
    <row r="251" spans="1:3" ht="15" customHeight="1" x14ac:dyDescent="0.25">
      <c r="A251" t="s">
        <v>2615</v>
      </c>
      <c r="B251">
        <v>11.1</v>
      </c>
      <c r="C251">
        <v>0.05</v>
      </c>
    </row>
    <row r="252" spans="1:3" ht="15" customHeight="1" x14ac:dyDescent="0.25">
      <c r="A252" t="s">
        <v>2616</v>
      </c>
      <c r="B252">
        <v>9.5</v>
      </c>
      <c r="C252">
        <v>0.05</v>
      </c>
    </row>
    <row r="253" spans="1:3" ht="15" customHeight="1" x14ac:dyDescent="0.25">
      <c r="A253" t="s">
        <v>2617</v>
      </c>
      <c r="B253">
        <v>9.5</v>
      </c>
      <c r="C253">
        <v>0.05</v>
      </c>
    </row>
    <row r="254" spans="1:3" ht="15" customHeight="1" x14ac:dyDescent="0.25">
      <c r="A254" t="s">
        <v>2618</v>
      </c>
      <c r="B254">
        <v>9.5</v>
      </c>
      <c r="C254">
        <v>0.05</v>
      </c>
    </row>
    <row r="255" spans="1:3" ht="15" customHeight="1" x14ac:dyDescent="0.25">
      <c r="A255" t="s">
        <v>2619</v>
      </c>
      <c r="B255">
        <v>9.5</v>
      </c>
      <c r="C255">
        <v>0.05</v>
      </c>
    </row>
    <row r="256" spans="1:3" ht="15" customHeight="1" x14ac:dyDescent="0.25">
      <c r="A256" t="s">
        <v>2620</v>
      </c>
      <c r="B256">
        <v>9.5</v>
      </c>
      <c r="C256">
        <v>0.05</v>
      </c>
    </row>
    <row r="257" spans="1:3" ht="15" customHeight="1" x14ac:dyDescent="0.25">
      <c r="A257" t="s">
        <v>2621</v>
      </c>
      <c r="B257">
        <v>9.5</v>
      </c>
      <c r="C257">
        <v>0.05</v>
      </c>
    </row>
    <row r="258" spans="1:3" ht="15" customHeight="1" x14ac:dyDescent="0.25">
      <c r="A258" t="s">
        <v>2622</v>
      </c>
      <c r="B258">
        <v>9.5</v>
      </c>
      <c r="C258">
        <v>0.05</v>
      </c>
    </row>
    <row r="259" spans="1:3" ht="15" customHeight="1" x14ac:dyDescent="0.25">
      <c r="A259" t="s">
        <v>2623</v>
      </c>
      <c r="B259">
        <v>9.5</v>
      </c>
      <c r="C259">
        <v>0.05</v>
      </c>
    </row>
    <row r="260" spans="1:3" ht="15" customHeight="1" x14ac:dyDescent="0.25">
      <c r="A260" t="s">
        <v>2624</v>
      </c>
      <c r="B260">
        <v>9.5</v>
      </c>
      <c r="C260">
        <v>0.05</v>
      </c>
    </row>
    <row r="261" spans="1:3" ht="15" customHeight="1" x14ac:dyDescent="0.25">
      <c r="A261" t="s">
        <v>2625</v>
      </c>
      <c r="B261">
        <v>11.1</v>
      </c>
      <c r="C261">
        <v>0.05</v>
      </c>
    </row>
    <row r="262" spans="1:3" ht="15" customHeight="1" x14ac:dyDescent="0.25">
      <c r="A262" t="s">
        <v>2626</v>
      </c>
      <c r="B262">
        <v>11.1</v>
      </c>
      <c r="C262">
        <v>0.05</v>
      </c>
    </row>
    <row r="263" spans="1:3" ht="15" customHeight="1" x14ac:dyDescent="0.25">
      <c r="A263" t="s">
        <v>2627</v>
      </c>
      <c r="B263">
        <v>11.1</v>
      </c>
      <c r="C263">
        <v>0.05</v>
      </c>
    </row>
    <row r="264" spans="1:3" ht="15" customHeight="1" x14ac:dyDescent="0.25">
      <c r="A264" t="s">
        <v>390</v>
      </c>
      <c r="B264">
        <v>11.1</v>
      </c>
      <c r="C264">
        <v>0.05</v>
      </c>
    </row>
    <row r="265" spans="1:3" ht="15" customHeight="1" x14ac:dyDescent="0.25">
      <c r="A265" t="s">
        <v>2628</v>
      </c>
      <c r="B265">
        <v>11.1</v>
      </c>
      <c r="C265">
        <v>0.05</v>
      </c>
    </row>
    <row r="266" spans="1:3" ht="15" customHeight="1" x14ac:dyDescent="0.25">
      <c r="A266" t="s">
        <v>2629</v>
      </c>
      <c r="B266">
        <v>11.1</v>
      </c>
      <c r="C266">
        <v>0.05</v>
      </c>
    </row>
    <row r="267" spans="1:3" ht="15" customHeight="1" x14ac:dyDescent="0.25">
      <c r="A267" t="s">
        <v>2630</v>
      </c>
      <c r="B267">
        <v>46.6</v>
      </c>
    </row>
    <row r="268" spans="1:3" ht="15" customHeight="1" x14ac:dyDescent="0.25">
      <c r="A268" t="s">
        <v>2631</v>
      </c>
      <c r="B268">
        <v>46.6</v>
      </c>
      <c r="C268">
        <v>0.05</v>
      </c>
    </row>
    <row r="269" spans="1:3" ht="15" customHeight="1" x14ac:dyDescent="0.25">
      <c r="A269" t="s">
        <v>2632</v>
      </c>
      <c r="B269">
        <v>16.600000000000001</v>
      </c>
      <c r="C269">
        <v>0.05</v>
      </c>
    </row>
    <row r="270" spans="1:3" ht="15" customHeight="1" x14ac:dyDescent="0.25">
      <c r="A270" t="s">
        <v>2633</v>
      </c>
      <c r="B270">
        <v>16.600000000000001</v>
      </c>
      <c r="C270">
        <v>0.05</v>
      </c>
    </row>
    <row r="271" spans="1:3" ht="15" customHeight="1" x14ac:dyDescent="0.25">
      <c r="A271" t="s">
        <v>2634</v>
      </c>
      <c r="B271">
        <v>16.600000000000001</v>
      </c>
      <c r="C271">
        <v>0.05</v>
      </c>
    </row>
    <row r="272" spans="1:3" ht="15" customHeight="1" x14ac:dyDescent="0.25">
      <c r="A272" t="s">
        <v>2635</v>
      </c>
      <c r="B272">
        <v>16.600000000000001</v>
      </c>
      <c r="C272">
        <v>0.05</v>
      </c>
    </row>
    <row r="273" spans="1:3" ht="15" customHeight="1" x14ac:dyDescent="0.25">
      <c r="A273" t="s">
        <v>2636</v>
      </c>
      <c r="B273">
        <v>16.600000000000001</v>
      </c>
    </row>
    <row r="274" spans="1:3" ht="15" customHeight="1" x14ac:dyDescent="0.25">
      <c r="A274" t="s">
        <v>2637</v>
      </c>
      <c r="B274">
        <v>16.600000000000001</v>
      </c>
    </row>
    <row r="275" spans="1:3" ht="15" customHeight="1" x14ac:dyDescent="0.25">
      <c r="A275" t="s">
        <v>2638</v>
      </c>
      <c r="B275">
        <v>16.600000000000001</v>
      </c>
    </row>
    <row r="276" spans="1:3" ht="15" customHeight="1" x14ac:dyDescent="0.25">
      <c r="A276" t="s">
        <v>2639</v>
      </c>
      <c r="B276">
        <v>16.600000000000001</v>
      </c>
    </row>
    <row r="277" spans="1:3" ht="15" customHeight="1" x14ac:dyDescent="0.25">
      <c r="A277" t="s">
        <v>2640</v>
      </c>
      <c r="B277">
        <v>16.399999999999999</v>
      </c>
      <c r="C277">
        <v>0.05</v>
      </c>
    </row>
    <row r="278" spans="1:3" ht="15" customHeight="1" x14ac:dyDescent="0.25">
      <c r="A278" t="s">
        <v>2641</v>
      </c>
      <c r="B278">
        <v>16.399999999999999</v>
      </c>
      <c r="C278">
        <v>0.05</v>
      </c>
    </row>
    <row r="279" spans="1:3" ht="15" customHeight="1" x14ac:dyDescent="0.25">
      <c r="A279" t="s">
        <v>2642</v>
      </c>
      <c r="B279">
        <v>16.399999999999999</v>
      </c>
      <c r="C279">
        <v>0.05</v>
      </c>
    </row>
    <row r="280" spans="1:3" ht="15" customHeight="1" x14ac:dyDescent="0.25">
      <c r="A280" t="s">
        <v>2643</v>
      </c>
      <c r="B280">
        <v>16.399999999999999</v>
      </c>
      <c r="C280">
        <v>0.05</v>
      </c>
    </row>
    <row r="281" spans="1:3" ht="15" customHeight="1" x14ac:dyDescent="0.25">
      <c r="A281" t="s">
        <v>2644</v>
      </c>
      <c r="B281">
        <v>16.399999999999999</v>
      </c>
      <c r="C281">
        <v>0.05</v>
      </c>
    </row>
    <row r="282" spans="1:3" ht="15" customHeight="1" x14ac:dyDescent="0.25">
      <c r="A282" t="s">
        <v>2645</v>
      </c>
      <c r="B282">
        <v>16.399999999999999</v>
      </c>
      <c r="C282">
        <v>0.05</v>
      </c>
    </row>
    <row r="283" spans="1:3" ht="15" customHeight="1" x14ac:dyDescent="0.25">
      <c r="A283" t="s">
        <v>2646</v>
      </c>
      <c r="B283">
        <v>16.399999999999999</v>
      </c>
      <c r="C283">
        <v>0.05</v>
      </c>
    </row>
    <row r="284" spans="1:3" ht="15" customHeight="1" x14ac:dyDescent="0.25">
      <c r="A284" t="s">
        <v>2647</v>
      </c>
      <c r="B284">
        <v>16.399999999999999</v>
      </c>
      <c r="C284">
        <v>0.05</v>
      </c>
    </row>
    <row r="285" spans="1:3" ht="15" customHeight="1" x14ac:dyDescent="0.25">
      <c r="A285" t="s">
        <v>2648</v>
      </c>
      <c r="B285">
        <v>24.1</v>
      </c>
      <c r="C285">
        <v>0.05</v>
      </c>
    </row>
    <row r="286" spans="1:3" ht="15" customHeight="1" x14ac:dyDescent="0.25">
      <c r="A286" t="s">
        <v>2649</v>
      </c>
      <c r="B286">
        <v>24.1</v>
      </c>
      <c r="C286">
        <v>0.05</v>
      </c>
    </row>
    <row r="287" spans="1:3" ht="15" customHeight="1" x14ac:dyDescent="0.25">
      <c r="A287" t="s">
        <v>2650</v>
      </c>
      <c r="B287">
        <v>24.1</v>
      </c>
      <c r="C287">
        <v>0.05</v>
      </c>
    </row>
    <row r="288" spans="1:3" ht="15" customHeight="1" x14ac:dyDescent="0.25">
      <c r="A288" t="s">
        <v>2651</v>
      </c>
      <c r="B288">
        <v>24.1</v>
      </c>
      <c r="C288">
        <v>0.05</v>
      </c>
    </row>
    <row r="289" spans="1:3" ht="15" customHeight="1" x14ac:dyDescent="0.25">
      <c r="A289" t="s">
        <v>2652</v>
      </c>
      <c r="B289">
        <v>24.1</v>
      </c>
      <c r="C289">
        <v>0.05</v>
      </c>
    </row>
    <row r="290" spans="1:3" ht="15" customHeight="1" x14ac:dyDescent="0.25">
      <c r="A290" t="s">
        <v>2653</v>
      </c>
      <c r="B290">
        <v>24.1</v>
      </c>
      <c r="C290">
        <v>0.05</v>
      </c>
    </row>
    <row r="291" spans="1:3" ht="15" customHeight="1" x14ac:dyDescent="0.25">
      <c r="A291" t="s">
        <v>2654</v>
      </c>
      <c r="B291">
        <v>24.1</v>
      </c>
      <c r="C291">
        <v>0.05</v>
      </c>
    </row>
    <row r="292" spans="1:3" ht="15" customHeight="1" x14ac:dyDescent="0.25">
      <c r="A292" t="s">
        <v>2655</v>
      </c>
      <c r="B292">
        <v>24.1</v>
      </c>
      <c r="C292">
        <v>0.05</v>
      </c>
    </row>
    <row r="293" spans="1:3" ht="15" customHeight="1" x14ac:dyDescent="0.25">
      <c r="A293" t="s">
        <v>2656</v>
      </c>
      <c r="B293">
        <v>10.8</v>
      </c>
    </row>
    <row r="294" spans="1:3" ht="15" customHeight="1" x14ac:dyDescent="0.25">
      <c r="A294" t="s">
        <v>2657</v>
      </c>
      <c r="B294">
        <v>10.8</v>
      </c>
    </row>
    <row r="295" spans="1:3" ht="15" customHeight="1" x14ac:dyDescent="0.25">
      <c r="A295" t="s">
        <v>2658</v>
      </c>
      <c r="B295">
        <v>10.8</v>
      </c>
    </row>
    <row r="296" spans="1:3" ht="15" customHeight="1" x14ac:dyDescent="0.25">
      <c r="A296" t="s">
        <v>2659</v>
      </c>
      <c r="B296">
        <v>10.8</v>
      </c>
    </row>
    <row r="297" spans="1:3" ht="15" customHeight="1" x14ac:dyDescent="0.25">
      <c r="A297" t="s">
        <v>2660</v>
      </c>
      <c r="B297">
        <v>10.8</v>
      </c>
    </row>
    <row r="298" spans="1:3" ht="15" customHeight="1" x14ac:dyDescent="0.25">
      <c r="A298" t="s">
        <v>2661</v>
      </c>
      <c r="B298">
        <v>10.8</v>
      </c>
      <c r="C298">
        <v>0.05</v>
      </c>
    </row>
    <row r="299" spans="1:3" ht="15" customHeight="1" x14ac:dyDescent="0.25">
      <c r="A299" t="s">
        <v>2662</v>
      </c>
      <c r="B299">
        <v>34.799999999999997</v>
      </c>
    </row>
    <row r="300" spans="1:3" ht="15" customHeight="1" x14ac:dyDescent="0.25">
      <c r="A300" t="s">
        <v>2663</v>
      </c>
      <c r="B300">
        <v>34.799999999999997</v>
      </c>
      <c r="C300">
        <v>0.05</v>
      </c>
    </row>
    <row r="301" spans="1:3" ht="15" customHeight="1" x14ac:dyDescent="0.25">
      <c r="A301" t="s">
        <v>2664</v>
      </c>
      <c r="B301">
        <v>34.799999999999997</v>
      </c>
      <c r="C301">
        <v>0.05</v>
      </c>
    </row>
    <row r="302" spans="1:3" ht="15" customHeight="1" x14ac:dyDescent="0.25">
      <c r="A302" t="s">
        <v>2665</v>
      </c>
      <c r="B302">
        <v>34.799999999999997</v>
      </c>
    </row>
    <row r="303" spans="1:3" ht="15" customHeight="1" x14ac:dyDescent="0.25">
      <c r="A303" t="s">
        <v>2666</v>
      </c>
      <c r="B303">
        <v>34.799999999999997</v>
      </c>
    </row>
    <row r="304" spans="1:3" ht="15" customHeight="1" x14ac:dyDescent="0.25">
      <c r="A304" t="s">
        <v>2667</v>
      </c>
      <c r="B304">
        <v>34.799999999999997</v>
      </c>
    </row>
    <row r="305" spans="1:3" ht="15" customHeight="1" x14ac:dyDescent="0.25">
      <c r="A305" t="s">
        <v>2668</v>
      </c>
      <c r="B305">
        <v>34.799999999999997</v>
      </c>
    </row>
    <row r="306" spans="1:3" ht="15" customHeight="1" x14ac:dyDescent="0.25">
      <c r="A306" t="s">
        <v>2669</v>
      </c>
      <c r="B306">
        <v>9.5</v>
      </c>
      <c r="C306">
        <v>0.05</v>
      </c>
    </row>
    <row r="307" spans="1:3" ht="15" customHeight="1" x14ac:dyDescent="0.25">
      <c r="A307" t="s">
        <v>2670</v>
      </c>
      <c r="B307">
        <v>9.5</v>
      </c>
    </row>
    <row r="308" spans="1:3" ht="15" customHeight="1" x14ac:dyDescent="0.25">
      <c r="A308" t="s">
        <v>2671</v>
      </c>
      <c r="B308">
        <v>9.5</v>
      </c>
    </row>
    <row r="309" spans="1:3" ht="15" customHeight="1" x14ac:dyDescent="0.25">
      <c r="A309" t="s">
        <v>2672</v>
      </c>
      <c r="B309">
        <v>9.5</v>
      </c>
      <c r="C309">
        <v>0.05</v>
      </c>
    </row>
    <row r="310" spans="1:3" ht="15" customHeight="1" x14ac:dyDescent="0.25">
      <c r="A310" t="s">
        <v>2673</v>
      </c>
      <c r="B310">
        <v>11.1</v>
      </c>
    </row>
    <row r="311" spans="1:3" ht="15" customHeight="1" x14ac:dyDescent="0.25">
      <c r="A311" t="s">
        <v>2674</v>
      </c>
      <c r="B311">
        <v>11.1</v>
      </c>
      <c r="C311">
        <v>0.05</v>
      </c>
    </row>
    <row r="312" spans="1:3" ht="15" customHeight="1" x14ac:dyDescent="0.25">
      <c r="A312" t="s">
        <v>2675</v>
      </c>
      <c r="B312">
        <v>35.4</v>
      </c>
    </row>
    <row r="313" spans="1:3" ht="15" customHeight="1" x14ac:dyDescent="0.25">
      <c r="A313" t="s">
        <v>2676</v>
      </c>
      <c r="B313">
        <v>34.5</v>
      </c>
      <c r="C313">
        <v>0.05</v>
      </c>
    </row>
    <row r="314" spans="1:3" ht="15" customHeight="1" x14ac:dyDescent="0.25">
      <c r="A314" t="s">
        <v>2677</v>
      </c>
      <c r="B314">
        <v>13.3</v>
      </c>
      <c r="C314">
        <v>0.05</v>
      </c>
    </row>
    <row r="315" spans="1:3" ht="15" customHeight="1" x14ac:dyDescent="0.25">
      <c r="A315" t="s">
        <v>2678</v>
      </c>
      <c r="B315">
        <v>13.3</v>
      </c>
      <c r="C315">
        <v>0.05</v>
      </c>
    </row>
    <row r="316" spans="1:3" ht="15" customHeight="1" x14ac:dyDescent="0.25">
      <c r="A316" t="s">
        <v>2679</v>
      </c>
      <c r="B316">
        <v>13.3</v>
      </c>
      <c r="C316">
        <v>0.05</v>
      </c>
    </row>
    <row r="317" spans="1:3" ht="15" customHeight="1" x14ac:dyDescent="0.25">
      <c r="A317" t="s">
        <v>2680</v>
      </c>
      <c r="B317">
        <v>13.3</v>
      </c>
      <c r="C317">
        <v>0.05</v>
      </c>
    </row>
    <row r="318" spans="1:3" ht="15" customHeight="1" x14ac:dyDescent="0.25">
      <c r="A318" t="s">
        <v>2681</v>
      </c>
      <c r="B318">
        <v>17.8</v>
      </c>
      <c r="C318">
        <v>0.05</v>
      </c>
    </row>
    <row r="319" spans="1:3" ht="15" customHeight="1" x14ac:dyDescent="0.25">
      <c r="A319" t="s">
        <v>2682</v>
      </c>
      <c r="B319">
        <v>17.8</v>
      </c>
      <c r="C319">
        <v>0.05</v>
      </c>
    </row>
    <row r="320" spans="1:3" ht="15" customHeight="1" x14ac:dyDescent="0.25">
      <c r="A320" t="s">
        <v>2683</v>
      </c>
      <c r="B320">
        <v>39.200000000000003</v>
      </c>
      <c r="C320">
        <v>0.05</v>
      </c>
    </row>
    <row r="321" spans="1:3" ht="15" customHeight="1" x14ac:dyDescent="0.25">
      <c r="A321" t="s">
        <v>2684</v>
      </c>
      <c r="B321">
        <v>39.200000000000003</v>
      </c>
      <c r="C321">
        <v>0.05</v>
      </c>
    </row>
    <row r="322" spans="1:3" ht="15" customHeight="1" x14ac:dyDescent="0.25">
      <c r="A322" t="s">
        <v>2685</v>
      </c>
      <c r="B322">
        <v>39.200000000000003</v>
      </c>
      <c r="C322">
        <v>0.05</v>
      </c>
    </row>
    <row r="323" spans="1:3" ht="15" customHeight="1" x14ac:dyDescent="0.25">
      <c r="A323" t="s">
        <v>2686</v>
      </c>
      <c r="B323">
        <v>39.200000000000003</v>
      </c>
      <c r="C323">
        <v>0.05</v>
      </c>
    </row>
    <row r="324" spans="1:3" ht="15" customHeight="1" x14ac:dyDescent="0.25">
      <c r="A324" t="s">
        <v>2687</v>
      </c>
      <c r="B324">
        <v>39.200000000000003</v>
      </c>
      <c r="C324">
        <v>0.05</v>
      </c>
    </row>
    <row r="325" spans="1:3" ht="15" customHeight="1" x14ac:dyDescent="0.25">
      <c r="A325" t="s">
        <v>2688</v>
      </c>
      <c r="B325">
        <v>5.2</v>
      </c>
      <c r="C325">
        <v>0.05</v>
      </c>
    </row>
    <row r="326" spans="1:3" ht="15" customHeight="1" x14ac:dyDescent="0.25">
      <c r="A326" t="s">
        <v>2689</v>
      </c>
      <c r="B326">
        <v>5.2</v>
      </c>
      <c r="C326">
        <v>0.05</v>
      </c>
    </row>
    <row r="327" spans="1:3" ht="15" customHeight="1" x14ac:dyDescent="0.25">
      <c r="A327" t="s">
        <v>2690</v>
      </c>
      <c r="B327">
        <v>5.2</v>
      </c>
      <c r="C327">
        <v>0.05</v>
      </c>
    </row>
    <row r="328" spans="1:3" ht="15" customHeight="1" x14ac:dyDescent="0.25">
      <c r="A328" t="s">
        <v>2691</v>
      </c>
      <c r="B328">
        <v>5.2</v>
      </c>
      <c r="C328">
        <v>0.05</v>
      </c>
    </row>
    <row r="329" spans="1:3" ht="15" customHeight="1" x14ac:dyDescent="0.25">
      <c r="A329" t="s">
        <v>2692</v>
      </c>
      <c r="B329">
        <v>5.2</v>
      </c>
      <c r="C329">
        <v>0.05</v>
      </c>
    </row>
    <row r="330" spans="1:3" ht="15" customHeight="1" x14ac:dyDescent="0.25">
      <c r="A330" t="s">
        <v>2693</v>
      </c>
      <c r="B330">
        <v>5.2</v>
      </c>
      <c r="C330">
        <v>0.05</v>
      </c>
    </row>
    <row r="331" spans="1:3" ht="15" customHeight="1" x14ac:dyDescent="0.25">
      <c r="A331" t="s">
        <v>2694</v>
      </c>
      <c r="B331">
        <v>5.2</v>
      </c>
      <c r="C331">
        <v>0.05</v>
      </c>
    </row>
    <row r="332" spans="1:3" ht="15" customHeight="1" x14ac:dyDescent="0.25">
      <c r="A332" t="s">
        <v>2695</v>
      </c>
      <c r="B332">
        <v>5.2</v>
      </c>
      <c r="C332">
        <v>0.05</v>
      </c>
    </row>
    <row r="333" spans="1:3" ht="15" customHeight="1" x14ac:dyDescent="0.25">
      <c r="A333" t="s">
        <v>2696</v>
      </c>
      <c r="B333">
        <v>5.2</v>
      </c>
      <c r="C333">
        <v>0.05</v>
      </c>
    </row>
    <row r="334" spans="1:3" ht="15" customHeight="1" x14ac:dyDescent="0.25">
      <c r="A334" t="s">
        <v>2697</v>
      </c>
      <c r="B334">
        <v>5.2</v>
      </c>
      <c r="C334">
        <v>0.05</v>
      </c>
    </row>
    <row r="335" spans="1:3" ht="15" customHeight="1" x14ac:dyDescent="0.25">
      <c r="A335" t="s">
        <v>2698</v>
      </c>
      <c r="B335">
        <v>5.2</v>
      </c>
      <c r="C335">
        <v>0.05</v>
      </c>
    </row>
    <row r="336" spans="1:3" ht="15" customHeight="1" x14ac:dyDescent="0.25">
      <c r="A336" t="s">
        <v>2699</v>
      </c>
      <c r="B336">
        <v>5.2</v>
      </c>
      <c r="C336">
        <v>0.05</v>
      </c>
    </row>
    <row r="337" spans="1:3" ht="15" customHeight="1" x14ac:dyDescent="0.25">
      <c r="A337" t="s">
        <v>2700</v>
      </c>
      <c r="B337">
        <v>5.2</v>
      </c>
      <c r="C337">
        <v>0.05</v>
      </c>
    </row>
    <row r="338" spans="1:3" ht="15" customHeight="1" x14ac:dyDescent="0.25">
      <c r="A338" t="s">
        <v>2701</v>
      </c>
      <c r="B338">
        <v>5.2</v>
      </c>
      <c r="C338">
        <v>0.05</v>
      </c>
    </row>
    <row r="339" spans="1:3" ht="15" customHeight="1" x14ac:dyDescent="0.25">
      <c r="A339" t="s">
        <v>2702</v>
      </c>
      <c r="B339">
        <v>5.2</v>
      </c>
      <c r="C339">
        <v>0.05</v>
      </c>
    </row>
    <row r="340" spans="1:3" ht="15" customHeight="1" x14ac:dyDescent="0.25">
      <c r="A340" t="s">
        <v>2703</v>
      </c>
      <c r="B340">
        <v>5.2</v>
      </c>
      <c r="C340">
        <v>0.05</v>
      </c>
    </row>
    <row r="341" spans="1:3" ht="15" customHeight="1" x14ac:dyDescent="0.25">
      <c r="A341" t="s">
        <v>2704</v>
      </c>
      <c r="B341">
        <v>5.2</v>
      </c>
      <c r="C341">
        <v>0.05</v>
      </c>
    </row>
    <row r="342" spans="1:3" ht="15" customHeight="1" x14ac:dyDescent="0.25">
      <c r="A342" t="s">
        <v>2705</v>
      </c>
      <c r="B342">
        <v>5.2</v>
      </c>
      <c r="C342">
        <v>0.05</v>
      </c>
    </row>
    <row r="343" spans="1:3" ht="15" customHeight="1" x14ac:dyDescent="0.25">
      <c r="A343" t="s">
        <v>2706</v>
      </c>
      <c r="B343">
        <v>5.2</v>
      </c>
      <c r="C343">
        <v>0.05</v>
      </c>
    </row>
    <row r="344" spans="1:3" ht="15" customHeight="1" x14ac:dyDescent="0.25">
      <c r="A344" t="s">
        <v>2707</v>
      </c>
      <c r="B344">
        <v>5.2</v>
      </c>
      <c r="C344">
        <v>0.05</v>
      </c>
    </row>
    <row r="345" spans="1:3" ht="15" customHeight="1" x14ac:dyDescent="0.25">
      <c r="A345" t="s">
        <v>2708</v>
      </c>
      <c r="B345">
        <v>5.2</v>
      </c>
      <c r="C345">
        <v>0.05</v>
      </c>
    </row>
    <row r="346" spans="1:3" ht="15" customHeight="1" x14ac:dyDescent="0.25">
      <c r="A346" t="s">
        <v>2709</v>
      </c>
      <c r="B346">
        <v>5.2</v>
      </c>
      <c r="C346">
        <v>0.05</v>
      </c>
    </row>
    <row r="347" spans="1:3" ht="15" customHeight="1" x14ac:dyDescent="0.25">
      <c r="A347" t="s">
        <v>2710</v>
      </c>
      <c r="B347">
        <v>5.2</v>
      </c>
      <c r="C347">
        <v>0.05</v>
      </c>
    </row>
    <row r="348" spans="1:3" ht="15" customHeight="1" x14ac:dyDescent="0.25">
      <c r="A348" t="s">
        <v>2711</v>
      </c>
      <c r="B348">
        <v>6.1</v>
      </c>
      <c r="C348">
        <v>0.05</v>
      </c>
    </row>
    <row r="349" spans="1:3" ht="15" customHeight="1" x14ac:dyDescent="0.25">
      <c r="A349" t="s">
        <v>2712</v>
      </c>
      <c r="B349">
        <v>6.1</v>
      </c>
      <c r="C349">
        <v>0.05</v>
      </c>
    </row>
    <row r="350" spans="1:3" ht="15" customHeight="1" x14ac:dyDescent="0.25">
      <c r="A350" t="s">
        <v>2713</v>
      </c>
      <c r="B350">
        <v>6</v>
      </c>
      <c r="C350">
        <v>0.05</v>
      </c>
    </row>
    <row r="351" spans="1:3" ht="15" customHeight="1" x14ac:dyDescent="0.25">
      <c r="A351" t="s">
        <v>2714</v>
      </c>
      <c r="B351">
        <v>6.1</v>
      </c>
      <c r="C351">
        <v>0.05</v>
      </c>
    </row>
    <row r="352" spans="1:3" ht="15" customHeight="1" x14ac:dyDescent="0.25">
      <c r="A352" t="s">
        <v>2715</v>
      </c>
      <c r="B352">
        <v>6.1</v>
      </c>
      <c r="C352">
        <v>0.05</v>
      </c>
    </row>
    <row r="353" spans="1:3" ht="15" customHeight="1" x14ac:dyDescent="0.25">
      <c r="A353" t="s">
        <v>2716</v>
      </c>
      <c r="B353">
        <v>6</v>
      </c>
      <c r="C353">
        <v>0.05</v>
      </c>
    </row>
    <row r="354" spans="1:3" ht="15" customHeight="1" x14ac:dyDescent="0.25">
      <c r="A354" t="s">
        <v>2717</v>
      </c>
      <c r="B354">
        <v>6.1</v>
      </c>
      <c r="C354">
        <v>0.05</v>
      </c>
    </row>
    <row r="355" spans="1:3" ht="15" customHeight="1" x14ac:dyDescent="0.25">
      <c r="A355" t="s">
        <v>2718</v>
      </c>
      <c r="B355">
        <v>6</v>
      </c>
      <c r="C355">
        <v>0.05</v>
      </c>
    </row>
    <row r="356" spans="1:3" ht="15" customHeight="1" x14ac:dyDescent="0.25">
      <c r="A356" t="s">
        <v>2719</v>
      </c>
      <c r="B356">
        <v>6.1</v>
      </c>
      <c r="C356">
        <v>0.05</v>
      </c>
    </row>
    <row r="357" spans="1:3" ht="15" customHeight="1" x14ac:dyDescent="0.25">
      <c r="A357" t="s">
        <v>2720</v>
      </c>
      <c r="B357">
        <v>6.1</v>
      </c>
      <c r="C357">
        <v>0.05</v>
      </c>
    </row>
    <row r="358" spans="1:3" ht="15" customHeight="1" x14ac:dyDescent="0.25">
      <c r="A358" t="s">
        <v>2721</v>
      </c>
      <c r="B358">
        <v>6</v>
      </c>
      <c r="C358">
        <v>0.05</v>
      </c>
    </row>
    <row r="359" spans="1:3" ht="15" customHeight="1" x14ac:dyDescent="0.25">
      <c r="A359" t="s">
        <v>842</v>
      </c>
      <c r="B359">
        <v>6.1</v>
      </c>
      <c r="C359">
        <v>0.05</v>
      </c>
    </row>
    <row r="360" spans="1:3" ht="15" customHeight="1" x14ac:dyDescent="0.25">
      <c r="A360" t="s">
        <v>2722</v>
      </c>
      <c r="B360">
        <v>6.1</v>
      </c>
      <c r="C360">
        <v>0.05</v>
      </c>
    </row>
    <row r="361" spans="1:3" ht="15" customHeight="1" x14ac:dyDescent="0.25">
      <c r="A361" t="s">
        <v>2723</v>
      </c>
      <c r="B361">
        <v>6</v>
      </c>
      <c r="C361">
        <v>0.05</v>
      </c>
    </row>
    <row r="362" spans="1:3" ht="15" customHeight="1" x14ac:dyDescent="0.25">
      <c r="A362" t="s">
        <v>2724</v>
      </c>
      <c r="B362">
        <v>6.1</v>
      </c>
      <c r="C362">
        <v>0.05</v>
      </c>
    </row>
    <row r="363" spans="1:3" ht="15" customHeight="1" x14ac:dyDescent="0.25">
      <c r="A363" t="s">
        <v>2725</v>
      </c>
      <c r="B363">
        <v>6</v>
      </c>
      <c r="C363">
        <v>0.05</v>
      </c>
    </row>
    <row r="364" spans="1:3" ht="15" customHeight="1" x14ac:dyDescent="0.25">
      <c r="A364" t="s">
        <v>2726</v>
      </c>
      <c r="B364">
        <v>6.1</v>
      </c>
      <c r="C364">
        <v>0.05</v>
      </c>
    </row>
    <row r="365" spans="1:3" ht="15" customHeight="1" x14ac:dyDescent="0.25">
      <c r="A365" t="s">
        <v>2727</v>
      </c>
      <c r="B365">
        <v>6</v>
      </c>
      <c r="C365">
        <v>0.05</v>
      </c>
    </row>
    <row r="366" spans="1:3" ht="15" customHeight="1" x14ac:dyDescent="0.25">
      <c r="A366" t="s">
        <v>2728</v>
      </c>
      <c r="B366">
        <v>44.3</v>
      </c>
      <c r="C366">
        <v>0.05</v>
      </c>
    </row>
    <row r="367" spans="1:3" ht="15" customHeight="1" x14ac:dyDescent="0.25">
      <c r="A367" t="s">
        <v>2729</v>
      </c>
      <c r="B367">
        <v>44.3</v>
      </c>
      <c r="C367">
        <v>0.05</v>
      </c>
    </row>
    <row r="368" spans="1:3" ht="15" customHeight="1" x14ac:dyDescent="0.25">
      <c r="A368" t="s">
        <v>2730</v>
      </c>
      <c r="B368">
        <v>44.3</v>
      </c>
      <c r="C368">
        <v>0.05</v>
      </c>
    </row>
    <row r="369" spans="1:3" ht="15" customHeight="1" x14ac:dyDescent="0.25">
      <c r="A369" t="s">
        <v>2731</v>
      </c>
      <c r="B369">
        <v>44.3</v>
      </c>
      <c r="C369">
        <v>0.05</v>
      </c>
    </row>
    <row r="370" spans="1:3" ht="15" customHeight="1" x14ac:dyDescent="0.25">
      <c r="A370" t="s">
        <v>2732</v>
      </c>
      <c r="B370">
        <v>88.2</v>
      </c>
      <c r="C370">
        <v>0.08</v>
      </c>
    </row>
    <row r="371" spans="1:3" ht="15" customHeight="1" x14ac:dyDescent="0.25">
      <c r="A371" t="s">
        <v>2733</v>
      </c>
      <c r="B371">
        <v>88.2</v>
      </c>
      <c r="C371">
        <v>0.08</v>
      </c>
    </row>
    <row r="372" spans="1:3" ht="15" customHeight="1" x14ac:dyDescent="0.25">
      <c r="A372" t="s">
        <v>2734</v>
      </c>
      <c r="B372">
        <v>88.2</v>
      </c>
      <c r="C372">
        <v>0.08</v>
      </c>
    </row>
    <row r="373" spans="1:3" ht="15" customHeight="1" x14ac:dyDescent="0.25">
      <c r="A373" t="s">
        <v>2735</v>
      </c>
      <c r="B373">
        <v>21.7</v>
      </c>
      <c r="C373">
        <v>0.3</v>
      </c>
    </row>
    <row r="374" spans="1:3" ht="15" customHeight="1" x14ac:dyDescent="0.25">
      <c r="A374" t="s">
        <v>2736</v>
      </c>
      <c r="B374">
        <v>21.7</v>
      </c>
      <c r="C374">
        <v>0.3</v>
      </c>
    </row>
    <row r="375" spans="1:3" ht="15" customHeight="1" x14ac:dyDescent="0.25">
      <c r="A375" t="s">
        <v>2737</v>
      </c>
      <c r="B375">
        <v>55.9</v>
      </c>
      <c r="C375">
        <v>0.2</v>
      </c>
    </row>
    <row r="376" spans="1:3" ht="15" customHeight="1" x14ac:dyDescent="0.25">
      <c r="A376" t="s">
        <v>2738</v>
      </c>
      <c r="B376">
        <v>55.9</v>
      </c>
    </row>
    <row r="377" spans="1:3" ht="15" customHeight="1" x14ac:dyDescent="0.25">
      <c r="A377" t="s">
        <v>2739</v>
      </c>
      <c r="B377">
        <v>55.9</v>
      </c>
      <c r="C377">
        <v>0.2</v>
      </c>
    </row>
    <row r="378" spans="1:3" ht="15" customHeight="1" x14ac:dyDescent="0.25">
      <c r="A378" t="s">
        <v>2740</v>
      </c>
      <c r="B378">
        <v>55.9</v>
      </c>
      <c r="C378">
        <v>0.2</v>
      </c>
    </row>
    <row r="379" spans="1:3" ht="15" customHeight="1" x14ac:dyDescent="0.25">
      <c r="A379" t="s">
        <v>2741</v>
      </c>
      <c r="B379">
        <v>20.9</v>
      </c>
      <c r="C379">
        <v>0.15</v>
      </c>
    </row>
    <row r="380" spans="1:3" ht="15" customHeight="1" x14ac:dyDescent="0.25">
      <c r="A380" t="s">
        <v>2742</v>
      </c>
      <c r="B380">
        <v>24.4</v>
      </c>
    </row>
    <row r="381" spans="1:3" ht="15" customHeight="1" x14ac:dyDescent="0.25">
      <c r="A381" t="s">
        <v>2743</v>
      </c>
      <c r="B381">
        <v>24.4</v>
      </c>
      <c r="C381">
        <v>0.15</v>
      </c>
    </row>
    <row r="382" spans="1:3" ht="15" customHeight="1" x14ac:dyDescent="0.25">
      <c r="A382" t="s">
        <v>2744</v>
      </c>
      <c r="B382">
        <v>23.1</v>
      </c>
    </row>
    <row r="383" spans="1:3" ht="15" customHeight="1" x14ac:dyDescent="0.25">
      <c r="A383" t="s">
        <v>2745</v>
      </c>
      <c r="B383">
        <v>26.6</v>
      </c>
    </row>
    <row r="384" spans="1:3" ht="15" customHeight="1" x14ac:dyDescent="0.25">
      <c r="A384" t="s">
        <v>2746</v>
      </c>
      <c r="B384">
        <v>26.6</v>
      </c>
      <c r="C384">
        <v>0.15</v>
      </c>
    </row>
    <row r="385" spans="1:3" ht="15" customHeight="1" x14ac:dyDescent="0.25">
      <c r="A385" t="s">
        <v>2747</v>
      </c>
      <c r="B385">
        <v>20.3</v>
      </c>
      <c r="C385">
        <v>0.1</v>
      </c>
    </row>
    <row r="386" spans="1:3" ht="15" customHeight="1" x14ac:dyDescent="0.25">
      <c r="A386" t="s">
        <v>1490</v>
      </c>
      <c r="B386">
        <v>22.4</v>
      </c>
      <c r="C386">
        <v>0.1</v>
      </c>
    </row>
    <row r="387" spans="1:3" ht="15" customHeight="1" x14ac:dyDescent="0.25">
      <c r="A387" t="s">
        <v>2748</v>
      </c>
      <c r="B387">
        <v>15.1</v>
      </c>
    </row>
    <row r="388" spans="1:3" ht="15" customHeight="1" x14ac:dyDescent="0.25">
      <c r="A388" t="s">
        <v>2749</v>
      </c>
      <c r="B388">
        <v>17.3</v>
      </c>
      <c r="C388">
        <v>0.1</v>
      </c>
    </row>
    <row r="389" spans="1:3" ht="15" customHeight="1" x14ac:dyDescent="0.25">
      <c r="A389" t="s">
        <v>2750</v>
      </c>
      <c r="B389">
        <v>9</v>
      </c>
      <c r="C389">
        <v>0.1</v>
      </c>
    </row>
    <row r="390" spans="1:3" ht="15" customHeight="1" x14ac:dyDescent="0.25">
      <c r="A390" t="s">
        <v>2751</v>
      </c>
      <c r="B390">
        <v>71.599999999999994</v>
      </c>
      <c r="C390">
        <v>0.05</v>
      </c>
    </row>
    <row r="391" spans="1:3" ht="15" customHeight="1" x14ac:dyDescent="0.25">
      <c r="A391" t="s">
        <v>2752</v>
      </c>
      <c r="B391">
        <v>71.599999999999994</v>
      </c>
      <c r="C391">
        <v>0.05</v>
      </c>
    </row>
    <row r="392" spans="1:3" ht="15" customHeight="1" x14ac:dyDescent="0.25">
      <c r="A392" t="s">
        <v>2753</v>
      </c>
      <c r="B392">
        <v>28.6</v>
      </c>
      <c r="C392">
        <v>0.05</v>
      </c>
    </row>
    <row r="393" spans="1:3" ht="15" customHeight="1" x14ac:dyDescent="0.25">
      <c r="A393" t="s">
        <v>2754</v>
      </c>
      <c r="B393">
        <v>28.6</v>
      </c>
      <c r="C393">
        <v>0.05</v>
      </c>
    </row>
    <row r="394" spans="1:3" ht="15" customHeight="1" x14ac:dyDescent="0.25">
      <c r="A394" t="s">
        <v>2755</v>
      </c>
      <c r="B394">
        <v>28.6</v>
      </c>
      <c r="C394">
        <v>0.05</v>
      </c>
    </row>
    <row r="395" spans="1:3" ht="15" customHeight="1" x14ac:dyDescent="0.25">
      <c r="A395" t="s">
        <v>2756</v>
      </c>
      <c r="B395">
        <v>21.6</v>
      </c>
      <c r="C395">
        <v>0.15</v>
      </c>
    </row>
    <row r="396" spans="1:3" ht="15" customHeight="1" x14ac:dyDescent="0.25">
      <c r="A396" t="s">
        <v>2757</v>
      </c>
      <c r="B396">
        <v>28.2</v>
      </c>
    </row>
    <row r="397" spans="1:3" ht="15" customHeight="1" x14ac:dyDescent="0.25">
      <c r="A397" t="s">
        <v>2758</v>
      </c>
      <c r="B397">
        <v>28.2</v>
      </c>
      <c r="C397">
        <v>0.25</v>
      </c>
    </row>
    <row r="398" spans="1:3" ht="15" customHeight="1" x14ac:dyDescent="0.25">
      <c r="A398" t="s">
        <v>2759</v>
      </c>
      <c r="B398">
        <v>94</v>
      </c>
      <c r="C398">
        <v>0.02</v>
      </c>
    </row>
    <row r="399" spans="1:3" ht="15" customHeight="1" x14ac:dyDescent="0.25">
      <c r="A399" t="s">
        <v>2760</v>
      </c>
      <c r="B399">
        <v>94</v>
      </c>
      <c r="C399">
        <v>0.02</v>
      </c>
    </row>
    <row r="400" spans="1:3" ht="15" customHeight="1" x14ac:dyDescent="0.25">
      <c r="A400" t="s">
        <v>2761</v>
      </c>
      <c r="B400">
        <v>257.2</v>
      </c>
      <c r="C400">
        <v>0.02</v>
      </c>
    </row>
    <row r="401" spans="1:3" ht="15" customHeight="1" x14ac:dyDescent="0.25">
      <c r="A401" t="s">
        <v>2762</v>
      </c>
      <c r="B401">
        <v>293</v>
      </c>
      <c r="C401">
        <v>0.02</v>
      </c>
    </row>
    <row r="402" spans="1:3" ht="15" customHeight="1" x14ac:dyDescent="0.25">
      <c r="A402" t="s">
        <v>2763</v>
      </c>
      <c r="B402">
        <v>271.8</v>
      </c>
      <c r="C402">
        <v>0.02</v>
      </c>
    </row>
    <row r="403" spans="1:3" ht="15" customHeight="1" x14ac:dyDescent="0.25">
      <c r="A403" t="s">
        <v>2764</v>
      </c>
      <c r="B403">
        <v>307.5</v>
      </c>
      <c r="C403">
        <v>0.02</v>
      </c>
    </row>
    <row r="404" spans="1:3" ht="15" customHeight="1" x14ac:dyDescent="0.25">
      <c r="A404" t="s">
        <v>2765</v>
      </c>
      <c r="B404">
        <v>28.6</v>
      </c>
      <c r="C404">
        <v>0.15</v>
      </c>
    </row>
    <row r="405" spans="1:3" ht="15" customHeight="1" x14ac:dyDescent="0.25">
      <c r="A405" t="s">
        <v>2766</v>
      </c>
      <c r="B405">
        <v>42.1</v>
      </c>
      <c r="C405">
        <v>0.15</v>
      </c>
    </row>
    <row r="406" spans="1:3" ht="15" customHeight="1" x14ac:dyDescent="0.25">
      <c r="A406" t="s">
        <v>2767</v>
      </c>
      <c r="B406">
        <v>105.5</v>
      </c>
      <c r="C406">
        <v>0.15</v>
      </c>
    </row>
    <row r="407" spans="1:3" ht="15" customHeight="1" x14ac:dyDescent="0.25">
      <c r="A407" t="s">
        <v>2768</v>
      </c>
      <c r="B407">
        <v>143.69999999999999</v>
      </c>
      <c r="C407">
        <v>0.15</v>
      </c>
    </row>
    <row r="408" spans="1:3" ht="15" customHeight="1" x14ac:dyDescent="0.25">
      <c r="A408" t="s">
        <v>2769</v>
      </c>
      <c r="B408">
        <v>143.69999999999999</v>
      </c>
      <c r="C408">
        <v>0.15</v>
      </c>
    </row>
    <row r="409" spans="1:3" ht="15" customHeight="1" x14ac:dyDescent="0.25">
      <c r="A409" t="s">
        <v>2770</v>
      </c>
      <c r="B409">
        <v>143.69999999999999</v>
      </c>
      <c r="C409">
        <v>0.15</v>
      </c>
    </row>
    <row r="410" spans="1:3" ht="15" customHeight="1" x14ac:dyDescent="0.25">
      <c r="A410" t="s">
        <v>2771</v>
      </c>
      <c r="B410">
        <v>158</v>
      </c>
      <c r="C410">
        <v>0.15</v>
      </c>
    </row>
    <row r="411" spans="1:3" ht="15" customHeight="1" x14ac:dyDescent="0.25">
      <c r="A411" t="s">
        <v>2772</v>
      </c>
      <c r="B411">
        <v>158</v>
      </c>
      <c r="C411">
        <v>0.15</v>
      </c>
    </row>
    <row r="412" spans="1:3" ht="15" customHeight="1" x14ac:dyDescent="0.25">
      <c r="A412" t="s">
        <v>2773</v>
      </c>
      <c r="B412">
        <v>83.1</v>
      </c>
      <c r="C412">
        <v>0.15</v>
      </c>
    </row>
    <row r="413" spans="1:3" ht="15" customHeight="1" x14ac:dyDescent="0.25">
      <c r="A413" t="s">
        <v>2774</v>
      </c>
      <c r="B413">
        <v>83.1</v>
      </c>
      <c r="C413">
        <v>0.15</v>
      </c>
    </row>
    <row r="414" spans="1:3" ht="15" customHeight="1" x14ac:dyDescent="0.25">
      <c r="A414" t="s">
        <v>2775</v>
      </c>
      <c r="B414">
        <v>83.1</v>
      </c>
      <c r="C414">
        <v>0.15</v>
      </c>
    </row>
    <row r="415" spans="1:3" ht="15" customHeight="1" x14ac:dyDescent="0.25">
      <c r="A415" t="s">
        <v>2776</v>
      </c>
      <c r="B415">
        <v>75.2</v>
      </c>
    </row>
    <row r="416" spans="1:3" ht="15" customHeight="1" x14ac:dyDescent="0.25">
      <c r="A416" t="s">
        <v>2777</v>
      </c>
      <c r="B416">
        <v>75.2</v>
      </c>
      <c r="C416">
        <v>0.15</v>
      </c>
    </row>
    <row r="417" spans="1:3" ht="15" customHeight="1" x14ac:dyDescent="0.25">
      <c r="A417" t="s">
        <v>2778</v>
      </c>
      <c r="B417">
        <v>75.2</v>
      </c>
    </row>
    <row r="418" spans="1:3" ht="15" customHeight="1" x14ac:dyDescent="0.25">
      <c r="A418" t="s">
        <v>2779</v>
      </c>
      <c r="B418">
        <v>75.2</v>
      </c>
    </row>
    <row r="419" spans="1:3" ht="15" customHeight="1" x14ac:dyDescent="0.25">
      <c r="A419" t="s">
        <v>2780</v>
      </c>
      <c r="B419">
        <v>75.2</v>
      </c>
    </row>
    <row r="420" spans="1:3" ht="15" customHeight="1" x14ac:dyDescent="0.25">
      <c r="A420" t="s">
        <v>2781</v>
      </c>
      <c r="B420">
        <v>185.8</v>
      </c>
      <c r="C420">
        <v>0.15</v>
      </c>
    </row>
    <row r="421" spans="1:3" ht="15" customHeight="1" x14ac:dyDescent="0.25">
      <c r="A421" t="s">
        <v>2782</v>
      </c>
      <c r="B421">
        <v>147.9</v>
      </c>
      <c r="C421">
        <v>0.15</v>
      </c>
    </row>
    <row r="422" spans="1:3" ht="15" customHeight="1" x14ac:dyDescent="0.25">
      <c r="A422" t="s">
        <v>2783</v>
      </c>
      <c r="B422">
        <v>179.8</v>
      </c>
      <c r="C422">
        <v>0.15</v>
      </c>
    </row>
    <row r="423" spans="1:3" ht="15" customHeight="1" x14ac:dyDescent="0.25">
      <c r="A423" t="s">
        <v>2784</v>
      </c>
      <c r="B423">
        <v>34.799999999999997</v>
      </c>
      <c r="C423">
        <v>0.15</v>
      </c>
    </row>
    <row r="424" spans="1:3" ht="15" customHeight="1" x14ac:dyDescent="0.25">
      <c r="A424" t="s">
        <v>2785</v>
      </c>
      <c r="B424">
        <v>83.3</v>
      </c>
      <c r="C424">
        <v>0.15</v>
      </c>
    </row>
    <row r="425" spans="1:3" ht="15" customHeight="1" x14ac:dyDescent="0.25">
      <c r="A425" t="s">
        <v>2786</v>
      </c>
      <c r="B425">
        <v>83.3</v>
      </c>
      <c r="C425">
        <v>0.15</v>
      </c>
    </row>
    <row r="426" spans="1:3" ht="15" customHeight="1" x14ac:dyDescent="0.25">
      <c r="A426" t="s">
        <v>2787</v>
      </c>
      <c r="B426">
        <v>83.3</v>
      </c>
      <c r="C426">
        <v>0.15</v>
      </c>
    </row>
    <row r="427" spans="1:3" ht="15" customHeight="1" x14ac:dyDescent="0.25">
      <c r="A427" t="s">
        <v>2788</v>
      </c>
      <c r="B427">
        <v>83.3</v>
      </c>
      <c r="C427">
        <v>0.15</v>
      </c>
    </row>
    <row r="428" spans="1:3" ht="15" customHeight="1" x14ac:dyDescent="0.25">
      <c r="A428" t="s">
        <v>2789</v>
      </c>
      <c r="B428">
        <v>18.899999999999999</v>
      </c>
      <c r="C428">
        <v>0.15</v>
      </c>
    </row>
    <row r="429" spans="1:3" ht="15" customHeight="1" x14ac:dyDescent="0.25">
      <c r="A429" t="s">
        <v>2790</v>
      </c>
      <c r="B429">
        <v>18.899999999999999</v>
      </c>
      <c r="C429">
        <v>0.15</v>
      </c>
    </row>
    <row r="430" spans="1:3" ht="15" customHeight="1" x14ac:dyDescent="0.25">
      <c r="A430" t="s">
        <v>2791</v>
      </c>
      <c r="B430">
        <v>121.3</v>
      </c>
    </row>
    <row r="431" spans="1:3" ht="15" customHeight="1" x14ac:dyDescent="0.25">
      <c r="A431" t="s">
        <v>2792</v>
      </c>
      <c r="B431">
        <v>133.69999999999999</v>
      </c>
      <c r="C431">
        <v>0.15</v>
      </c>
    </row>
    <row r="432" spans="1:3" ht="15" customHeight="1" x14ac:dyDescent="0.25">
      <c r="A432" t="s">
        <v>2793</v>
      </c>
      <c r="B432">
        <v>133.69999999999999</v>
      </c>
      <c r="C432">
        <v>0.15</v>
      </c>
    </row>
    <row r="433" spans="1:3" ht="15" customHeight="1" x14ac:dyDescent="0.25">
      <c r="A433" t="s">
        <v>2794</v>
      </c>
      <c r="B433">
        <v>161.80000000000001</v>
      </c>
      <c r="C433">
        <v>0.15</v>
      </c>
    </row>
    <row r="434" spans="1:3" ht="15" customHeight="1" x14ac:dyDescent="0.25">
      <c r="A434" t="s">
        <v>2795</v>
      </c>
      <c r="B434">
        <v>161.80000000000001</v>
      </c>
      <c r="C434">
        <v>0.15</v>
      </c>
    </row>
    <row r="435" spans="1:3" ht="15" customHeight="1" x14ac:dyDescent="0.25">
      <c r="A435" t="s">
        <v>2796</v>
      </c>
      <c r="B435">
        <v>225.3</v>
      </c>
    </row>
    <row r="436" spans="1:3" ht="15" customHeight="1" x14ac:dyDescent="0.25">
      <c r="A436" t="s">
        <v>2797</v>
      </c>
      <c r="B436">
        <v>129.9</v>
      </c>
      <c r="C436">
        <v>0.15</v>
      </c>
    </row>
    <row r="437" spans="1:3" ht="15" customHeight="1" x14ac:dyDescent="0.25">
      <c r="A437" t="s">
        <v>2798</v>
      </c>
      <c r="B437">
        <v>129.9</v>
      </c>
      <c r="C437">
        <v>0.15</v>
      </c>
    </row>
    <row r="438" spans="1:3" ht="15" customHeight="1" x14ac:dyDescent="0.25">
      <c r="A438" t="s">
        <v>2799</v>
      </c>
      <c r="B438">
        <v>14.1</v>
      </c>
      <c r="C438">
        <v>0.3</v>
      </c>
    </row>
    <row r="439" spans="1:3" ht="15" customHeight="1" x14ac:dyDescent="0.25">
      <c r="A439" t="s">
        <v>2800</v>
      </c>
      <c r="B439">
        <v>14.9</v>
      </c>
      <c r="C439">
        <v>0.3</v>
      </c>
    </row>
    <row r="440" spans="1:3" ht="15" customHeight="1" x14ac:dyDescent="0.25">
      <c r="A440" t="s">
        <v>2801</v>
      </c>
      <c r="B440">
        <v>14.9</v>
      </c>
      <c r="C440">
        <v>0.3</v>
      </c>
    </row>
    <row r="441" spans="1:3" ht="15" customHeight="1" x14ac:dyDescent="0.25">
      <c r="A441" t="s">
        <v>2802</v>
      </c>
      <c r="B441">
        <v>14.9</v>
      </c>
      <c r="C441">
        <v>0.3</v>
      </c>
    </row>
    <row r="442" spans="1:3" ht="15" customHeight="1" x14ac:dyDescent="0.25">
      <c r="A442" t="s">
        <v>2803</v>
      </c>
      <c r="B442">
        <v>14.9</v>
      </c>
      <c r="C442">
        <v>0.3</v>
      </c>
    </row>
    <row r="443" spans="1:3" ht="15" customHeight="1" x14ac:dyDescent="0.25">
      <c r="A443" t="s">
        <v>2804</v>
      </c>
      <c r="B443">
        <v>28.6</v>
      </c>
      <c r="C443">
        <v>0.15</v>
      </c>
    </row>
    <row r="444" spans="1:3" ht="15" customHeight="1" x14ac:dyDescent="0.25">
      <c r="A444" t="s">
        <v>2805</v>
      </c>
      <c r="B444">
        <v>23.4</v>
      </c>
      <c r="C444">
        <v>0.3</v>
      </c>
    </row>
    <row r="445" spans="1:3" ht="15" customHeight="1" x14ac:dyDescent="0.25">
      <c r="A445" t="s">
        <v>2806</v>
      </c>
      <c r="B445">
        <v>23.4</v>
      </c>
      <c r="C445">
        <v>0.3</v>
      </c>
    </row>
    <row r="446" spans="1:3" ht="15" customHeight="1" x14ac:dyDescent="0.25">
      <c r="A446" t="s">
        <v>2807</v>
      </c>
      <c r="B446">
        <v>23.4</v>
      </c>
      <c r="C446">
        <v>0.3</v>
      </c>
    </row>
    <row r="447" spans="1:3" ht="15" customHeight="1" x14ac:dyDescent="0.25">
      <c r="A447" t="s">
        <v>2808</v>
      </c>
      <c r="B447">
        <v>23.4</v>
      </c>
      <c r="C447">
        <v>0.3</v>
      </c>
    </row>
    <row r="448" spans="1:3" ht="15" customHeight="1" x14ac:dyDescent="0.25">
      <c r="A448" t="s">
        <v>2809</v>
      </c>
      <c r="B448">
        <v>23.4</v>
      </c>
      <c r="C448">
        <v>0.3</v>
      </c>
    </row>
    <row r="449" spans="1:3" ht="15" customHeight="1" x14ac:dyDescent="0.25">
      <c r="A449" t="s">
        <v>2810</v>
      </c>
      <c r="B449">
        <v>23.4</v>
      </c>
      <c r="C449">
        <v>0.3</v>
      </c>
    </row>
    <row r="450" spans="1:3" ht="15" customHeight="1" x14ac:dyDescent="0.25">
      <c r="A450" t="s">
        <v>2811</v>
      </c>
      <c r="B450">
        <v>25.4</v>
      </c>
    </row>
    <row r="451" spans="1:3" ht="15" customHeight="1" x14ac:dyDescent="0.25">
      <c r="A451" t="s">
        <v>2812</v>
      </c>
      <c r="B451">
        <v>25.4</v>
      </c>
    </row>
    <row r="452" spans="1:3" ht="15" customHeight="1" x14ac:dyDescent="0.25">
      <c r="A452" t="s">
        <v>2813</v>
      </c>
      <c r="B452">
        <v>25.4</v>
      </c>
    </row>
    <row r="453" spans="1:3" ht="15" customHeight="1" x14ac:dyDescent="0.25">
      <c r="A453" t="s">
        <v>2814</v>
      </c>
      <c r="B453">
        <v>25.4</v>
      </c>
      <c r="C453">
        <v>0.3</v>
      </c>
    </row>
    <row r="454" spans="1:3" ht="15" customHeight="1" x14ac:dyDescent="0.25">
      <c r="A454" t="s">
        <v>2815</v>
      </c>
      <c r="B454">
        <v>25.4</v>
      </c>
      <c r="C454">
        <v>0.3</v>
      </c>
    </row>
    <row r="455" spans="1:3" ht="15" customHeight="1" x14ac:dyDescent="0.25">
      <c r="A455" t="s">
        <v>2816</v>
      </c>
      <c r="B455">
        <v>28.6</v>
      </c>
      <c r="C455">
        <v>0.15</v>
      </c>
    </row>
    <row r="456" spans="1:3" ht="15" customHeight="1" x14ac:dyDescent="0.25">
      <c r="A456" t="s">
        <v>2817</v>
      </c>
      <c r="B456">
        <v>36.200000000000003</v>
      </c>
      <c r="C456">
        <v>0.15</v>
      </c>
    </row>
    <row r="457" spans="1:3" ht="15" customHeight="1" x14ac:dyDescent="0.25">
      <c r="A457" t="s">
        <v>2818</v>
      </c>
      <c r="B457">
        <v>27.9</v>
      </c>
      <c r="C457">
        <v>0.15</v>
      </c>
    </row>
    <row r="458" spans="1:3" ht="15" customHeight="1" x14ac:dyDescent="0.25">
      <c r="A458" t="s">
        <v>2819</v>
      </c>
      <c r="B458">
        <v>26.9</v>
      </c>
      <c r="C458">
        <v>0.15</v>
      </c>
    </row>
    <row r="459" spans="1:3" ht="15" customHeight="1" x14ac:dyDescent="0.25">
      <c r="A459" t="s">
        <v>2820</v>
      </c>
      <c r="B459">
        <v>27.9</v>
      </c>
      <c r="C459">
        <v>0.15</v>
      </c>
    </row>
    <row r="460" spans="1:3" ht="15" customHeight="1" x14ac:dyDescent="0.25">
      <c r="A460" t="s">
        <v>2821</v>
      </c>
      <c r="B460">
        <v>32.6</v>
      </c>
    </row>
    <row r="461" spans="1:3" ht="15" customHeight="1" x14ac:dyDescent="0.25">
      <c r="A461" t="s">
        <v>2822</v>
      </c>
      <c r="B461">
        <v>31.9</v>
      </c>
    </row>
    <row r="462" spans="1:3" ht="15" customHeight="1" x14ac:dyDescent="0.25">
      <c r="A462" t="s">
        <v>2823</v>
      </c>
      <c r="B462">
        <v>32.6</v>
      </c>
      <c r="C462">
        <v>0.15</v>
      </c>
    </row>
    <row r="463" spans="1:3" ht="15" customHeight="1" x14ac:dyDescent="0.25">
      <c r="A463" t="s">
        <v>2824</v>
      </c>
      <c r="B463">
        <v>118.7</v>
      </c>
      <c r="C463">
        <v>0.15</v>
      </c>
    </row>
    <row r="464" spans="1:3" ht="15" customHeight="1" x14ac:dyDescent="0.25">
      <c r="A464" t="s">
        <v>2825</v>
      </c>
      <c r="B464">
        <v>27.2</v>
      </c>
      <c r="C464">
        <v>0.15</v>
      </c>
    </row>
    <row r="465" spans="1:3" ht="15" customHeight="1" x14ac:dyDescent="0.25">
      <c r="A465" t="s">
        <v>2826</v>
      </c>
      <c r="B465">
        <v>36.4</v>
      </c>
      <c r="C465">
        <v>0.45</v>
      </c>
    </row>
    <row r="466" spans="1:3" ht="15" customHeight="1" x14ac:dyDescent="0.25">
      <c r="A466" t="s">
        <v>2827</v>
      </c>
      <c r="B466">
        <v>36.4</v>
      </c>
      <c r="C466">
        <v>0.45</v>
      </c>
    </row>
    <row r="467" spans="1:3" ht="15" customHeight="1" x14ac:dyDescent="0.25">
      <c r="A467" t="s">
        <v>2828</v>
      </c>
      <c r="B467">
        <v>36.4</v>
      </c>
      <c r="C467">
        <v>0.45</v>
      </c>
    </row>
    <row r="468" spans="1:3" ht="15" customHeight="1" x14ac:dyDescent="0.25">
      <c r="A468" t="s">
        <v>2829</v>
      </c>
      <c r="B468">
        <v>36.4</v>
      </c>
      <c r="C468">
        <v>0.45</v>
      </c>
    </row>
    <row r="469" spans="1:3" ht="15" customHeight="1" x14ac:dyDescent="0.25">
      <c r="A469" t="s">
        <v>2830</v>
      </c>
      <c r="B469">
        <v>43.9</v>
      </c>
      <c r="C469">
        <v>0.45</v>
      </c>
    </row>
    <row r="470" spans="1:3" ht="15" customHeight="1" x14ac:dyDescent="0.25">
      <c r="A470" t="s">
        <v>2831</v>
      </c>
      <c r="B470">
        <v>43.9</v>
      </c>
      <c r="C470">
        <v>0.45</v>
      </c>
    </row>
    <row r="471" spans="1:3" ht="15" customHeight="1" x14ac:dyDescent="0.25">
      <c r="A471" t="s">
        <v>2832</v>
      </c>
      <c r="B471">
        <v>43.9</v>
      </c>
      <c r="C471">
        <v>0.45</v>
      </c>
    </row>
    <row r="472" spans="1:3" ht="15" customHeight="1" x14ac:dyDescent="0.25">
      <c r="A472" t="s">
        <v>2833</v>
      </c>
      <c r="B472">
        <v>51.9</v>
      </c>
      <c r="C472">
        <v>0.45</v>
      </c>
    </row>
    <row r="473" spans="1:3" ht="15" customHeight="1" x14ac:dyDescent="0.25">
      <c r="A473" t="s">
        <v>2834</v>
      </c>
      <c r="B473">
        <v>51.9</v>
      </c>
      <c r="C473">
        <v>0.45</v>
      </c>
    </row>
    <row r="474" spans="1:3" ht="15" customHeight="1" x14ac:dyDescent="0.25">
      <c r="A474" t="s">
        <v>2835</v>
      </c>
      <c r="B474">
        <v>51.9</v>
      </c>
      <c r="C474">
        <v>0.45</v>
      </c>
    </row>
    <row r="475" spans="1:3" ht="15" customHeight="1" x14ac:dyDescent="0.25">
      <c r="A475" t="s">
        <v>2836</v>
      </c>
      <c r="B475">
        <v>51.9</v>
      </c>
      <c r="C475">
        <v>0.45</v>
      </c>
    </row>
    <row r="476" spans="1:3" ht="15" customHeight="1" x14ac:dyDescent="0.25">
      <c r="A476" t="s">
        <v>2837</v>
      </c>
      <c r="B476">
        <v>51.9</v>
      </c>
      <c r="C476">
        <v>0.45</v>
      </c>
    </row>
    <row r="477" spans="1:3" ht="15" customHeight="1" x14ac:dyDescent="0.25">
      <c r="A477" t="s">
        <v>2838</v>
      </c>
      <c r="B477">
        <v>60.4</v>
      </c>
      <c r="C477">
        <v>0.45</v>
      </c>
    </row>
    <row r="478" spans="1:3" ht="15" customHeight="1" x14ac:dyDescent="0.25">
      <c r="A478" t="s">
        <v>2839</v>
      </c>
      <c r="B478">
        <v>60.4</v>
      </c>
    </row>
    <row r="479" spans="1:3" ht="15" customHeight="1" x14ac:dyDescent="0.25">
      <c r="A479" t="s">
        <v>2840</v>
      </c>
      <c r="B479">
        <v>60.4</v>
      </c>
    </row>
    <row r="480" spans="1:3" ht="15" customHeight="1" x14ac:dyDescent="0.25">
      <c r="A480" t="s">
        <v>2841</v>
      </c>
      <c r="B480">
        <v>60.4</v>
      </c>
      <c r="C480">
        <v>0.45</v>
      </c>
    </row>
    <row r="481" spans="1:3" ht="15" customHeight="1" x14ac:dyDescent="0.25">
      <c r="A481" t="s">
        <v>2842</v>
      </c>
      <c r="B481">
        <v>14.3</v>
      </c>
      <c r="C481">
        <v>0.45</v>
      </c>
    </row>
    <row r="482" spans="1:3" ht="15" customHeight="1" x14ac:dyDescent="0.25">
      <c r="A482" t="s">
        <v>2843</v>
      </c>
      <c r="B482">
        <v>14.3</v>
      </c>
      <c r="C482">
        <v>0.45</v>
      </c>
    </row>
    <row r="483" spans="1:3" ht="15" customHeight="1" x14ac:dyDescent="0.25">
      <c r="A483" t="s">
        <v>2844</v>
      </c>
      <c r="B483">
        <v>14.3</v>
      </c>
      <c r="C483">
        <v>0.45</v>
      </c>
    </row>
    <row r="484" spans="1:3" ht="15" customHeight="1" x14ac:dyDescent="0.25">
      <c r="A484" t="s">
        <v>2845</v>
      </c>
      <c r="B484">
        <v>14.3</v>
      </c>
      <c r="C484">
        <v>0.45</v>
      </c>
    </row>
    <row r="485" spans="1:3" ht="15" customHeight="1" x14ac:dyDescent="0.25">
      <c r="A485" t="s">
        <v>2846</v>
      </c>
      <c r="B485">
        <v>69</v>
      </c>
      <c r="C485">
        <v>0.25</v>
      </c>
    </row>
    <row r="486" spans="1:3" ht="15" customHeight="1" x14ac:dyDescent="0.25">
      <c r="A486" t="s">
        <v>2847</v>
      </c>
      <c r="B486">
        <v>69</v>
      </c>
      <c r="C486">
        <v>0.25</v>
      </c>
    </row>
    <row r="487" spans="1:3" ht="15" customHeight="1" x14ac:dyDescent="0.25">
      <c r="A487" t="s">
        <v>2848</v>
      </c>
      <c r="B487">
        <v>69</v>
      </c>
      <c r="C487">
        <v>0.25</v>
      </c>
    </row>
    <row r="488" spans="1:3" ht="15" customHeight="1" x14ac:dyDescent="0.25">
      <c r="A488" t="s">
        <v>2849</v>
      </c>
      <c r="B488">
        <v>79.7</v>
      </c>
      <c r="C488">
        <v>0.25</v>
      </c>
    </row>
    <row r="489" spans="1:3" ht="15" customHeight="1" x14ac:dyDescent="0.25">
      <c r="A489" t="s">
        <v>2850</v>
      </c>
      <c r="B489">
        <v>88.1</v>
      </c>
      <c r="C489">
        <v>0.25</v>
      </c>
    </row>
    <row r="490" spans="1:3" ht="15" customHeight="1" x14ac:dyDescent="0.25">
      <c r="A490" t="s">
        <v>2851</v>
      </c>
      <c r="B490">
        <v>91.8</v>
      </c>
      <c r="C490">
        <v>0.3</v>
      </c>
    </row>
    <row r="491" spans="1:3" ht="15" customHeight="1" x14ac:dyDescent="0.25">
      <c r="A491" t="s">
        <v>2852</v>
      </c>
      <c r="B491">
        <v>91.8</v>
      </c>
      <c r="C491">
        <v>0.3</v>
      </c>
    </row>
    <row r="492" spans="1:3" ht="15" customHeight="1" x14ac:dyDescent="0.25">
      <c r="A492" t="s">
        <v>2853</v>
      </c>
      <c r="B492">
        <v>54.5</v>
      </c>
    </row>
    <row r="493" spans="1:3" ht="15" customHeight="1" x14ac:dyDescent="0.25">
      <c r="A493" t="s">
        <v>2854</v>
      </c>
      <c r="B493">
        <v>63.2</v>
      </c>
    </row>
    <row r="494" spans="1:3" ht="15" customHeight="1" x14ac:dyDescent="0.25">
      <c r="A494" t="s">
        <v>2855</v>
      </c>
      <c r="B494">
        <v>70.8</v>
      </c>
    </row>
    <row r="495" spans="1:3" ht="15" customHeight="1" x14ac:dyDescent="0.25">
      <c r="A495" t="s">
        <v>2856</v>
      </c>
      <c r="B495">
        <v>70.8</v>
      </c>
    </row>
    <row r="496" spans="1:3" ht="15" customHeight="1" x14ac:dyDescent="0.25">
      <c r="A496" t="s">
        <v>2857</v>
      </c>
      <c r="B496">
        <v>53.6</v>
      </c>
      <c r="C496">
        <v>0.3</v>
      </c>
    </row>
    <row r="497" spans="1:3" ht="15" customHeight="1" x14ac:dyDescent="0.25">
      <c r="A497" t="s">
        <v>2858</v>
      </c>
      <c r="B497">
        <v>63.2</v>
      </c>
    </row>
    <row r="498" spans="1:3" ht="15" customHeight="1" x14ac:dyDescent="0.25">
      <c r="A498" t="s">
        <v>2859</v>
      </c>
      <c r="B498">
        <v>344.6</v>
      </c>
    </row>
    <row r="499" spans="1:3" ht="15" customHeight="1" x14ac:dyDescent="0.25">
      <c r="A499" t="s">
        <v>2860</v>
      </c>
      <c r="B499">
        <v>370.5</v>
      </c>
    </row>
    <row r="500" spans="1:3" ht="15" customHeight="1" x14ac:dyDescent="0.25">
      <c r="A500" t="s">
        <v>2861</v>
      </c>
      <c r="B500">
        <v>31.7</v>
      </c>
      <c r="C500">
        <v>0.45</v>
      </c>
    </row>
    <row r="501" spans="1:3" ht="15" customHeight="1" x14ac:dyDescent="0.25">
      <c r="A501" t="s">
        <v>2862</v>
      </c>
      <c r="B501">
        <v>31.7</v>
      </c>
      <c r="C501">
        <v>0.45</v>
      </c>
    </row>
    <row r="502" spans="1:3" ht="15" customHeight="1" x14ac:dyDescent="0.25">
      <c r="A502" t="s">
        <v>2863</v>
      </c>
      <c r="B502">
        <v>31.7</v>
      </c>
      <c r="C502">
        <v>0.45</v>
      </c>
    </row>
    <row r="503" spans="1:3" ht="15" customHeight="1" x14ac:dyDescent="0.25">
      <c r="A503" t="s">
        <v>2864</v>
      </c>
      <c r="B503">
        <v>31.7</v>
      </c>
      <c r="C503">
        <v>0.45</v>
      </c>
    </row>
    <row r="504" spans="1:3" ht="15" customHeight="1" x14ac:dyDescent="0.25">
      <c r="A504" t="s">
        <v>2865</v>
      </c>
      <c r="B504">
        <v>92.4</v>
      </c>
      <c r="C504">
        <v>0.45</v>
      </c>
    </row>
    <row r="505" spans="1:3" ht="15" customHeight="1" x14ac:dyDescent="0.25">
      <c r="A505" t="s">
        <v>2866</v>
      </c>
      <c r="B505">
        <v>21.6</v>
      </c>
      <c r="C505">
        <v>0.3</v>
      </c>
    </row>
    <row r="506" spans="1:3" ht="15" customHeight="1" x14ac:dyDescent="0.25">
      <c r="A506" t="s">
        <v>2867</v>
      </c>
      <c r="B506">
        <v>137.19999999999999</v>
      </c>
      <c r="C506">
        <v>0.1</v>
      </c>
    </row>
    <row r="507" spans="1:3" ht="15" customHeight="1" x14ac:dyDescent="0.25">
      <c r="A507" t="s">
        <v>2868</v>
      </c>
      <c r="B507">
        <v>137.19999999999999</v>
      </c>
      <c r="C507">
        <v>0.02</v>
      </c>
    </row>
    <row r="508" spans="1:3" ht="15" customHeight="1" x14ac:dyDescent="0.25">
      <c r="A508" t="s">
        <v>2869</v>
      </c>
      <c r="B508">
        <v>136.9</v>
      </c>
      <c r="C508">
        <v>0.1</v>
      </c>
    </row>
    <row r="509" spans="1:3" ht="15" customHeight="1" x14ac:dyDescent="0.25">
      <c r="A509" t="s">
        <v>2870</v>
      </c>
      <c r="B509">
        <v>136.9</v>
      </c>
      <c r="C509">
        <v>0.1</v>
      </c>
    </row>
    <row r="510" spans="1:3" ht="15" customHeight="1" x14ac:dyDescent="0.25">
      <c r="A510" t="s">
        <v>2871</v>
      </c>
      <c r="B510">
        <v>137.19999999999999</v>
      </c>
      <c r="C510">
        <v>0.1</v>
      </c>
    </row>
    <row r="511" spans="1:3" ht="15" customHeight="1" x14ac:dyDescent="0.25">
      <c r="A511" t="s">
        <v>2872</v>
      </c>
      <c r="B511">
        <v>137.19999999999999</v>
      </c>
      <c r="C511">
        <v>0.1</v>
      </c>
    </row>
    <row r="512" spans="1:3" ht="15" customHeight="1" x14ac:dyDescent="0.25">
      <c r="A512" t="s">
        <v>2873</v>
      </c>
      <c r="B512">
        <v>137.19999999999999</v>
      </c>
      <c r="C512">
        <v>0.1</v>
      </c>
    </row>
    <row r="513" spans="1:3" ht="15" customHeight="1" x14ac:dyDescent="0.25">
      <c r="A513" t="s">
        <v>2874</v>
      </c>
      <c r="B513">
        <v>137.19999999999999</v>
      </c>
      <c r="C513">
        <v>0.1</v>
      </c>
    </row>
    <row r="514" spans="1:3" ht="15" customHeight="1" x14ac:dyDescent="0.25">
      <c r="A514" t="s">
        <v>2875</v>
      </c>
      <c r="B514">
        <v>137.19999999999999</v>
      </c>
      <c r="C514">
        <v>0.02</v>
      </c>
    </row>
    <row r="515" spans="1:3" ht="15" customHeight="1" x14ac:dyDescent="0.25">
      <c r="A515" t="s">
        <v>2876</v>
      </c>
      <c r="B515">
        <v>137.19999999999999</v>
      </c>
      <c r="C515">
        <v>0.02</v>
      </c>
    </row>
    <row r="516" spans="1:3" ht="15" customHeight="1" x14ac:dyDescent="0.25">
      <c r="A516" t="s">
        <v>2877</v>
      </c>
      <c r="B516">
        <v>203.4</v>
      </c>
      <c r="C516">
        <v>0.05</v>
      </c>
    </row>
    <row r="517" spans="1:3" ht="15" customHeight="1" x14ac:dyDescent="0.25">
      <c r="A517" t="s">
        <v>2878</v>
      </c>
      <c r="B517">
        <v>136.1</v>
      </c>
      <c r="C517">
        <v>0.05</v>
      </c>
    </row>
    <row r="518" spans="1:3" ht="15" customHeight="1" x14ac:dyDescent="0.25">
      <c r="A518" t="s">
        <v>2879</v>
      </c>
      <c r="B518">
        <v>137.19999999999999</v>
      </c>
      <c r="C518">
        <v>0.02</v>
      </c>
    </row>
    <row r="519" spans="1:3" ht="15" customHeight="1" x14ac:dyDescent="0.25">
      <c r="A519" t="s">
        <v>2880</v>
      </c>
      <c r="B519">
        <v>136.1</v>
      </c>
      <c r="C519">
        <v>0.05</v>
      </c>
    </row>
    <row r="520" spans="1:3" ht="15" customHeight="1" x14ac:dyDescent="0.25">
      <c r="A520" t="s">
        <v>2881</v>
      </c>
      <c r="B520">
        <v>136.1</v>
      </c>
      <c r="C520">
        <v>0.05</v>
      </c>
    </row>
    <row r="521" spans="1:3" ht="15" customHeight="1" x14ac:dyDescent="0.25">
      <c r="A521" t="s">
        <v>2882</v>
      </c>
      <c r="B521">
        <v>136.1</v>
      </c>
      <c r="C521">
        <v>0.1</v>
      </c>
    </row>
    <row r="522" spans="1:3" ht="15" customHeight="1" x14ac:dyDescent="0.25">
      <c r="A522" t="s">
        <v>2883</v>
      </c>
      <c r="B522">
        <v>136.1</v>
      </c>
      <c r="C522">
        <v>0.1</v>
      </c>
    </row>
    <row r="523" spans="1:3" ht="15" customHeight="1" x14ac:dyDescent="0.25">
      <c r="A523" t="s">
        <v>2884</v>
      </c>
      <c r="B523">
        <v>136.1</v>
      </c>
      <c r="C523">
        <v>0.02</v>
      </c>
    </row>
    <row r="524" spans="1:3" ht="15" customHeight="1" x14ac:dyDescent="0.25">
      <c r="A524" t="s">
        <v>2885</v>
      </c>
      <c r="B524">
        <v>136.1</v>
      </c>
      <c r="C524">
        <v>0.02</v>
      </c>
    </row>
    <row r="525" spans="1:3" ht="15" customHeight="1" x14ac:dyDescent="0.25">
      <c r="A525" t="s">
        <v>2886</v>
      </c>
      <c r="B525">
        <v>154.19999999999999</v>
      </c>
      <c r="C525">
        <v>0.1</v>
      </c>
    </row>
    <row r="526" spans="1:3" ht="15" customHeight="1" x14ac:dyDescent="0.25">
      <c r="A526" t="s">
        <v>2887</v>
      </c>
      <c r="B526">
        <v>154.19999999999999</v>
      </c>
      <c r="C526">
        <v>0.02</v>
      </c>
    </row>
    <row r="527" spans="1:3" ht="15" customHeight="1" x14ac:dyDescent="0.25">
      <c r="A527" t="s">
        <v>2888</v>
      </c>
      <c r="B527">
        <v>154.19999999999999</v>
      </c>
      <c r="C527">
        <v>0.05</v>
      </c>
    </row>
    <row r="528" spans="1:3" ht="15" customHeight="1" x14ac:dyDescent="0.25">
      <c r="A528" t="s">
        <v>2889</v>
      </c>
      <c r="B528">
        <v>154.19999999999999</v>
      </c>
      <c r="C528">
        <v>0.05</v>
      </c>
    </row>
    <row r="529" spans="1:3" ht="15" customHeight="1" x14ac:dyDescent="0.25">
      <c r="A529" t="s">
        <v>2890</v>
      </c>
      <c r="B529">
        <v>154.19999999999999</v>
      </c>
      <c r="C529">
        <v>0.02</v>
      </c>
    </row>
    <row r="530" spans="1:3" ht="15" customHeight="1" x14ac:dyDescent="0.25">
      <c r="A530" t="s">
        <v>2891</v>
      </c>
      <c r="B530">
        <v>154.19999999999999</v>
      </c>
      <c r="C530">
        <v>0.02</v>
      </c>
    </row>
    <row r="531" spans="1:3" ht="15" customHeight="1" x14ac:dyDescent="0.25">
      <c r="A531" t="s">
        <v>2892</v>
      </c>
      <c r="B531">
        <v>214.6</v>
      </c>
      <c r="C531">
        <v>0.05</v>
      </c>
    </row>
    <row r="532" spans="1:3" ht="15" customHeight="1" x14ac:dyDescent="0.25">
      <c r="A532" t="s">
        <v>2893</v>
      </c>
      <c r="B532">
        <v>214.6</v>
      </c>
      <c r="C532">
        <v>0.05</v>
      </c>
    </row>
    <row r="533" spans="1:3" ht="15" customHeight="1" x14ac:dyDescent="0.25">
      <c r="A533" t="s">
        <v>2894</v>
      </c>
      <c r="B533">
        <v>203.4</v>
      </c>
    </row>
    <row r="534" spans="1:3" ht="15" customHeight="1" x14ac:dyDescent="0.25">
      <c r="A534" t="s">
        <v>2895</v>
      </c>
      <c r="B534">
        <v>203.4</v>
      </c>
    </row>
    <row r="535" spans="1:3" ht="15" customHeight="1" x14ac:dyDescent="0.25">
      <c r="A535" t="s">
        <v>2896</v>
      </c>
      <c r="B535">
        <v>203.4</v>
      </c>
    </row>
    <row r="536" spans="1:3" ht="15" customHeight="1" x14ac:dyDescent="0.25">
      <c r="A536" t="s">
        <v>2897</v>
      </c>
      <c r="B536">
        <v>203.4</v>
      </c>
    </row>
    <row r="537" spans="1:3" ht="15" customHeight="1" x14ac:dyDescent="0.25">
      <c r="A537" t="s">
        <v>2898</v>
      </c>
      <c r="B537">
        <v>203.4</v>
      </c>
      <c r="C537">
        <v>0.1</v>
      </c>
    </row>
    <row r="538" spans="1:3" ht="15" customHeight="1" x14ac:dyDescent="0.25">
      <c r="A538" t="s">
        <v>2899</v>
      </c>
      <c r="B538">
        <v>203.4</v>
      </c>
    </row>
    <row r="539" spans="1:3" ht="15" customHeight="1" x14ac:dyDescent="0.25">
      <c r="A539" t="s">
        <v>2900</v>
      </c>
      <c r="B539">
        <v>203.4</v>
      </c>
      <c r="C539">
        <v>0.1</v>
      </c>
    </row>
    <row r="540" spans="1:3" ht="15" customHeight="1" x14ac:dyDescent="0.25">
      <c r="A540" t="s">
        <v>2901</v>
      </c>
      <c r="B540">
        <v>203.4</v>
      </c>
    </row>
    <row r="541" spans="1:3" ht="15" customHeight="1" x14ac:dyDescent="0.25">
      <c r="A541" t="s">
        <v>2902</v>
      </c>
      <c r="B541">
        <v>89.4</v>
      </c>
    </row>
    <row r="542" spans="1:3" ht="15" customHeight="1" x14ac:dyDescent="0.25">
      <c r="A542" t="s">
        <v>2903</v>
      </c>
      <c r="B542">
        <v>89.4</v>
      </c>
      <c r="C542">
        <v>0.45</v>
      </c>
    </row>
    <row r="543" spans="1:3" ht="15" customHeight="1" x14ac:dyDescent="0.25">
      <c r="A543" t="s">
        <v>2904</v>
      </c>
      <c r="B543">
        <v>149.30000000000001</v>
      </c>
      <c r="C543">
        <v>0.05</v>
      </c>
    </row>
    <row r="544" spans="1:3" ht="15" customHeight="1" x14ac:dyDescent="0.25">
      <c r="A544" t="s">
        <v>2905</v>
      </c>
      <c r="B544">
        <v>149.30000000000001</v>
      </c>
      <c r="C544">
        <v>0.05</v>
      </c>
    </row>
    <row r="545" spans="1:3" ht="15" customHeight="1" x14ac:dyDescent="0.25">
      <c r="A545" t="s">
        <v>2906</v>
      </c>
      <c r="B545">
        <v>149.30000000000001</v>
      </c>
      <c r="C545">
        <v>0.05</v>
      </c>
    </row>
    <row r="546" spans="1:3" ht="15" customHeight="1" x14ac:dyDescent="0.25">
      <c r="A546" t="s">
        <v>2907</v>
      </c>
      <c r="B546">
        <v>115.3</v>
      </c>
      <c r="C546">
        <v>0.45</v>
      </c>
    </row>
    <row r="547" spans="1:3" ht="15" customHeight="1" x14ac:dyDescent="0.25">
      <c r="A547" t="s">
        <v>2908</v>
      </c>
      <c r="B547">
        <v>115.3</v>
      </c>
      <c r="C547">
        <v>0.45</v>
      </c>
    </row>
    <row r="548" spans="1:3" ht="15" customHeight="1" x14ac:dyDescent="0.25">
      <c r="A548" t="s">
        <v>2909</v>
      </c>
      <c r="B548">
        <v>115.3</v>
      </c>
    </row>
    <row r="549" spans="1:3" ht="15" customHeight="1" x14ac:dyDescent="0.25">
      <c r="A549" t="s">
        <v>2910</v>
      </c>
      <c r="B549">
        <v>121.5</v>
      </c>
      <c r="C549">
        <v>0.45</v>
      </c>
    </row>
    <row r="550" spans="1:3" ht="15" customHeight="1" x14ac:dyDescent="0.25">
      <c r="A550" t="s">
        <v>2911</v>
      </c>
      <c r="B550">
        <v>88.8</v>
      </c>
      <c r="C550">
        <v>0.45</v>
      </c>
    </row>
    <row r="551" spans="1:3" ht="15" customHeight="1" x14ac:dyDescent="0.25">
      <c r="A551" t="s">
        <v>2912</v>
      </c>
      <c r="B551">
        <v>88.8</v>
      </c>
    </row>
    <row r="552" spans="1:3" ht="15" customHeight="1" x14ac:dyDescent="0.25">
      <c r="A552" t="s">
        <v>2913</v>
      </c>
      <c r="B552">
        <v>83.7</v>
      </c>
      <c r="C552">
        <v>0.45</v>
      </c>
    </row>
    <row r="553" spans="1:3" ht="15" customHeight="1" x14ac:dyDescent="0.25">
      <c r="A553" t="s">
        <v>2914</v>
      </c>
      <c r="B553">
        <v>83.7</v>
      </c>
    </row>
    <row r="554" spans="1:3" ht="15" customHeight="1" x14ac:dyDescent="0.25">
      <c r="A554" t="s">
        <v>2915</v>
      </c>
      <c r="B554">
        <v>83.7</v>
      </c>
    </row>
    <row r="555" spans="1:3" ht="15" customHeight="1" x14ac:dyDescent="0.25">
      <c r="A555" t="s">
        <v>2916</v>
      </c>
      <c r="B555">
        <v>83.7</v>
      </c>
      <c r="C555">
        <v>0.45</v>
      </c>
    </row>
    <row r="556" spans="1:3" ht="15" customHeight="1" x14ac:dyDescent="0.25">
      <c r="A556" t="s">
        <v>2917</v>
      </c>
      <c r="B556">
        <v>139.30000000000001</v>
      </c>
    </row>
    <row r="557" spans="1:3" ht="15" customHeight="1" x14ac:dyDescent="0.25">
      <c r="A557" t="s">
        <v>2918</v>
      </c>
      <c r="B557">
        <v>139.30000000000001</v>
      </c>
      <c r="C557">
        <v>0.45</v>
      </c>
    </row>
    <row r="558" spans="1:3" ht="15" customHeight="1" x14ac:dyDescent="0.25">
      <c r="A558" t="s">
        <v>2919</v>
      </c>
      <c r="B558">
        <v>139.30000000000001</v>
      </c>
    </row>
    <row r="559" spans="1:3" ht="15" customHeight="1" x14ac:dyDescent="0.25">
      <c r="A559" t="s">
        <v>2920</v>
      </c>
      <c r="B559">
        <v>139.30000000000001</v>
      </c>
    </row>
    <row r="560" spans="1:3" ht="15" customHeight="1" x14ac:dyDescent="0.25">
      <c r="A560" t="s">
        <v>2921</v>
      </c>
      <c r="B560">
        <v>164.1</v>
      </c>
    </row>
    <row r="561" spans="1:3" ht="15" customHeight="1" x14ac:dyDescent="0.25">
      <c r="A561" t="s">
        <v>2922</v>
      </c>
      <c r="B561">
        <v>164.1</v>
      </c>
    </row>
    <row r="562" spans="1:3" ht="15" customHeight="1" x14ac:dyDescent="0.25">
      <c r="A562" t="s">
        <v>2923</v>
      </c>
      <c r="B562">
        <v>95.1</v>
      </c>
    </row>
    <row r="563" spans="1:3" ht="15" customHeight="1" x14ac:dyDescent="0.25">
      <c r="A563" t="s">
        <v>2924</v>
      </c>
      <c r="B563">
        <v>95.1</v>
      </c>
    </row>
    <row r="564" spans="1:3" ht="15" customHeight="1" x14ac:dyDescent="0.25">
      <c r="A564" t="s">
        <v>2925</v>
      </c>
      <c r="B564">
        <v>95.1</v>
      </c>
    </row>
    <row r="565" spans="1:3" ht="15" customHeight="1" x14ac:dyDescent="0.25">
      <c r="A565" t="s">
        <v>2926</v>
      </c>
      <c r="B565">
        <v>95.1</v>
      </c>
      <c r="C565">
        <v>0.45</v>
      </c>
    </row>
    <row r="566" spans="1:3" ht="15" customHeight="1" x14ac:dyDescent="0.25">
      <c r="A566" t="s">
        <v>2927</v>
      </c>
      <c r="B566">
        <v>95.1</v>
      </c>
      <c r="C566">
        <v>0.45</v>
      </c>
    </row>
    <row r="567" spans="1:3" ht="15" customHeight="1" x14ac:dyDescent="0.25">
      <c r="A567" t="s">
        <v>2928</v>
      </c>
      <c r="B567">
        <v>95.1</v>
      </c>
      <c r="C567">
        <v>0.45</v>
      </c>
    </row>
    <row r="568" spans="1:3" ht="15" customHeight="1" x14ac:dyDescent="0.25">
      <c r="A568" t="s">
        <v>2929</v>
      </c>
      <c r="B568">
        <v>95.1</v>
      </c>
    </row>
    <row r="569" spans="1:3" ht="15" customHeight="1" x14ac:dyDescent="0.25">
      <c r="A569" t="s">
        <v>2930</v>
      </c>
      <c r="B569">
        <v>95.1</v>
      </c>
    </row>
    <row r="570" spans="1:3" ht="15" customHeight="1" x14ac:dyDescent="0.25">
      <c r="A570" t="s">
        <v>2931</v>
      </c>
      <c r="B570">
        <v>95.1</v>
      </c>
    </row>
    <row r="571" spans="1:3" ht="15" customHeight="1" x14ac:dyDescent="0.25">
      <c r="A571" t="s">
        <v>2932</v>
      </c>
      <c r="B571">
        <v>50.4</v>
      </c>
      <c r="C571">
        <v>0.15</v>
      </c>
    </row>
    <row r="572" spans="1:3" ht="15" customHeight="1" x14ac:dyDescent="0.25">
      <c r="A572" t="s">
        <v>2933</v>
      </c>
      <c r="B572">
        <v>50.4</v>
      </c>
      <c r="C572">
        <v>0.15</v>
      </c>
    </row>
    <row r="573" spans="1:3" ht="15" customHeight="1" x14ac:dyDescent="0.25">
      <c r="A573" t="s">
        <v>2934</v>
      </c>
      <c r="B573">
        <v>50.4</v>
      </c>
      <c r="C573">
        <v>0.15</v>
      </c>
    </row>
    <row r="574" spans="1:3" ht="15" customHeight="1" x14ac:dyDescent="0.25">
      <c r="A574" t="s">
        <v>2935</v>
      </c>
      <c r="B574">
        <v>43.7</v>
      </c>
      <c r="C574">
        <v>0.15</v>
      </c>
    </row>
    <row r="575" spans="1:3" ht="15" customHeight="1" x14ac:dyDescent="0.25">
      <c r="A575" t="s">
        <v>2936</v>
      </c>
      <c r="B575">
        <v>43.7</v>
      </c>
      <c r="C575">
        <v>0.15</v>
      </c>
    </row>
    <row r="576" spans="1:3" ht="15" customHeight="1" x14ac:dyDescent="0.25">
      <c r="A576" t="s">
        <v>2937</v>
      </c>
      <c r="B576">
        <v>43.7</v>
      </c>
      <c r="C576">
        <v>0.15</v>
      </c>
    </row>
    <row r="577" spans="1:3" ht="15" customHeight="1" x14ac:dyDescent="0.25">
      <c r="A577" t="s">
        <v>2938</v>
      </c>
      <c r="B577">
        <v>43.7</v>
      </c>
      <c r="C577">
        <v>0.15</v>
      </c>
    </row>
    <row r="578" spans="1:3" ht="15" customHeight="1" x14ac:dyDescent="0.25">
      <c r="A578" t="s">
        <v>2939</v>
      </c>
      <c r="B578">
        <v>39.9</v>
      </c>
      <c r="C578">
        <v>0.15</v>
      </c>
    </row>
    <row r="579" spans="1:3" ht="15" customHeight="1" x14ac:dyDescent="0.25">
      <c r="A579" t="s">
        <v>2940</v>
      </c>
      <c r="B579">
        <v>39.9</v>
      </c>
      <c r="C579">
        <v>0.15</v>
      </c>
    </row>
    <row r="580" spans="1:3" ht="15" customHeight="1" x14ac:dyDescent="0.25">
      <c r="A580" t="s">
        <v>2941</v>
      </c>
      <c r="B580">
        <v>39.9</v>
      </c>
      <c r="C580">
        <v>0.15</v>
      </c>
    </row>
    <row r="581" spans="1:3" ht="15" customHeight="1" x14ac:dyDescent="0.25">
      <c r="A581" t="s">
        <v>2942</v>
      </c>
      <c r="B581">
        <v>39.9</v>
      </c>
      <c r="C581">
        <v>0.15</v>
      </c>
    </row>
    <row r="582" spans="1:3" ht="15" customHeight="1" x14ac:dyDescent="0.25">
      <c r="A582" t="s">
        <v>2943</v>
      </c>
      <c r="B582">
        <v>39.700000000000003</v>
      </c>
      <c r="C582">
        <v>0.25</v>
      </c>
    </row>
    <row r="583" spans="1:3" ht="15" customHeight="1" x14ac:dyDescent="0.25">
      <c r="A583" t="s">
        <v>2944</v>
      </c>
      <c r="B583">
        <v>39.700000000000003</v>
      </c>
      <c r="C583">
        <v>0.25</v>
      </c>
    </row>
    <row r="584" spans="1:3" ht="15" customHeight="1" x14ac:dyDescent="0.25">
      <c r="A584" t="s">
        <v>2945</v>
      </c>
      <c r="B584">
        <v>39.700000000000003</v>
      </c>
      <c r="C584">
        <v>0.25</v>
      </c>
    </row>
    <row r="585" spans="1:3" ht="15" customHeight="1" x14ac:dyDescent="0.25">
      <c r="A585" t="s">
        <v>2946</v>
      </c>
      <c r="B585">
        <v>30.1</v>
      </c>
      <c r="C585">
        <v>0.15</v>
      </c>
    </row>
    <row r="586" spans="1:3" ht="15" customHeight="1" x14ac:dyDescent="0.25">
      <c r="A586" t="s">
        <v>2947</v>
      </c>
      <c r="B586">
        <v>30.1</v>
      </c>
      <c r="C586">
        <v>0.15</v>
      </c>
    </row>
    <row r="587" spans="1:3" ht="15" customHeight="1" x14ac:dyDescent="0.25">
      <c r="A587" t="s">
        <v>2948</v>
      </c>
      <c r="B587">
        <v>30.1</v>
      </c>
      <c r="C587">
        <v>0.15</v>
      </c>
    </row>
    <row r="588" spans="1:3" ht="15" customHeight="1" x14ac:dyDescent="0.25">
      <c r="A588" t="s">
        <v>2949</v>
      </c>
      <c r="B588">
        <v>30.1</v>
      </c>
      <c r="C588">
        <v>0.15</v>
      </c>
    </row>
    <row r="589" spans="1:3" ht="15" customHeight="1" x14ac:dyDescent="0.25">
      <c r="A589" t="s">
        <v>2950</v>
      </c>
      <c r="B589">
        <v>40</v>
      </c>
      <c r="C589">
        <v>0.25</v>
      </c>
    </row>
    <row r="590" spans="1:3" ht="15" customHeight="1" x14ac:dyDescent="0.25">
      <c r="A590" t="s">
        <v>2951</v>
      </c>
      <c r="B590">
        <v>40</v>
      </c>
      <c r="C590">
        <v>0.25</v>
      </c>
    </row>
    <row r="591" spans="1:3" ht="15" customHeight="1" x14ac:dyDescent="0.25">
      <c r="A591" t="s">
        <v>2952</v>
      </c>
      <c r="B591">
        <v>40</v>
      </c>
      <c r="C591">
        <v>0.25</v>
      </c>
    </row>
    <row r="592" spans="1:3" ht="15" customHeight="1" x14ac:dyDescent="0.25">
      <c r="A592" t="s">
        <v>2953</v>
      </c>
      <c r="B592">
        <v>40</v>
      </c>
      <c r="C592">
        <v>0.25</v>
      </c>
    </row>
    <row r="593" spans="1:3" ht="15" customHeight="1" x14ac:dyDescent="0.25">
      <c r="A593" t="s">
        <v>2954</v>
      </c>
      <c r="B593">
        <v>40</v>
      </c>
      <c r="C593">
        <v>0.25</v>
      </c>
    </row>
    <row r="594" spans="1:3" ht="15" customHeight="1" x14ac:dyDescent="0.25">
      <c r="A594" t="s">
        <v>2955</v>
      </c>
      <c r="B594">
        <v>40</v>
      </c>
      <c r="C594">
        <v>0.25</v>
      </c>
    </row>
    <row r="595" spans="1:3" ht="15" customHeight="1" x14ac:dyDescent="0.25">
      <c r="A595" t="s">
        <v>2956</v>
      </c>
      <c r="B595">
        <v>41.4</v>
      </c>
      <c r="C595">
        <v>0.45</v>
      </c>
    </row>
    <row r="596" spans="1:3" ht="15" customHeight="1" x14ac:dyDescent="0.25">
      <c r="A596" t="s">
        <v>2957</v>
      </c>
      <c r="B596">
        <v>51.1</v>
      </c>
      <c r="C596">
        <v>0.15</v>
      </c>
    </row>
    <row r="597" spans="1:3" ht="15" customHeight="1" x14ac:dyDescent="0.25">
      <c r="A597" t="s">
        <v>2958</v>
      </c>
      <c r="B597">
        <v>51.1</v>
      </c>
      <c r="C597">
        <v>0.15</v>
      </c>
    </row>
    <row r="598" spans="1:3" ht="15" customHeight="1" x14ac:dyDescent="0.25">
      <c r="A598" t="s">
        <v>2959</v>
      </c>
      <c r="B598">
        <v>51.1</v>
      </c>
      <c r="C598">
        <v>0.15</v>
      </c>
    </row>
    <row r="599" spans="1:3" ht="15" customHeight="1" x14ac:dyDescent="0.25">
      <c r="A599" t="s">
        <v>2960</v>
      </c>
      <c r="B599">
        <v>51.1</v>
      </c>
      <c r="C599">
        <v>0.15</v>
      </c>
    </row>
    <row r="600" spans="1:3" ht="15" customHeight="1" x14ac:dyDescent="0.25">
      <c r="A600" t="s">
        <v>2961</v>
      </c>
      <c r="B600">
        <v>51.1</v>
      </c>
      <c r="C600">
        <v>0.15</v>
      </c>
    </row>
    <row r="601" spans="1:3" ht="15" customHeight="1" x14ac:dyDescent="0.25">
      <c r="A601" t="s">
        <v>2962</v>
      </c>
      <c r="B601">
        <v>51.1</v>
      </c>
      <c r="C601">
        <v>0.15</v>
      </c>
    </row>
    <row r="602" spans="1:3" ht="15" customHeight="1" x14ac:dyDescent="0.25">
      <c r="A602" t="s">
        <v>2963</v>
      </c>
      <c r="B602">
        <v>51.1</v>
      </c>
      <c r="C602">
        <v>0.15</v>
      </c>
    </row>
    <row r="603" spans="1:3" ht="15" customHeight="1" x14ac:dyDescent="0.25">
      <c r="A603" t="s">
        <v>2964</v>
      </c>
      <c r="B603">
        <v>47</v>
      </c>
      <c r="C603">
        <v>0.15</v>
      </c>
    </row>
    <row r="604" spans="1:3" ht="15" customHeight="1" x14ac:dyDescent="0.25">
      <c r="A604" t="s">
        <v>2965</v>
      </c>
      <c r="B604">
        <v>47</v>
      </c>
      <c r="C604">
        <v>0.15</v>
      </c>
    </row>
    <row r="605" spans="1:3" ht="15" customHeight="1" x14ac:dyDescent="0.25">
      <c r="A605" t="s">
        <v>2966</v>
      </c>
      <c r="B605">
        <v>47</v>
      </c>
      <c r="C605">
        <v>0.15</v>
      </c>
    </row>
    <row r="606" spans="1:3" ht="15" customHeight="1" x14ac:dyDescent="0.25">
      <c r="A606" t="s">
        <v>2967</v>
      </c>
      <c r="B606">
        <v>47</v>
      </c>
      <c r="C606">
        <v>0.15</v>
      </c>
    </row>
    <row r="607" spans="1:3" ht="15" customHeight="1" x14ac:dyDescent="0.25">
      <c r="A607" t="s">
        <v>2968</v>
      </c>
      <c r="B607">
        <v>47</v>
      </c>
      <c r="C607">
        <v>0.15</v>
      </c>
    </row>
    <row r="608" spans="1:3" ht="15" customHeight="1" x14ac:dyDescent="0.25">
      <c r="A608" t="s">
        <v>2969</v>
      </c>
      <c r="B608">
        <v>47</v>
      </c>
      <c r="C608">
        <v>0.15</v>
      </c>
    </row>
    <row r="609" spans="1:3" ht="15" customHeight="1" x14ac:dyDescent="0.25">
      <c r="A609" t="s">
        <v>2970</v>
      </c>
      <c r="B609">
        <v>47</v>
      </c>
      <c r="C609">
        <v>0.15</v>
      </c>
    </row>
    <row r="610" spans="1:3" ht="15" customHeight="1" x14ac:dyDescent="0.25">
      <c r="A610" t="s">
        <v>2971</v>
      </c>
      <c r="B610">
        <v>47</v>
      </c>
      <c r="C610">
        <v>0.15</v>
      </c>
    </row>
    <row r="611" spans="1:3" ht="15" customHeight="1" x14ac:dyDescent="0.25">
      <c r="A611" t="s">
        <v>2972</v>
      </c>
      <c r="B611">
        <v>47</v>
      </c>
      <c r="C611">
        <v>0.15</v>
      </c>
    </row>
    <row r="612" spans="1:3" ht="15" customHeight="1" x14ac:dyDescent="0.25">
      <c r="A612" t="s">
        <v>2973</v>
      </c>
      <c r="B612">
        <v>47</v>
      </c>
      <c r="C612">
        <v>0.15</v>
      </c>
    </row>
    <row r="613" spans="1:3" ht="15" customHeight="1" x14ac:dyDescent="0.25">
      <c r="A613" t="s">
        <v>2974</v>
      </c>
      <c r="B613">
        <v>47</v>
      </c>
      <c r="C613">
        <v>0.15</v>
      </c>
    </row>
    <row r="614" spans="1:3" ht="15" customHeight="1" x14ac:dyDescent="0.25">
      <c r="A614" t="s">
        <v>2975</v>
      </c>
      <c r="B614">
        <v>47</v>
      </c>
      <c r="C614">
        <v>0.15</v>
      </c>
    </row>
    <row r="615" spans="1:3" ht="15" customHeight="1" x14ac:dyDescent="0.25">
      <c r="A615" t="s">
        <v>2976</v>
      </c>
      <c r="B615">
        <v>47</v>
      </c>
      <c r="C615">
        <v>0.15</v>
      </c>
    </row>
    <row r="616" spans="1:3" ht="15" customHeight="1" x14ac:dyDescent="0.25">
      <c r="A616" t="s">
        <v>2977</v>
      </c>
      <c r="B616">
        <v>47</v>
      </c>
      <c r="C616">
        <v>0.15</v>
      </c>
    </row>
    <row r="617" spans="1:3" ht="15" customHeight="1" x14ac:dyDescent="0.25">
      <c r="A617" t="s">
        <v>2978</v>
      </c>
      <c r="B617">
        <v>126.5</v>
      </c>
    </row>
    <row r="618" spans="1:3" ht="15" customHeight="1" x14ac:dyDescent="0.25">
      <c r="A618" t="s">
        <v>2979</v>
      </c>
      <c r="B618">
        <v>139.6</v>
      </c>
    </row>
    <row r="619" spans="1:3" ht="15" customHeight="1" x14ac:dyDescent="0.25">
      <c r="A619" t="s">
        <v>2980</v>
      </c>
      <c r="B619">
        <v>126.5</v>
      </c>
    </row>
    <row r="620" spans="1:3" ht="15" customHeight="1" x14ac:dyDescent="0.25">
      <c r="A620" t="s">
        <v>2981</v>
      </c>
      <c r="B620">
        <v>126.5</v>
      </c>
    </row>
    <row r="621" spans="1:3" ht="15" customHeight="1" x14ac:dyDescent="0.25">
      <c r="A621" t="s">
        <v>2982</v>
      </c>
      <c r="B621">
        <v>126.5</v>
      </c>
    </row>
    <row r="622" spans="1:3" ht="15" customHeight="1" x14ac:dyDescent="0.25">
      <c r="A622" t="s">
        <v>2983</v>
      </c>
      <c r="B622">
        <v>126.5</v>
      </c>
    </row>
    <row r="623" spans="1:3" ht="15" customHeight="1" x14ac:dyDescent="0.25">
      <c r="A623" t="s">
        <v>2984</v>
      </c>
      <c r="B623">
        <v>126.5</v>
      </c>
    </row>
    <row r="624" spans="1:3" ht="15" customHeight="1" x14ac:dyDescent="0.25">
      <c r="A624" t="s">
        <v>2985</v>
      </c>
      <c r="B624">
        <v>126.5</v>
      </c>
    </row>
    <row r="625" spans="1:3" ht="15" customHeight="1" x14ac:dyDescent="0.25">
      <c r="A625" t="s">
        <v>2986</v>
      </c>
      <c r="B625">
        <v>152.30000000000001</v>
      </c>
      <c r="C625">
        <v>0.15</v>
      </c>
    </row>
    <row r="626" spans="1:3" ht="15" customHeight="1" x14ac:dyDescent="0.25">
      <c r="A626" t="s">
        <v>2987</v>
      </c>
      <c r="B626">
        <v>127.6</v>
      </c>
    </row>
    <row r="627" spans="1:3" ht="15" customHeight="1" x14ac:dyDescent="0.25">
      <c r="A627" t="s">
        <v>2988</v>
      </c>
      <c r="B627">
        <v>139.6</v>
      </c>
    </row>
    <row r="628" spans="1:3" ht="15" customHeight="1" x14ac:dyDescent="0.25">
      <c r="A628" t="s">
        <v>2989</v>
      </c>
      <c r="B628">
        <v>127.3</v>
      </c>
    </row>
    <row r="629" spans="1:3" ht="15" customHeight="1" x14ac:dyDescent="0.25">
      <c r="A629" t="s">
        <v>2990</v>
      </c>
      <c r="B629">
        <v>127.3</v>
      </c>
    </row>
    <row r="630" spans="1:3" ht="15" customHeight="1" x14ac:dyDescent="0.25">
      <c r="A630" t="s">
        <v>2991</v>
      </c>
      <c r="B630">
        <v>127.6</v>
      </c>
    </row>
    <row r="631" spans="1:3" ht="15" customHeight="1" x14ac:dyDescent="0.25">
      <c r="A631" t="s">
        <v>2992</v>
      </c>
      <c r="B631">
        <v>127.6</v>
      </c>
    </row>
    <row r="632" spans="1:3" ht="15" customHeight="1" x14ac:dyDescent="0.25">
      <c r="A632" t="s">
        <v>2993</v>
      </c>
      <c r="B632">
        <v>127.6</v>
      </c>
    </row>
    <row r="633" spans="1:3" ht="15" customHeight="1" x14ac:dyDescent="0.25">
      <c r="A633" t="s">
        <v>2994</v>
      </c>
      <c r="B633">
        <v>127.6</v>
      </c>
    </row>
    <row r="634" spans="1:3" ht="15" customHeight="1" x14ac:dyDescent="0.25">
      <c r="A634" t="s">
        <v>2995</v>
      </c>
      <c r="B634">
        <v>127.6</v>
      </c>
    </row>
    <row r="635" spans="1:3" ht="15" customHeight="1" x14ac:dyDescent="0.25">
      <c r="A635" t="s">
        <v>2996</v>
      </c>
      <c r="B635">
        <v>127.6</v>
      </c>
    </row>
    <row r="636" spans="1:3" ht="15" customHeight="1" x14ac:dyDescent="0.25">
      <c r="A636" t="s">
        <v>2997</v>
      </c>
      <c r="B636">
        <v>120.3</v>
      </c>
      <c r="C636">
        <v>0.45</v>
      </c>
    </row>
    <row r="637" spans="1:3" ht="15" customHeight="1" x14ac:dyDescent="0.25">
      <c r="A637" t="s">
        <v>2998</v>
      </c>
      <c r="B637">
        <v>21.4</v>
      </c>
      <c r="C637">
        <v>0.45</v>
      </c>
    </row>
    <row r="638" spans="1:3" ht="15" customHeight="1" x14ac:dyDescent="0.25">
      <c r="A638" t="s">
        <v>2999</v>
      </c>
      <c r="B638">
        <v>21.4</v>
      </c>
      <c r="C638">
        <v>0.45</v>
      </c>
    </row>
    <row r="639" spans="1:3" ht="15" customHeight="1" x14ac:dyDescent="0.25">
      <c r="A639" t="s">
        <v>3000</v>
      </c>
      <c r="B639">
        <v>21.4</v>
      </c>
      <c r="C639">
        <v>0.45</v>
      </c>
    </row>
    <row r="640" spans="1:3" ht="15" customHeight="1" x14ac:dyDescent="0.25">
      <c r="A640" t="s">
        <v>3001</v>
      </c>
      <c r="B640">
        <v>21.3</v>
      </c>
      <c r="C640">
        <v>0.45</v>
      </c>
    </row>
    <row r="641" spans="1:3" ht="15" customHeight="1" x14ac:dyDescent="0.25">
      <c r="A641" t="s">
        <v>3002</v>
      </c>
      <c r="B641">
        <v>21.3</v>
      </c>
      <c r="C641">
        <v>0.45</v>
      </c>
    </row>
    <row r="642" spans="1:3" ht="15" customHeight="1" x14ac:dyDescent="0.25">
      <c r="A642" t="s">
        <v>3003</v>
      </c>
      <c r="B642">
        <v>42.4</v>
      </c>
      <c r="C642">
        <v>0.45</v>
      </c>
    </row>
    <row r="643" spans="1:3" ht="15" customHeight="1" x14ac:dyDescent="0.25">
      <c r="A643" t="s">
        <v>3004</v>
      </c>
      <c r="B643">
        <v>42.4</v>
      </c>
      <c r="C643">
        <v>0.45</v>
      </c>
    </row>
    <row r="644" spans="1:3" ht="15" customHeight="1" x14ac:dyDescent="0.25">
      <c r="A644" t="s">
        <v>3005</v>
      </c>
      <c r="B644">
        <v>42.4</v>
      </c>
      <c r="C644">
        <v>0.45</v>
      </c>
    </row>
    <row r="645" spans="1:3" ht="15" customHeight="1" x14ac:dyDescent="0.25">
      <c r="A645" t="s">
        <v>3006</v>
      </c>
      <c r="B645">
        <v>42.4</v>
      </c>
      <c r="C645">
        <v>0.45</v>
      </c>
    </row>
    <row r="646" spans="1:3" ht="15" customHeight="1" x14ac:dyDescent="0.25">
      <c r="A646" t="s">
        <v>3007</v>
      </c>
      <c r="B646">
        <v>42.4</v>
      </c>
      <c r="C646">
        <v>0.45</v>
      </c>
    </row>
    <row r="647" spans="1:3" ht="15" customHeight="1" x14ac:dyDescent="0.25">
      <c r="A647" t="s">
        <v>3008</v>
      </c>
      <c r="B647">
        <v>42.4</v>
      </c>
      <c r="C647">
        <v>0.45</v>
      </c>
    </row>
    <row r="648" spans="1:3" ht="15" customHeight="1" x14ac:dyDescent="0.25">
      <c r="A648" t="s">
        <v>3009</v>
      </c>
      <c r="B648">
        <v>42.4</v>
      </c>
    </row>
    <row r="649" spans="1:3" ht="15" customHeight="1" x14ac:dyDescent="0.25">
      <c r="A649" t="s">
        <v>3010</v>
      </c>
      <c r="B649">
        <v>42.4</v>
      </c>
      <c r="C649">
        <v>0.45</v>
      </c>
    </row>
    <row r="650" spans="1:3" ht="15" customHeight="1" x14ac:dyDescent="0.25">
      <c r="A650" t="s">
        <v>3011</v>
      </c>
      <c r="B650">
        <v>55.3</v>
      </c>
      <c r="C650">
        <v>0.45</v>
      </c>
    </row>
    <row r="651" spans="1:3" ht="15" customHeight="1" x14ac:dyDescent="0.25">
      <c r="A651" t="s">
        <v>3012</v>
      </c>
      <c r="B651">
        <v>55.3</v>
      </c>
      <c r="C651">
        <v>0.45</v>
      </c>
    </row>
    <row r="652" spans="1:3" ht="15" customHeight="1" x14ac:dyDescent="0.25">
      <c r="A652" t="s">
        <v>3013</v>
      </c>
      <c r="B652">
        <v>64.2</v>
      </c>
      <c r="C652">
        <v>0.45</v>
      </c>
    </row>
    <row r="653" spans="1:3" ht="15" customHeight="1" x14ac:dyDescent="0.25">
      <c r="A653" t="s">
        <v>3014</v>
      </c>
      <c r="B653">
        <v>64.2</v>
      </c>
      <c r="C653">
        <v>0.45</v>
      </c>
    </row>
    <row r="654" spans="1:3" ht="15" customHeight="1" x14ac:dyDescent="0.25">
      <c r="A654" t="s">
        <v>3015</v>
      </c>
      <c r="B654">
        <v>64.2</v>
      </c>
      <c r="C654">
        <v>0.45</v>
      </c>
    </row>
    <row r="655" spans="1:3" ht="15" customHeight="1" x14ac:dyDescent="0.25">
      <c r="A655" t="s">
        <v>3016</v>
      </c>
      <c r="B655">
        <v>64.2</v>
      </c>
      <c r="C655">
        <v>0.45</v>
      </c>
    </row>
    <row r="656" spans="1:3" ht="15" customHeight="1" x14ac:dyDescent="0.25">
      <c r="A656" t="s">
        <v>3017</v>
      </c>
      <c r="B656">
        <v>56.5</v>
      </c>
      <c r="C656">
        <v>0.25</v>
      </c>
    </row>
    <row r="657" spans="1:3" ht="15" customHeight="1" x14ac:dyDescent="0.25">
      <c r="A657" t="s">
        <v>3018</v>
      </c>
      <c r="B657">
        <v>56.5</v>
      </c>
      <c r="C657">
        <v>0.25</v>
      </c>
    </row>
    <row r="658" spans="1:3" ht="15" customHeight="1" x14ac:dyDescent="0.25">
      <c r="A658" t="s">
        <v>3019</v>
      </c>
      <c r="B658">
        <v>56.5</v>
      </c>
    </row>
    <row r="659" spans="1:3" ht="15" customHeight="1" x14ac:dyDescent="0.25">
      <c r="A659" t="s">
        <v>3020</v>
      </c>
      <c r="B659">
        <v>56.5</v>
      </c>
    </row>
    <row r="660" spans="1:3" ht="15" customHeight="1" x14ac:dyDescent="0.25">
      <c r="A660" t="s">
        <v>3021</v>
      </c>
      <c r="B660">
        <v>56.5</v>
      </c>
    </row>
    <row r="661" spans="1:3" ht="15" customHeight="1" x14ac:dyDescent="0.25">
      <c r="A661" t="s">
        <v>3022</v>
      </c>
      <c r="B661">
        <v>56.5</v>
      </c>
    </row>
    <row r="662" spans="1:3" ht="15" customHeight="1" x14ac:dyDescent="0.25">
      <c r="A662" t="s">
        <v>3023</v>
      </c>
      <c r="B662">
        <v>154.19999999999999</v>
      </c>
    </row>
    <row r="663" spans="1:3" ht="15" customHeight="1" x14ac:dyDescent="0.25">
      <c r="A663" t="s">
        <v>3024</v>
      </c>
      <c r="B663">
        <v>154.19999999999999</v>
      </c>
    </row>
    <row r="664" spans="1:3" ht="15" customHeight="1" x14ac:dyDescent="0.25">
      <c r="A664" t="s">
        <v>3025</v>
      </c>
      <c r="B664">
        <v>182.5</v>
      </c>
      <c r="C664">
        <v>0.15</v>
      </c>
    </row>
    <row r="665" spans="1:3" ht="15" customHeight="1" x14ac:dyDescent="0.25">
      <c r="A665" t="s">
        <v>3026</v>
      </c>
      <c r="B665">
        <v>182.5</v>
      </c>
      <c r="C665">
        <v>0.15</v>
      </c>
    </row>
    <row r="666" spans="1:3" ht="15" customHeight="1" x14ac:dyDescent="0.25">
      <c r="A666" t="s">
        <v>3027</v>
      </c>
      <c r="B666">
        <v>154.19999999999999</v>
      </c>
    </row>
    <row r="667" spans="1:3" ht="15" customHeight="1" x14ac:dyDescent="0.25">
      <c r="A667" t="s">
        <v>3028</v>
      </c>
      <c r="B667">
        <v>154.19999999999999</v>
      </c>
    </row>
    <row r="668" spans="1:3" ht="15" customHeight="1" x14ac:dyDescent="0.25">
      <c r="A668" t="s">
        <v>3029</v>
      </c>
      <c r="B668">
        <v>154.19999999999999</v>
      </c>
    </row>
    <row r="669" spans="1:3" ht="15" customHeight="1" x14ac:dyDescent="0.25">
      <c r="A669" t="s">
        <v>3030</v>
      </c>
      <c r="B669">
        <v>154.19999999999999</v>
      </c>
    </row>
    <row r="670" spans="1:3" ht="15" customHeight="1" x14ac:dyDescent="0.25">
      <c r="A670" t="s">
        <v>3031</v>
      </c>
      <c r="B670">
        <v>14.3</v>
      </c>
      <c r="C670">
        <v>0.45</v>
      </c>
    </row>
    <row r="671" spans="1:3" ht="15" customHeight="1" x14ac:dyDescent="0.25">
      <c r="A671" t="s">
        <v>3032</v>
      </c>
      <c r="B671">
        <v>14.1</v>
      </c>
      <c r="C671">
        <v>0.45</v>
      </c>
    </row>
    <row r="672" spans="1:3" ht="15" customHeight="1" x14ac:dyDescent="0.25">
      <c r="A672" t="s">
        <v>3033</v>
      </c>
      <c r="B672">
        <v>17.8</v>
      </c>
      <c r="C672">
        <v>0.45</v>
      </c>
    </row>
    <row r="673" spans="1:3" ht="15" customHeight="1" x14ac:dyDescent="0.25">
      <c r="A673" t="s">
        <v>3034</v>
      </c>
      <c r="B673">
        <v>17.8</v>
      </c>
      <c r="C673">
        <v>0.45</v>
      </c>
    </row>
    <row r="674" spans="1:3" ht="15" customHeight="1" x14ac:dyDescent="0.25">
      <c r="A674" t="s">
        <v>3035</v>
      </c>
      <c r="B674">
        <v>17.8</v>
      </c>
      <c r="C674">
        <v>0.45</v>
      </c>
    </row>
    <row r="675" spans="1:3" ht="15" customHeight="1" x14ac:dyDescent="0.25">
      <c r="A675" t="s">
        <v>3036</v>
      </c>
      <c r="B675">
        <v>17.8</v>
      </c>
      <c r="C675">
        <v>0.45</v>
      </c>
    </row>
    <row r="676" spans="1:3" ht="15" customHeight="1" x14ac:dyDescent="0.25">
      <c r="A676" t="s">
        <v>3037</v>
      </c>
      <c r="B676">
        <v>17.8</v>
      </c>
      <c r="C676">
        <v>0.45</v>
      </c>
    </row>
    <row r="677" spans="1:3" ht="15" customHeight="1" x14ac:dyDescent="0.25">
      <c r="A677" t="s">
        <v>3038</v>
      </c>
      <c r="B677">
        <v>49</v>
      </c>
      <c r="C677">
        <v>0.15</v>
      </c>
    </row>
    <row r="678" spans="1:3" ht="15" customHeight="1" x14ac:dyDescent="0.25">
      <c r="A678" t="s">
        <v>3039</v>
      </c>
      <c r="B678">
        <v>49</v>
      </c>
      <c r="C678">
        <v>0.15</v>
      </c>
    </row>
    <row r="679" spans="1:3" ht="15" customHeight="1" x14ac:dyDescent="0.25">
      <c r="A679" t="s">
        <v>3040</v>
      </c>
      <c r="B679">
        <v>49</v>
      </c>
      <c r="C679">
        <v>0.15</v>
      </c>
    </row>
    <row r="680" spans="1:3" ht="15" customHeight="1" x14ac:dyDescent="0.25">
      <c r="A680" t="s">
        <v>3041</v>
      </c>
      <c r="B680">
        <v>49</v>
      </c>
      <c r="C680">
        <v>0.15</v>
      </c>
    </row>
    <row r="681" spans="1:3" ht="15" customHeight="1" x14ac:dyDescent="0.25">
      <c r="A681" t="s">
        <v>3042</v>
      </c>
      <c r="B681">
        <v>49</v>
      </c>
      <c r="C681">
        <v>0.15</v>
      </c>
    </row>
    <row r="682" spans="1:3" ht="15" customHeight="1" x14ac:dyDescent="0.25">
      <c r="A682" t="s">
        <v>3043</v>
      </c>
      <c r="B682">
        <v>50.8</v>
      </c>
      <c r="C682">
        <v>0.15</v>
      </c>
    </row>
    <row r="683" spans="1:3" ht="15" customHeight="1" x14ac:dyDescent="0.25">
      <c r="A683" t="s">
        <v>3044</v>
      </c>
      <c r="B683">
        <v>50.8</v>
      </c>
      <c r="C683">
        <v>0.15</v>
      </c>
    </row>
    <row r="684" spans="1:3" ht="15" customHeight="1" x14ac:dyDescent="0.25">
      <c r="A684" t="s">
        <v>3045</v>
      </c>
      <c r="B684">
        <v>50.8</v>
      </c>
      <c r="C684">
        <v>0.15</v>
      </c>
    </row>
    <row r="685" spans="1:3" ht="15" customHeight="1" x14ac:dyDescent="0.25">
      <c r="A685" t="s">
        <v>3046</v>
      </c>
      <c r="B685">
        <v>50.8</v>
      </c>
      <c r="C685">
        <v>0.15</v>
      </c>
    </row>
    <row r="686" spans="1:3" ht="15" customHeight="1" x14ac:dyDescent="0.25">
      <c r="A686" t="s">
        <v>3047</v>
      </c>
      <c r="B686">
        <v>50.8</v>
      </c>
      <c r="C686">
        <v>0.15</v>
      </c>
    </row>
    <row r="687" spans="1:3" ht="15" customHeight="1" x14ac:dyDescent="0.25">
      <c r="A687" t="s">
        <v>3048</v>
      </c>
      <c r="B687">
        <v>50.8</v>
      </c>
      <c r="C687">
        <v>0.15</v>
      </c>
    </row>
    <row r="688" spans="1:3" ht="15" customHeight="1" x14ac:dyDescent="0.25">
      <c r="A688" t="s">
        <v>3049</v>
      </c>
      <c r="B688">
        <v>50.8</v>
      </c>
      <c r="C688">
        <v>0.15</v>
      </c>
    </row>
    <row r="689" spans="1:3" ht="15" customHeight="1" x14ac:dyDescent="0.25">
      <c r="A689" t="s">
        <v>3050</v>
      </c>
      <c r="B689">
        <v>50.8</v>
      </c>
      <c r="C689">
        <v>0.15</v>
      </c>
    </row>
    <row r="690" spans="1:3" ht="15" customHeight="1" x14ac:dyDescent="0.25">
      <c r="A690" t="s">
        <v>3051</v>
      </c>
      <c r="B690">
        <v>50.8</v>
      </c>
      <c r="C690">
        <v>0.15</v>
      </c>
    </row>
    <row r="691" spans="1:3" ht="15" customHeight="1" x14ac:dyDescent="0.25">
      <c r="A691" t="s">
        <v>3052</v>
      </c>
      <c r="B691">
        <v>50.8</v>
      </c>
      <c r="C691">
        <v>0.15</v>
      </c>
    </row>
    <row r="692" spans="1:3" ht="15" customHeight="1" x14ac:dyDescent="0.25">
      <c r="A692" t="s">
        <v>3053</v>
      </c>
      <c r="B692">
        <v>50.8</v>
      </c>
      <c r="C692">
        <v>0.15</v>
      </c>
    </row>
    <row r="693" spans="1:3" ht="15" customHeight="1" x14ac:dyDescent="0.25">
      <c r="A693" t="s">
        <v>3054</v>
      </c>
      <c r="B693">
        <v>50.8</v>
      </c>
      <c r="C693">
        <v>0.15</v>
      </c>
    </row>
    <row r="694" spans="1:3" ht="15" customHeight="1" x14ac:dyDescent="0.25">
      <c r="A694" t="s">
        <v>3055</v>
      </c>
      <c r="B694">
        <v>23.8</v>
      </c>
      <c r="C694">
        <v>0.45</v>
      </c>
    </row>
    <row r="695" spans="1:3" ht="15" customHeight="1" x14ac:dyDescent="0.25">
      <c r="A695" t="s">
        <v>3056</v>
      </c>
      <c r="B695">
        <v>23.8</v>
      </c>
      <c r="C695">
        <v>0.45</v>
      </c>
    </row>
    <row r="696" spans="1:3" ht="15" customHeight="1" x14ac:dyDescent="0.25">
      <c r="A696" t="s">
        <v>3057</v>
      </c>
      <c r="B696">
        <v>23.8</v>
      </c>
    </row>
    <row r="697" spans="1:3" ht="15" customHeight="1" x14ac:dyDescent="0.25">
      <c r="A697" t="s">
        <v>3058</v>
      </c>
      <c r="B697">
        <v>24.1</v>
      </c>
    </row>
    <row r="698" spans="1:3" ht="15" customHeight="1" x14ac:dyDescent="0.25">
      <c r="A698" t="s">
        <v>3059</v>
      </c>
      <c r="B698">
        <v>24.1</v>
      </c>
    </row>
    <row r="699" spans="1:3" ht="15" customHeight="1" x14ac:dyDescent="0.25">
      <c r="A699" t="s">
        <v>3060</v>
      </c>
      <c r="B699">
        <v>24.1</v>
      </c>
    </row>
    <row r="700" spans="1:3" ht="15" customHeight="1" x14ac:dyDescent="0.25">
      <c r="A700" t="s">
        <v>3061</v>
      </c>
      <c r="B700">
        <v>24.1</v>
      </c>
    </row>
    <row r="701" spans="1:3" ht="15" customHeight="1" x14ac:dyDescent="0.25">
      <c r="A701" t="s">
        <v>3062</v>
      </c>
      <c r="B701">
        <v>24.1</v>
      </c>
    </row>
    <row r="702" spans="1:3" ht="15" customHeight="1" x14ac:dyDescent="0.25">
      <c r="A702" t="s">
        <v>3063</v>
      </c>
      <c r="B702">
        <v>24.1</v>
      </c>
    </row>
    <row r="703" spans="1:3" ht="15" customHeight="1" x14ac:dyDescent="0.25">
      <c r="A703" t="s">
        <v>3064</v>
      </c>
      <c r="B703">
        <v>24.1</v>
      </c>
    </row>
    <row r="704" spans="1:3" ht="15" customHeight="1" x14ac:dyDescent="0.25">
      <c r="A704" t="s">
        <v>3065</v>
      </c>
      <c r="B704">
        <v>24.1</v>
      </c>
    </row>
    <row r="705" spans="1:3" ht="15" customHeight="1" x14ac:dyDescent="0.25">
      <c r="A705" t="s">
        <v>3066</v>
      </c>
      <c r="B705">
        <v>24.1</v>
      </c>
    </row>
    <row r="706" spans="1:3" ht="15" customHeight="1" x14ac:dyDescent="0.25">
      <c r="A706" t="s">
        <v>3067</v>
      </c>
      <c r="B706">
        <v>25.2</v>
      </c>
      <c r="C706">
        <v>0.45</v>
      </c>
    </row>
    <row r="707" spans="1:3" ht="15" customHeight="1" x14ac:dyDescent="0.25">
      <c r="A707" t="s">
        <v>3068</v>
      </c>
      <c r="B707">
        <v>25.2</v>
      </c>
      <c r="C707">
        <v>0.45</v>
      </c>
    </row>
    <row r="708" spans="1:3" ht="15" customHeight="1" x14ac:dyDescent="0.25">
      <c r="A708" t="s">
        <v>3069</v>
      </c>
      <c r="B708">
        <v>25.2</v>
      </c>
      <c r="C708">
        <v>0.45</v>
      </c>
    </row>
    <row r="709" spans="1:3" ht="15" customHeight="1" x14ac:dyDescent="0.25">
      <c r="A709" t="s">
        <v>3070</v>
      </c>
      <c r="B709">
        <v>25.2</v>
      </c>
      <c r="C709">
        <v>0.45</v>
      </c>
    </row>
    <row r="710" spans="1:3" ht="15" customHeight="1" x14ac:dyDescent="0.25">
      <c r="A710" t="s">
        <v>3071</v>
      </c>
      <c r="B710">
        <v>25.2</v>
      </c>
      <c r="C710">
        <v>0.45</v>
      </c>
    </row>
    <row r="711" spans="1:3" ht="15" customHeight="1" x14ac:dyDescent="0.25">
      <c r="A711" t="s">
        <v>3072</v>
      </c>
      <c r="B711">
        <v>25.2</v>
      </c>
    </row>
    <row r="712" spans="1:3" ht="15" customHeight="1" x14ac:dyDescent="0.25">
      <c r="A712" t="s">
        <v>3073</v>
      </c>
      <c r="B712">
        <v>25.2</v>
      </c>
      <c r="C712">
        <v>0.45</v>
      </c>
    </row>
    <row r="713" spans="1:3" ht="15" customHeight="1" x14ac:dyDescent="0.25">
      <c r="A713" t="s">
        <v>3074</v>
      </c>
      <c r="B713">
        <v>25.2</v>
      </c>
    </row>
    <row r="714" spans="1:3" ht="15" customHeight="1" x14ac:dyDescent="0.25">
      <c r="A714" t="s">
        <v>3075</v>
      </c>
      <c r="B714">
        <v>13.6</v>
      </c>
      <c r="C714">
        <v>0.15</v>
      </c>
    </row>
    <row r="715" spans="1:3" ht="15" customHeight="1" x14ac:dyDescent="0.25">
      <c r="A715" t="s">
        <v>3076</v>
      </c>
      <c r="B715">
        <v>72.8</v>
      </c>
      <c r="C715">
        <v>0.15</v>
      </c>
    </row>
    <row r="716" spans="1:3" ht="15" customHeight="1" x14ac:dyDescent="0.25">
      <c r="A716" t="s">
        <v>3077</v>
      </c>
      <c r="B716">
        <v>72.8</v>
      </c>
      <c r="C716">
        <v>0.15</v>
      </c>
    </row>
    <row r="717" spans="1:3" ht="15" customHeight="1" x14ac:dyDescent="0.25">
      <c r="A717" t="s">
        <v>3078</v>
      </c>
      <c r="B717">
        <v>72.8</v>
      </c>
      <c r="C717">
        <v>0.15</v>
      </c>
    </row>
    <row r="718" spans="1:3" ht="15" customHeight="1" x14ac:dyDescent="0.25">
      <c r="A718" t="s">
        <v>3079</v>
      </c>
      <c r="B718">
        <v>65</v>
      </c>
      <c r="C718">
        <v>0.3</v>
      </c>
    </row>
    <row r="719" spans="1:3" ht="15" customHeight="1" x14ac:dyDescent="0.25">
      <c r="A719" t="s">
        <v>3080</v>
      </c>
      <c r="B719">
        <v>65</v>
      </c>
      <c r="C719">
        <v>0.3</v>
      </c>
    </row>
    <row r="720" spans="1:3" ht="15" customHeight="1" x14ac:dyDescent="0.25">
      <c r="A720" t="s">
        <v>3081</v>
      </c>
      <c r="B720">
        <v>74.900000000000006</v>
      </c>
      <c r="C720">
        <v>0.25</v>
      </c>
    </row>
    <row r="721" spans="1:3" ht="15" customHeight="1" x14ac:dyDescent="0.25">
      <c r="A721" t="s">
        <v>3082</v>
      </c>
      <c r="B721">
        <v>37.299999999999997</v>
      </c>
    </row>
    <row r="722" spans="1:3" ht="15" customHeight="1" x14ac:dyDescent="0.25">
      <c r="A722" t="s">
        <v>3083</v>
      </c>
      <c r="B722">
        <v>37.299999999999997</v>
      </c>
    </row>
    <row r="723" spans="1:3" ht="15" customHeight="1" x14ac:dyDescent="0.25">
      <c r="A723" t="s">
        <v>3084</v>
      </c>
      <c r="B723">
        <v>37.299999999999997</v>
      </c>
      <c r="C723">
        <v>0.3</v>
      </c>
    </row>
    <row r="724" spans="1:3" ht="15" customHeight="1" x14ac:dyDescent="0.25">
      <c r="A724" t="s">
        <v>3085</v>
      </c>
      <c r="B724">
        <v>37.299999999999997</v>
      </c>
      <c r="C724">
        <v>0.3</v>
      </c>
    </row>
    <row r="725" spans="1:3" ht="15" customHeight="1" x14ac:dyDescent="0.25">
      <c r="A725" t="s">
        <v>3086</v>
      </c>
      <c r="B725">
        <v>36.200000000000003</v>
      </c>
      <c r="C725">
        <v>0.15</v>
      </c>
    </row>
    <row r="726" spans="1:3" ht="15" customHeight="1" x14ac:dyDescent="0.25">
      <c r="A726" t="s">
        <v>3087</v>
      </c>
      <c r="B726">
        <v>36.200000000000003</v>
      </c>
      <c r="C726">
        <v>0.15</v>
      </c>
    </row>
    <row r="727" spans="1:3" ht="15" customHeight="1" x14ac:dyDescent="0.25">
      <c r="A727" t="s">
        <v>3088</v>
      </c>
      <c r="B727">
        <v>36.200000000000003</v>
      </c>
      <c r="C727">
        <v>0.15</v>
      </c>
    </row>
    <row r="728" spans="1:3" ht="15" customHeight="1" x14ac:dyDescent="0.25">
      <c r="A728" t="s">
        <v>3089</v>
      </c>
      <c r="B728">
        <v>36.200000000000003</v>
      </c>
      <c r="C728">
        <v>0.15</v>
      </c>
    </row>
    <row r="729" spans="1:3" ht="15" customHeight="1" x14ac:dyDescent="0.25">
      <c r="A729" t="s">
        <v>3090</v>
      </c>
      <c r="B729">
        <v>48.8</v>
      </c>
      <c r="C729">
        <v>0.3</v>
      </c>
    </row>
    <row r="730" spans="1:3" ht="15" customHeight="1" x14ac:dyDescent="0.25">
      <c r="A730" t="s">
        <v>3091</v>
      </c>
      <c r="B730">
        <v>48.8</v>
      </c>
      <c r="C730">
        <v>0.3</v>
      </c>
    </row>
    <row r="731" spans="1:3" ht="15" customHeight="1" x14ac:dyDescent="0.25">
      <c r="A731" t="s">
        <v>3092</v>
      </c>
      <c r="B731">
        <v>48.8</v>
      </c>
      <c r="C731">
        <v>0.3</v>
      </c>
    </row>
    <row r="732" spans="1:3" ht="15" customHeight="1" x14ac:dyDescent="0.25">
      <c r="A732" t="s">
        <v>3093</v>
      </c>
      <c r="B732">
        <v>25.9</v>
      </c>
      <c r="C732">
        <v>0.45</v>
      </c>
    </row>
    <row r="733" spans="1:3" ht="15" customHeight="1" x14ac:dyDescent="0.25">
      <c r="A733" t="s">
        <v>3094</v>
      </c>
      <c r="B733">
        <v>24.3</v>
      </c>
    </row>
    <row r="734" spans="1:3" ht="15" customHeight="1" x14ac:dyDescent="0.25">
      <c r="A734" t="s">
        <v>3095</v>
      </c>
      <c r="B734">
        <v>25.9</v>
      </c>
      <c r="C734">
        <v>0.45</v>
      </c>
    </row>
    <row r="735" spans="1:3" ht="15" customHeight="1" x14ac:dyDescent="0.25">
      <c r="A735" t="s">
        <v>3096</v>
      </c>
      <c r="B735">
        <v>24.3</v>
      </c>
      <c r="C735">
        <v>0.45</v>
      </c>
    </row>
    <row r="736" spans="1:3" ht="15" customHeight="1" x14ac:dyDescent="0.25">
      <c r="A736" t="s">
        <v>3097</v>
      </c>
      <c r="B736">
        <v>25.9</v>
      </c>
      <c r="C736">
        <v>0.45</v>
      </c>
    </row>
    <row r="737" spans="1:3" ht="15" customHeight="1" x14ac:dyDescent="0.25">
      <c r="A737" t="s">
        <v>3098</v>
      </c>
      <c r="B737">
        <v>24.3</v>
      </c>
      <c r="C737">
        <v>0.45</v>
      </c>
    </row>
    <row r="738" spans="1:3" ht="15" customHeight="1" x14ac:dyDescent="0.25">
      <c r="A738" t="s">
        <v>3099</v>
      </c>
      <c r="B738">
        <v>24.6</v>
      </c>
    </row>
    <row r="739" spans="1:3" ht="15" customHeight="1" x14ac:dyDescent="0.25">
      <c r="A739" t="s">
        <v>3100</v>
      </c>
      <c r="B739">
        <v>26.6</v>
      </c>
    </row>
    <row r="740" spans="1:3" ht="15" customHeight="1" x14ac:dyDescent="0.25">
      <c r="A740" t="s">
        <v>3101</v>
      </c>
      <c r="B740">
        <v>24.3</v>
      </c>
    </row>
    <row r="741" spans="1:3" ht="15" customHeight="1" x14ac:dyDescent="0.25">
      <c r="A741" t="s">
        <v>1399</v>
      </c>
      <c r="B741">
        <v>24.6</v>
      </c>
      <c r="C741">
        <v>0.45</v>
      </c>
    </row>
    <row r="742" spans="1:3" ht="15" customHeight="1" x14ac:dyDescent="0.25">
      <c r="A742" t="s">
        <v>3102</v>
      </c>
      <c r="B742">
        <v>26.6</v>
      </c>
      <c r="C742">
        <v>0.45</v>
      </c>
    </row>
    <row r="743" spans="1:3" ht="15" customHeight="1" x14ac:dyDescent="0.25">
      <c r="A743" t="s">
        <v>3103</v>
      </c>
      <c r="B743">
        <v>24.6</v>
      </c>
    </row>
    <row r="744" spans="1:3" ht="15" customHeight="1" x14ac:dyDescent="0.25">
      <c r="A744" t="s">
        <v>3104</v>
      </c>
      <c r="B744">
        <v>26.6</v>
      </c>
    </row>
    <row r="745" spans="1:3" ht="15" customHeight="1" x14ac:dyDescent="0.25">
      <c r="A745" t="s">
        <v>3105</v>
      </c>
      <c r="B745">
        <v>24.6</v>
      </c>
      <c r="C745">
        <v>0.45</v>
      </c>
    </row>
    <row r="746" spans="1:3" ht="15" customHeight="1" x14ac:dyDescent="0.25">
      <c r="A746" t="s">
        <v>3106</v>
      </c>
      <c r="B746">
        <v>26.6</v>
      </c>
    </row>
    <row r="747" spans="1:3" ht="15" customHeight="1" x14ac:dyDescent="0.25">
      <c r="A747" t="s">
        <v>3107</v>
      </c>
      <c r="B747">
        <v>37.299999999999997</v>
      </c>
    </row>
    <row r="748" spans="1:3" ht="15" customHeight="1" x14ac:dyDescent="0.25">
      <c r="A748" t="s">
        <v>3108</v>
      </c>
      <c r="B748">
        <v>37.299999999999997</v>
      </c>
    </row>
    <row r="749" spans="1:3" ht="15" customHeight="1" x14ac:dyDescent="0.25">
      <c r="A749" t="s">
        <v>3109</v>
      </c>
      <c r="B749">
        <v>40.9</v>
      </c>
      <c r="C749">
        <v>0.25</v>
      </c>
    </row>
    <row r="750" spans="1:3" ht="15" customHeight="1" x14ac:dyDescent="0.25">
      <c r="A750" t="s">
        <v>3110</v>
      </c>
      <c r="B750">
        <v>43.7</v>
      </c>
      <c r="C750">
        <v>0.25</v>
      </c>
    </row>
    <row r="751" spans="1:3" ht="15" customHeight="1" x14ac:dyDescent="0.25">
      <c r="A751" t="s">
        <v>3111</v>
      </c>
      <c r="B751">
        <v>40.9</v>
      </c>
      <c r="C751">
        <v>0.25</v>
      </c>
    </row>
    <row r="752" spans="1:3" ht="15" customHeight="1" x14ac:dyDescent="0.25">
      <c r="A752" t="s">
        <v>3112</v>
      </c>
      <c r="B752">
        <v>33.200000000000003</v>
      </c>
      <c r="C752">
        <v>0.25</v>
      </c>
    </row>
    <row r="753" spans="1:3" ht="15" customHeight="1" x14ac:dyDescent="0.25">
      <c r="A753" t="s">
        <v>3113</v>
      </c>
      <c r="B753">
        <v>33.9</v>
      </c>
      <c r="C753">
        <v>0.25</v>
      </c>
    </row>
    <row r="754" spans="1:3" ht="15" customHeight="1" x14ac:dyDescent="0.25">
      <c r="A754" t="s">
        <v>3114</v>
      </c>
      <c r="B754">
        <v>48.9</v>
      </c>
      <c r="C754">
        <v>0.25</v>
      </c>
    </row>
    <row r="755" spans="1:3" ht="15" customHeight="1" x14ac:dyDescent="0.25">
      <c r="A755" t="s">
        <v>3115</v>
      </c>
      <c r="B755">
        <v>46</v>
      </c>
      <c r="C755">
        <v>0.25</v>
      </c>
    </row>
    <row r="756" spans="1:3" ht="15" customHeight="1" x14ac:dyDescent="0.25">
      <c r="A756" t="s">
        <v>3116</v>
      </c>
      <c r="B756">
        <v>18.899999999999999</v>
      </c>
    </row>
    <row r="757" spans="1:3" ht="15" customHeight="1" x14ac:dyDescent="0.25">
      <c r="A757" t="s">
        <v>3117</v>
      </c>
      <c r="B757">
        <v>24.7</v>
      </c>
    </row>
    <row r="758" spans="1:3" ht="15" customHeight="1" x14ac:dyDescent="0.25">
      <c r="A758" t="s">
        <v>3118</v>
      </c>
      <c r="B758">
        <v>20.6</v>
      </c>
      <c r="C758">
        <v>0.45</v>
      </c>
    </row>
    <row r="759" spans="1:3" ht="15" customHeight="1" x14ac:dyDescent="0.25">
      <c r="A759" t="s">
        <v>3119</v>
      </c>
      <c r="B759">
        <v>24.7</v>
      </c>
      <c r="C759">
        <v>0.45</v>
      </c>
    </row>
    <row r="760" spans="1:3" ht="15" customHeight="1" x14ac:dyDescent="0.25">
      <c r="A760" t="s">
        <v>3120</v>
      </c>
      <c r="B760">
        <v>20.6</v>
      </c>
      <c r="C760">
        <v>0.45</v>
      </c>
    </row>
    <row r="761" spans="1:3" ht="15" customHeight="1" x14ac:dyDescent="0.25">
      <c r="A761" t="s">
        <v>3121</v>
      </c>
      <c r="B761">
        <v>18.899999999999999</v>
      </c>
    </row>
    <row r="762" spans="1:3" ht="15" customHeight="1" x14ac:dyDescent="0.25">
      <c r="A762" t="s">
        <v>3122</v>
      </c>
      <c r="B762">
        <v>24.7</v>
      </c>
      <c r="C762">
        <v>0.45</v>
      </c>
    </row>
    <row r="763" spans="1:3" ht="15" customHeight="1" x14ac:dyDescent="0.25">
      <c r="A763" t="s">
        <v>3123</v>
      </c>
      <c r="B763">
        <v>18.899999999999999</v>
      </c>
    </row>
    <row r="764" spans="1:3" ht="15" customHeight="1" x14ac:dyDescent="0.25">
      <c r="A764" t="s">
        <v>3124</v>
      </c>
      <c r="B764">
        <v>18.899999999999999</v>
      </c>
      <c r="C764">
        <v>0.45</v>
      </c>
    </row>
    <row r="765" spans="1:3" ht="15" customHeight="1" x14ac:dyDescent="0.25">
      <c r="A765" t="s">
        <v>3125</v>
      </c>
      <c r="B765">
        <v>18.899999999999999</v>
      </c>
      <c r="C765">
        <v>0.45</v>
      </c>
    </row>
    <row r="766" spans="1:3" ht="15" customHeight="1" x14ac:dyDescent="0.25">
      <c r="A766" t="s">
        <v>3126</v>
      </c>
      <c r="B766">
        <v>39</v>
      </c>
      <c r="C766">
        <v>0.15</v>
      </c>
    </row>
    <row r="767" spans="1:3" ht="15" customHeight="1" x14ac:dyDescent="0.25">
      <c r="A767" t="s">
        <v>3127</v>
      </c>
      <c r="B767">
        <v>39</v>
      </c>
      <c r="C767">
        <v>0.15</v>
      </c>
    </row>
    <row r="768" spans="1:3" ht="15" customHeight="1" x14ac:dyDescent="0.25">
      <c r="A768" t="s">
        <v>3128</v>
      </c>
      <c r="B768">
        <v>39</v>
      </c>
      <c r="C768">
        <v>0.15</v>
      </c>
    </row>
    <row r="769" spans="1:3" ht="15" customHeight="1" x14ac:dyDescent="0.25">
      <c r="A769" t="s">
        <v>3129</v>
      </c>
      <c r="B769">
        <v>39</v>
      </c>
    </row>
    <row r="770" spans="1:3" ht="15" customHeight="1" x14ac:dyDescent="0.25">
      <c r="A770" t="s">
        <v>3130</v>
      </c>
      <c r="B770">
        <v>29.4</v>
      </c>
      <c r="C770">
        <v>0.1</v>
      </c>
    </row>
    <row r="771" spans="1:3" ht="15" customHeight="1" x14ac:dyDescent="0.25">
      <c r="A771" t="s">
        <v>3131</v>
      </c>
      <c r="B771">
        <v>45.5</v>
      </c>
      <c r="C771">
        <v>0.1</v>
      </c>
    </row>
    <row r="772" spans="1:3" ht="15" customHeight="1" x14ac:dyDescent="0.25">
      <c r="A772" t="s">
        <v>3132</v>
      </c>
      <c r="B772">
        <v>29.4</v>
      </c>
      <c r="C772">
        <v>0.1</v>
      </c>
    </row>
    <row r="773" spans="1:3" ht="15" customHeight="1" x14ac:dyDescent="0.25">
      <c r="A773" t="s">
        <v>3133</v>
      </c>
      <c r="B773">
        <v>45.5</v>
      </c>
      <c r="C773">
        <v>0.1</v>
      </c>
    </row>
    <row r="774" spans="1:3" ht="15" customHeight="1" x14ac:dyDescent="0.25">
      <c r="A774" t="s">
        <v>3134</v>
      </c>
      <c r="B774">
        <v>30.4</v>
      </c>
      <c r="C774">
        <v>0.1</v>
      </c>
    </row>
    <row r="775" spans="1:3" ht="15" customHeight="1" x14ac:dyDescent="0.25">
      <c r="A775" t="s">
        <v>3135</v>
      </c>
      <c r="B775">
        <v>46.1</v>
      </c>
      <c r="C775">
        <v>0.1</v>
      </c>
    </row>
    <row r="776" spans="1:3" ht="15" customHeight="1" x14ac:dyDescent="0.25">
      <c r="A776" t="s">
        <v>3136</v>
      </c>
      <c r="B776">
        <v>30.4</v>
      </c>
      <c r="C776">
        <v>0.1</v>
      </c>
    </row>
    <row r="777" spans="1:3" ht="15" customHeight="1" x14ac:dyDescent="0.25">
      <c r="A777" t="s">
        <v>3137</v>
      </c>
      <c r="B777">
        <v>46.1</v>
      </c>
      <c r="C777">
        <v>0.1</v>
      </c>
    </row>
    <row r="778" spans="1:3" ht="15" customHeight="1" x14ac:dyDescent="0.25">
      <c r="A778" t="s">
        <v>3138</v>
      </c>
      <c r="B778">
        <v>30.4</v>
      </c>
      <c r="C778">
        <v>0.08</v>
      </c>
    </row>
    <row r="779" spans="1:3" ht="15" customHeight="1" x14ac:dyDescent="0.25">
      <c r="A779" t="s">
        <v>3139</v>
      </c>
      <c r="B779">
        <v>46.1</v>
      </c>
      <c r="C779">
        <v>0.08</v>
      </c>
    </row>
    <row r="780" spans="1:3" ht="15" customHeight="1" x14ac:dyDescent="0.25">
      <c r="A780" t="s">
        <v>3140</v>
      </c>
      <c r="B780">
        <v>30.4</v>
      </c>
      <c r="C780">
        <v>0.08</v>
      </c>
    </row>
    <row r="781" spans="1:3" ht="15" customHeight="1" x14ac:dyDescent="0.25">
      <c r="A781" t="s">
        <v>3141</v>
      </c>
      <c r="B781">
        <v>46.1</v>
      </c>
      <c r="C781">
        <v>0.08</v>
      </c>
    </row>
    <row r="782" spans="1:3" ht="15" customHeight="1" x14ac:dyDescent="0.25">
      <c r="A782" t="s">
        <v>3142</v>
      </c>
      <c r="B782">
        <v>30.4</v>
      </c>
      <c r="C782">
        <v>0.08</v>
      </c>
    </row>
    <row r="783" spans="1:3" ht="15" customHeight="1" x14ac:dyDescent="0.25">
      <c r="A783" t="s">
        <v>3143</v>
      </c>
      <c r="B783">
        <v>46.1</v>
      </c>
      <c r="C783">
        <v>0.08</v>
      </c>
    </row>
    <row r="784" spans="1:3" ht="15" customHeight="1" x14ac:dyDescent="0.25">
      <c r="A784" t="s">
        <v>3144</v>
      </c>
      <c r="B784">
        <v>30.4</v>
      </c>
      <c r="C784">
        <v>0.08</v>
      </c>
    </row>
    <row r="785" spans="1:3" ht="15" customHeight="1" x14ac:dyDescent="0.25">
      <c r="A785" t="s">
        <v>3145</v>
      </c>
      <c r="B785">
        <v>46.1</v>
      </c>
      <c r="C785">
        <v>0.08</v>
      </c>
    </row>
    <row r="786" spans="1:3" ht="15" customHeight="1" x14ac:dyDescent="0.25">
      <c r="A786" t="s">
        <v>3146</v>
      </c>
      <c r="B786">
        <v>30.4</v>
      </c>
      <c r="C786">
        <v>0.08</v>
      </c>
    </row>
    <row r="787" spans="1:3" ht="15" customHeight="1" x14ac:dyDescent="0.25">
      <c r="A787" t="s">
        <v>3147</v>
      </c>
      <c r="B787">
        <v>46.1</v>
      </c>
      <c r="C787">
        <v>0.08</v>
      </c>
    </row>
    <row r="788" spans="1:3" ht="15" customHeight="1" x14ac:dyDescent="0.25">
      <c r="A788" t="s">
        <v>3148</v>
      </c>
      <c r="B788">
        <v>30.4</v>
      </c>
      <c r="C788">
        <v>0.08</v>
      </c>
    </row>
    <row r="789" spans="1:3" ht="15" customHeight="1" x14ac:dyDescent="0.25">
      <c r="A789" t="s">
        <v>3149</v>
      </c>
      <c r="B789">
        <v>46.1</v>
      </c>
      <c r="C789">
        <v>0.08</v>
      </c>
    </row>
    <row r="790" spans="1:3" ht="15" customHeight="1" x14ac:dyDescent="0.25">
      <c r="A790" t="s">
        <v>3150</v>
      </c>
      <c r="B790">
        <v>24.6</v>
      </c>
    </row>
    <row r="791" spans="1:3" ht="15" customHeight="1" x14ac:dyDescent="0.25">
      <c r="A791" t="s">
        <v>3151</v>
      </c>
      <c r="B791">
        <v>31.4</v>
      </c>
      <c r="C791">
        <v>0.3</v>
      </c>
    </row>
    <row r="792" spans="1:3" ht="15" customHeight="1" x14ac:dyDescent="0.25">
      <c r="A792" t="s">
        <v>3152</v>
      </c>
      <c r="B792">
        <v>33.9</v>
      </c>
      <c r="C792">
        <v>0.3</v>
      </c>
    </row>
    <row r="793" spans="1:3" ht="15" customHeight="1" x14ac:dyDescent="0.25">
      <c r="A793" t="s">
        <v>3153</v>
      </c>
      <c r="B793">
        <v>24.6</v>
      </c>
    </row>
    <row r="794" spans="1:3" ht="15" customHeight="1" x14ac:dyDescent="0.25">
      <c r="A794" t="s">
        <v>3154</v>
      </c>
      <c r="B794">
        <v>27.9</v>
      </c>
      <c r="C794">
        <v>0.3</v>
      </c>
    </row>
    <row r="795" spans="1:3" ht="15" customHeight="1" x14ac:dyDescent="0.25">
      <c r="A795" t="s">
        <v>3155</v>
      </c>
      <c r="B795">
        <v>31.4</v>
      </c>
      <c r="C795">
        <v>0.3</v>
      </c>
    </row>
    <row r="796" spans="1:3" ht="15" customHeight="1" x14ac:dyDescent="0.25">
      <c r="A796" t="s">
        <v>3156</v>
      </c>
      <c r="B796">
        <v>33.9</v>
      </c>
      <c r="C796">
        <v>0.3</v>
      </c>
    </row>
    <row r="797" spans="1:3" ht="15" customHeight="1" x14ac:dyDescent="0.25">
      <c r="A797" t="s">
        <v>3157</v>
      </c>
      <c r="B797">
        <v>24.6</v>
      </c>
      <c r="C797">
        <v>0.3</v>
      </c>
    </row>
    <row r="798" spans="1:3" ht="15" customHeight="1" x14ac:dyDescent="0.25">
      <c r="A798" t="s">
        <v>3158</v>
      </c>
      <c r="B798">
        <v>27.9</v>
      </c>
      <c r="C798">
        <v>0.3</v>
      </c>
    </row>
    <row r="799" spans="1:3" ht="15" customHeight="1" x14ac:dyDescent="0.25">
      <c r="A799" t="s">
        <v>3159</v>
      </c>
      <c r="B799">
        <v>31.4</v>
      </c>
      <c r="C799">
        <v>0.3</v>
      </c>
    </row>
    <row r="800" spans="1:3" ht="15" customHeight="1" x14ac:dyDescent="0.25">
      <c r="A800" t="s">
        <v>3160</v>
      </c>
      <c r="B800">
        <v>33.9</v>
      </c>
    </row>
    <row r="801" spans="1:3" ht="15" customHeight="1" x14ac:dyDescent="0.25">
      <c r="A801" t="s">
        <v>3161</v>
      </c>
      <c r="B801">
        <v>29.4</v>
      </c>
      <c r="C801">
        <v>0.3</v>
      </c>
    </row>
    <row r="802" spans="1:3" ht="15" customHeight="1" x14ac:dyDescent="0.25">
      <c r="A802" t="s">
        <v>3162</v>
      </c>
      <c r="B802">
        <v>34.5</v>
      </c>
      <c r="C802">
        <v>0.3</v>
      </c>
    </row>
    <row r="803" spans="1:3" ht="15" customHeight="1" x14ac:dyDescent="0.25">
      <c r="A803" t="s">
        <v>3163</v>
      </c>
      <c r="B803">
        <v>29.4</v>
      </c>
      <c r="C803">
        <v>0.3</v>
      </c>
    </row>
    <row r="804" spans="1:3" ht="15" customHeight="1" x14ac:dyDescent="0.25">
      <c r="A804" t="s">
        <v>3164</v>
      </c>
      <c r="B804">
        <v>34.5</v>
      </c>
    </row>
    <row r="805" spans="1:3" ht="15" customHeight="1" x14ac:dyDescent="0.25">
      <c r="A805" t="s">
        <v>3165</v>
      </c>
      <c r="B805">
        <v>29.4</v>
      </c>
    </row>
    <row r="806" spans="1:3" ht="15" customHeight="1" x14ac:dyDescent="0.25">
      <c r="A806" t="s">
        <v>3166</v>
      </c>
      <c r="B806">
        <v>34.5</v>
      </c>
    </row>
    <row r="807" spans="1:3" ht="15" customHeight="1" x14ac:dyDescent="0.25">
      <c r="A807" t="s">
        <v>3167</v>
      </c>
      <c r="B807">
        <v>29.4</v>
      </c>
    </row>
    <row r="808" spans="1:3" ht="15" customHeight="1" x14ac:dyDescent="0.25">
      <c r="A808" t="s">
        <v>3168</v>
      </c>
      <c r="B808">
        <v>34.5</v>
      </c>
    </row>
    <row r="809" spans="1:3" ht="15" customHeight="1" x14ac:dyDescent="0.25">
      <c r="A809" t="s">
        <v>3169</v>
      </c>
      <c r="B809">
        <v>19.3</v>
      </c>
    </row>
    <row r="810" spans="1:3" ht="15" customHeight="1" x14ac:dyDescent="0.25">
      <c r="A810" t="s">
        <v>3170</v>
      </c>
      <c r="B810">
        <v>18.3</v>
      </c>
    </row>
    <row r="811" spans="1:3" ht="15" customHeight="1" x14ac:dyDescent="0.25">
      <c r="A811" t="s">
        <v>3171</v>
      </c>
      <c r="B811">
        <v>19.3</v>
      </c>
    </row>
    <row r="812" spans="1:3" ht="15" customHeight="1" x14ac:dyDescent="0.25">
      <c r="A812" t="s">
        <v>3172</v>
      </c>
      <c r="B812">
        <v>18.3</v>
      </c>
    </row>
    <row r="813" spans="1:3" ht="15" customHeight="1" x14ac:dyDescent="0.25">
      <c r="A813" t="s">
        <v>3173</v>
      </c>
      <c r="B813">
        <v>25.4</v>
      </c>
      <c r="C813">
        <v>0.15</v>
      </c>
    </row>
    <row r="814" spans="1:3" ht="15" customHeight="1" x14ac:dyDescent="0.25">
      <c r="A814" t="s">
        <v>3174</v>
      </c>
      <c r="B814">
        <v>40</v>
      </c>
      <c r="C814">
        <v>0.15</v>
      </c>
    </row>
    <row r="815" spans="1:3" ht="15" customHeight="1" x14ac:dyDescent="0.25">
      <c r="A815" t="s">
        <v>3175</v>
      </c>
      <c r="B815">
        <v>25.4</v>
      </c>
      <c r="C815">
        <v>0.15</v>
      </c>
    </row>
    <row r="816" spans="1:3" ht="15" customHeight="1" x14ac:dyDescent="0.25">
      <c r="A816" t="s">
        <v>3176</v>
      </c>
      <c r="B816">
        <v>40</v>
      </c>
      <c r="C816">
        <v>0.15</v>
      </c>
    </row>
    <row r="817" spans="1:3" ht="15" customHeight="1" x14ac:dyDescent="0.25">
      <c r="A817" t="s">
        <v>3177</v>
      </c>
      <c r="B817">
        <v>25.4</v>
      </c>
      <c r="C817">
        <v>0.12</v>
      </c>
    </row>
    <row r="818" spans="1:3" ht="15" customHeight="1" x14ac:dyDescent="0.25">
      <c r="A818" t="s">
        <v>3178</v>
      </c>
      <c r="B818">
        <v>40</v>
      </c>
      <c r="C818">
        <v>0.12</v>
      </c>
    </row>
    <row r="819" spans="1:3" ht="15" customHeight="1" x14ac:dyDescent="0.25">
      <c r="A819" t="s">
        <v>3179</v>
      </c>
      <c r="B819">
        <v>28.2</v>
      </c>
      <c r="C819">
        <v>0.12</v>
      </c>
    </row>
    <row r="820" spans="1:3" ht="15" customHeight="1" x14ac:dyDescent="0.25">
      <c r="A820" t="s">
        <v>3180</v>
      </c>
      <c r="B820">
        <v>40</v>
      </c>
      <c r="C820">
        <v>0.12</v>
      </c>
    </row>
    <row r="821" spans="1:3" ht="15" customHeight="1" x14ac:dyDescent="0.25">
      <c r="A821" t="s">
        <v>3181</v>
      </c>
      <c r="B821">
        <v>30.4</v>
      </c>
      <c r="C821">
        <v>0.15</v>
      </c>
    </row>
    <row r="822" spans="1:3" ht="15" customHeight="1" x14ac:dyDescent="0.25">
      <c r="A822" t="s">
        <v>3182</v>
      </c>
      <c r="B822">
        <v>30.4</v>
      </c>
      <c r="C822">
        <v>0.15</v>
      </c>
    </row>
    <row r="823" spans="1:3" ht="15" customHeight="1" x14ac:dyDescent="0.25">
      <c r="A823" t="s">
        <v>3183</v>
      </c>
      <c r="B823">
        <v>24.6</v>
      </c>
      <c r="C823">
        <v>0.3</v>
      </c>
    </row>
    <row r="824" spans="1:3" ht="15" customHeight="1" x14ac:dyDescent="0.25">
      <c r="A824" t="s">
        <v>3184</v>
      </c>
      <c r="B824">
        <v>26.5</v>
      </c>
      <c r="C824">
        <v>0.3</v>
      </c>
    </row>
    <row r="825" spans="1:3" ht="15" customHeight="1" x14ac:dyDescent="0.25">
      <c r="A825" t="s">
        <v>3185</v>
      </c>
      <c r="B825">
        <v>32</v>
      </c>
      <c r="C825">
        <v>0.3</v>
      </c>
    </row>
    <row r="826" spans="1:3" ht="15" customHeight="1" x14ac:dyDescent="0.25">
      <c r="A826" t="s">
        <v>3186</v>
      </c>
      <c r="B826">
        <v>32</v>
      </c>
      <c r="C826">
        <v>0.3</v>
      </c>
    </row>
    <row r="827" spans="1:3" ht="15" customHeight="1" x14ac:dyDescent="0.25">
      <c r="A827" t="s">
        <v>3187</v>
      </c>
      <c r="B827">
        <v>24.6</v>
      </c>
      <c r="C827">
        <v>0.3</v>
      </c>
    </row>
    <row r="828" spans="1:3" ht="15" customHeight="1" x14ac:dyDescent="0.25">
      <c r="A828" t="s">
        <v>3188</v>
      </c>
      <c r="B828">
        <v>26.5</v>
      </c>
      <c r="C828">
        <v>0.3</v>
      </c>
    </row>
    <row r="829" spans="1:3" ht="15" customHeight="1" x14ac:dyDescent="0.25">
      <c r="A829" t="s">
        <v>3189</v>
      </c>
      <c r="B829">
        <v>32</v>
      </c>
      <c r="C829">
        <v>0.3</v>
      </c>
    </row>
    <row r="830" spans="1:3" ht="15" customHeight="1" x14ac:dyDescent="0.25">
      <c r="A830" t="s">
        <v>3190</v>
      </c>
      <c r="B830">
        <v>32</v>
      </c>
      <c r="C830">
        <v>0.3</v>
      </c>
    </row>
    <row r="831" spans="1:3" ht="15" customHeight="1" x14ac:dyDescent="0.25">
      <c r="A831" t="s">
        <v>3191</v>
      </c>
      <c r="B831">
        <v>24.6</v>
      </c>
      <c r="C831">
        <v>0.3</v>
      </c>
    </row>
    <row r="832" spans="1:3" ht="15" customHeight="1" x14ac:dyDescent="0.25">
      <c r="A832" t="s">
        <v>3192</v>
      </c>
      <c r="B832">
        <v>32</v>
      </c>
      <c r="C832">
        <v>0.3</v>
      </c>
    </row>
    <row r="833" spans="1:3" ht="15" customHeight="1" x14ac:dyDescent="0.25">
      <c r="A833" t="s">
        <v>3193</v>
      </c>
      <c r="B833">
        <v>32</v>
      </c>
      <c r="C833">
        <v>0.3</v>
      </c>
    </row>
    <row r="834" spans="1:3" ht="15" customHeight="1" x14ac:dyDescent="0.25">
      <c r="A834" t="s">
        <v>3194</v>
      </c>
      <c r="B834">
        <v>24.6</v>
      </c>
      <c r="C834">
        <v>0.3</v>
      </c>
    </row>
    <row r="835" spans="1:3" ht="15" customHeight="1" x14ac:dyDescent="0.25">
      <c r="A835" t="s">
        <v>3195</v>
      </c>
      <c r="B835">
        <v>32</v>
      </c>
      <c r="C835">
        <v>0.3</v>
      </c>
    </row>
    <row r="836" spans="1:3" ht="15" customHeight="1" x14ac:dyDescent="0.25">
      <c r="A836" t="s">
        <v>3196</v>
      </c>
      <c r="B836">
        <v>32</v>
      </c>
      <c r="C836">
        <v>0.3</v>
      </c>
    </row>
    <row r="837" spans="1:3" ht="15" customHeight="1" x14ac:dyDescent="0.25">
      <c r="A837" t="s">
        <v>3197</v>
      </c>
      <c r="B837">
        <v>24.6</v>
      </c>
      <c r="C837">
        <v>0.3</v>
      </c>
    </row>
    <row r="838" spans="1:3" ht="15" customHeight="1" x14ac:dyDescent="0.25">
      <c r="A838" t="s">
        <v>3198</v>
      </c>
      <c r="B838">
        <v>32</v>
      </c>
      <c r="C838">
        <v>0.3</v>
      </c>
    </row>
    <row r="839" spans="1:3" ht="15" customHeight="1" x14ac:dyDescent="0.25">
      <c r="A839" t="s">
        <v>3199</v>
      </c>
      <c r="B839">
        <v>32</v>
      </c>
      <c r="C839">
        <v>0.3</v>
      </c>
    </row>
    <row r="840" spans="1:3" ht="15" customHeight="1" x14ac:dyDescent="0.25">
      <c r="A840" t="s">
        <v>3200</v>
      </c>
      <c r="B840">
        <v>25.4</v>
      </c>
    </row>
    <row r="841" spans="1:3" ht="15" customHeight="1" x14ac:dyDescent="0.25">
      <c r="A841" t="s">
        <v>3201</v>
      </c>
      <c r="B841">
        <v>36.200000000000003</v>
      </c>
    </row>
    <row r="842" spans="1:3" ht="15" customHeight="1" x14ac:dyDescent="0.25">
      <c r="A842" t="s">
        <v>3202</v>
      </c>
      <c r="B842">
        <v>25.4</v>
      </c>
    </row>
    <row r="843" spans="1:3" ht="15" customHeight="1" x14ac:dyDescent="0.25">
      <c r="A843" t="s">
        <v>3203</v>
      </c>
      <c r="B843">
        <v>36.200000000000003</v>
      </c>
    </row>
    <row r="844" spans="1:3" ht="15" customHeight="1" x14ac:dyDescent="0.25">
      <c r="A844" t="s">
        <v>3204</v>
      </c>
      <c r="B844">
        <v>25.4</v>
      </c>
    </row>
    <row r="845" spans="1:3" ht="15" customHeight="1" x14ac:dyDescent="0.25">
      <c r="A845" t="s">
        <v>3205</v>
      </c>
      <c r="B845">
        <v>36.200000000000003</v>
      </c>
    </row>
    <row r="846" spans="1:3" ht="15" customHeight="1" x14ac:dyDescent="0.25">
      <c r="A846" t="s">
        <v>3206</v>
      </c>
      <c r="B846">
        <v>25.4</v>
      </c>
    </row>
    <row r="847" spans="1:3" ht="15" customHeight="1" x14ac:dyDescent="0.25">
      <c r="A847" t="s">
        <v>3207</v>
      </c>
      <c r="B847">
        <v>36.200000000000003</v>
      </c>
    </row>
    <row r="848" spans="1:3" ht="15" customHeight="1" x14ac:dyDescent="0.25">
      <c r="A848" t="s">
        <v>3208</v>
      </c>
      <c r="B848">
        <v>25.4</v>
      </c>
    </row>
    <row r="849" spans="1:3" ht="15" customHeight="1" x14ac:dyDescent="0.25">
      <c r="A849" t="s">
        <v>3209</v>
      </c>
      <c r="B849">
        <v>36.200000000000003</v>
      </c>
    </row>
    <row r="850" spans="1:3" ht="15" customHeight="1" x14ac:dyDescent="0.25">
      <c r="A850" t="s">
        <v>3210</v>
      </c>
      <c r="B850">
        <v>25.4</v>
      </c>
    </row>
    <row r="851" spans="1:3" ht="15" customHeight="1" x14ac:dyDescent="0.25">
      <c r="A851" t="s">
        <v>3211</v>
      </c>
      <c r="B851">
        <v>36.200000000000003</v>
      </c>
    </row>
    <row r="852" spans="1:3" ht="15" customHeight="1" x14ac:dyDescent="0.25">
      <c r="A852" t="s">
        <v>3212</v>
      </c>
      <c r="B852">
        <v>25.4</v>
      </c>
    </row>
    <row r="853" spans="1:3" ht="15" customHeight="1" x14ac:dyDescent="0.25">
      <c r="A853" t="s">
        <v>3213</v>
      </c>
      <c r="B853">
        <v>36.200000000000003</v>
      </c>
    </row>
    <row r="854" spans="1:3" ht="15" customHeight="1" x14ac:dyDescent="0.25">
      <c r="A854" t="s">
        <v>3214</v>
      </c>
      <c r="B854">
        <v>25.4</v>
      </c>
    </row>
    <row r="855" spans="1:3" ht="15" customHeight="1" x14ac:dyDescent="0.25">
      <c r="A855" t="s">
        <v>3215</v>
      </c>
      <c r="B855">
        <v>36.200000000000003</v>
      </c>
    </row>
    <row r="856" spans="1:3" ht="15" customHeight="1" x14ac:dyDescent="0.25">
      <c r="A856" t="s">
        <v>3216</v>
      </c>
      <c r="B856">
        <v>89.4</v>
      </c>
      <c r="C856">
        <v>0.3</v>
      </c>
    </row>
    <row r="857" spans="1:3" ht="15" customHeight="1" x14ac:dyDescent="0.25">
      <c r="A857" t="s">
        <v>3217</v>
      </c>
      <c r="B857">
        <v>89.4</v>
      </c>
      <c r="C857">
        <v>0.3</v>
      </c>
    </row>
    <row r="858" spans="1:3" ht="15" customHeight="1" x14ac:dyDescent="0.25">
      <c r="A858" t="s">
        <v>3218</v>
      </c>
      <c r="B858">
        <v>89.4</v>
      </c>
      <c r="C858">
        <v>0.3</v>
      </c>
    </row>
    <row r="859" spans="1:3" ht="15" customHeight="1" x14ac:dyDescent="0.25">
      <c r="A859" t="s">
        <v>3219</v>
      </c>
      <c r="B859">
        <v>33.1</v>
      </c>
      <c r="C859">
        <v>0.25</v>
      </c>
    </row>
    <row r="860" spans="1:3" ht="15" customHeight="1" x14ac:dyDescent="0.25">
      <c r="A860" t="s">
        <v>3220</v>
      </c>
      <c r="B860">
        <v>30.1</v>
      </c>
      <c r="C860">
        <v>0.25</v>
      </c>
    </row>
    <row r="861" spans="1:3" ht="15" customHeight="1" x14ac:dyDescent="0.25">
      <c r="A861" t="s">
        <v>3221</v>
      </c>
      <c r="B861">
        <v>63.3</v>
      </c>
      <c r="C861">
        <v>0.25</v>
      </c>
    </row>
    <row r="862" spans="1:3" ht="15" customHeight="1" x14ac:dyDescent="0.25">
      <c r="A862" t="s">
        <v>3222</v>
      </c>
      <c r="B862">
        <v>71.8</v>
      </c>
    </row>
    <row r="863" spans="1:3" ht="15" customHeight="1" x14ac:dyDescent="0.25">
      <c r="A863" t="s">
        <v>3223</v>
      </c>
      <c r="B863">
        <v>63.3</v>
      </c>
      <c r="C863">
        <v>0.25</v>
      </c>
    </row>
    <row r="864" spans="1:3" ht="15" customHeight="1" x14ac:dyDescent="0.25">
      <c r="A864" t="s">
        <v>3224</v>
      </c>
      <c r="B864">
        <v>32.6</v>
      </c>
      <c r="C864">
        <v>0.25</v>
      </c>
    </row>
    <row r="865" spans="1:3" ht="15" customHeight="1" x14ac:dyDescent="0.25">
      <c r="A865" t="s">
        <v>3225</v>
      </c>
      <c r="B865">
        <v>25.1</v>
      </c>
      <c r="C865">
        <v>0.25</v>
      </c>
    </row>
    <row r="866" spans="1:3" ht="15" customHeight="1" x14ac:dyDescent="0.25">
      <c r="A866" t="s">
        <v>3226</v>
      </c>
      <c r="B866">
        <v>25.1</v>
      </c>
    </row>
    <row r="867" spans="1:3" ht="15" customHeight="1" x14ac:dyDescent="0.25">
      <c r="A867" t="s">
        <v>3227</v>
      </c>
      <c r="B867">
        <v>40.1</v>
      </c>
      <c r="C867">
        <v>0.25</v>
      </c>
    </row>
    <row r="868" spans="1:3" ht="15" customHeight="1" x14ac:dyDescent="0.25">
      <c r="A868" t="s">
        <v>3228</v>
      </c>
      <c r="B868">
        <v>38.700000000000003</v>
      </c>
      <c r="C868">
        <v>0.25</v>
      </c>
    </row>
    <row r="869" spans="1:3" ht="15" customHeight="1" x14ac:dyDescent="0.25">
      <c r="A869" t="s">
        <v>3229</v>
      </c>
      <c r="B869">
        <v>33.1</v>
      </c>
    </row>
    <row r="870" spans="1:3" ht="15" customHeight="1" x14ac:dyDescent="0.25">
      <c r="A870" t="s">
        <v>3230</v>
      </c>
      <c r="B870">
        <v>32.9</v>
      </c>
    </row>
    <row r="871" spans="1:3" ht="15" customHeight="1" x14ac:dyDescent="0.25">
      <c r="A871" t="s">
        <v>3231</v>
      </c>
      <c r="B871">
        <v>61.5</v>
      </c>
      <c r="C871">
        <v>0.15</v>
      </c>
    </row>
    <row r="872" spans="1:3" ht="15" customHeight="1" x14ac:dyDescent="0.25">
      <c r="A872" t="s">
        <v>3232</v>
      </c>
      <c r="B872">
        <v>127.6</v>
      </c>
      <c r="C872">
        <v>0.15</v>
      </c>
    </row>
    <row r="873" spans="1:3" ht="15" customHeight="1" x14ac:dyDescent="0.25">
      <c r="A873" t="s">
        <v>3233</v>
      </c>
      <c r="B873">
        <v>119.5</v>
      </c>
      <c r="C873">
        <v>0.15</v>
      </c>
    </row>
    <row r="874" spans="1:3" ht="15" customHeight="1" x14ac:dyDescent="0.25">
      <c r="A874" t="s">
        <v>3234</v>
      </c>
      <c r="B874">
        <v>96.2</v>
      </c>
      <c r="C874">
        <v>0.15</v>
      </c>
    </row>
    <row r="875" spans="1:3" ht="15" customHeight="1" x14ac:dyDescent="0.25">
      <c r="A875" t="s">
        <v>3235</v>
      </c>
      <c r="B875">
        <v>96.2</v>
      </c>
      <c r="C875">
        <v>0.15</v>
      </c>
    </row>
    <row r="876" spans="1:3" ht="15" customHeight="1" x14ac:dyDescent="0.25">
      <c r="A876" t="s">
        <v>3236</v>
      </c>
      <c r="B876">
        <v>99.2</v>
      </c>
      <c r="C876">
        <v>0.15</v>
      </c>
    </row>
    <row r="877" spans="1:3" ht="15" customHeight="1" x14ac:dyDescent="0.25">
      <c r="A877" t="s">
        <v>3237</v>
      </c>
      <c r="B877">
        <v>99.2</v>
      </c>
      <c r="C877">
        <v>0.15</v>
      </c>
    </row>
    <row r="878" spans="1:3" ht="15" customHeight="1" x14ac:dyDescent="0.25">
      <c r="A878" t="s">
        <v>3238</v>
      </c>
      <c r="B878">
        <v>95.4</v>
      </c>
    </row>
    <row r="879" spans="1:3" ht="15" customHeight="1" x14ac:dyDescent="0.25">
      <c r="A879" t="s">
        <v>3239</v>
      </c>
      <c r="B879">
        <v>26.1</v>
      </c>
    </row>
    <row r="880" spans="1:3" ht="15" customHeight="1" x14ac:dyDescent="0.25">
      <c r="A880" t="s">
        <v>3240</v>
      </c>
      <c r="B880">
        <v>26.1</v>
      </c>
    </row>
    <row r="881" spans="1:3" ht="15" customHeight="1" x14ac:dyDescent="0.25">
      <c r="A881" t="s">
        <v>3241</v>
      </c>
      <c r="B881">
        <v>26.1</v>
      </c>
    </row>
    <row r="882" spans="1:3" ht="15" customHeight="1" x14ac:dyDescent="0.25">
      <c r="A882" t="s">
        <v>3242</v>
      </c>
      <c r="B882">
        <v>45.4</v>
      </c>
    </row>
    <row r="883" spans="1:3" ht="15" customHeight="1" x14ac:dyDescent="0.25">
      <c r="A883" t="s">
        <v>3243</v>
      </c>
      <c r="B883">
        <v>45.4</v>
      </c>
    </row>
    <row r="884" spans="1:3" ht="15" customHeight="1" x14ac:dyDescent="0.25">
      <c r="A884" t="s">
        <v>3244</v>
      </c>
      <c r="B884">
        <v>69.7</v>
      </c>
    </row>
    <row r="885" spans="1:3" ht="15" customHeight="1" x14ac:dyDescent="0.25">
      <c r="A885" t="s">
        <v>3245</v>
      </c>
      <c r="B885">
        <v>69.7</v>
      </c>
    </row>
    <row r="886" spans="1:3" ht="15" customHeight="1" x14ac:dyDescent="0.25">
      <c r="A886" t="s">
        <v>3246</v>
      </c>
      <c r="B886">
        <v>52.6</v>
      </c>
      <c r="C886">
        <v>0.15</v>
      </c>
    </row>
    <row r="887" spans="1:3" ht="15" customHeight="1" x14ac:dyDescent="0.25">
      <c r="A887" t="s">
        <v>3247</v>
      </c>
      <c r="B887">
        <v>52.9</v>
      </c>
      <c r="C887">
        <v>0.15</v>
      </c>
    </row>
    <row r="888" spans="1:3" ht="15" customHeight="1" x14ac:dyDescent="0.25">
      <c r="A888" t="s">
        <v>3248</v>
      </c>
      <c r="B888">
        <v>68.8</v>
      </c>
      <c r="C888">
        <v>0.15</v>
      </c>
    </row>
    <row r="889" spans="1:3" ht="15" customHeight="1" x14ac:dyDescent="0.25">
      <c r="A889" t="s">
        <v>3249</v>
      </c>
      <c r="B889">
        <v>68.8</v>
      </c>
      <c r="C889">
        <v>0.15</v>
      </c>
    </row>
    <row r="890" spans="1:3" ht="15" customHeight="1" x14ac:dyDescent="0.25">
      <c r="A890" t="s">
        <v>3250</v>
      </c>
      <c r="B890">
        <v>58.9</v>
      </c>
    </row>
    <row r="891" spans="1:3" ht="15" customHeight="1" x14ac:dyDescent="0.25">
      <c r="A891" t="s">
        <v>3251</v>
      </c>
      <c r="B891">
        <v>28.2</v>
      </c>
      <c r="C891">
        <v>0.15</v>
      </c>
    </row>
    <row r="892" spans="1:3" ht="15" customHeight="1" x14ac:dyDescent="0.25">
      <c r="A892" t="s">
        <v>3252</v>
      </c>
      <c r="B892">
        <v>28.2</v>
      </c>
    </row>
    <row r="893" spans="1:3" ht="15" customHeight="1" x14ac:dyDescent="0.25">
      <c r="A893" t="s">
        <v>3253</v>
      </c>
      <c r="B893">
        <v>28.2</v>
      </c>
      <c r="C893">
        <v>0.15</v>
      </c>
    </row>
    <row r="894" spans="1:3" ht="15" customHeight="1" x14ac:dyDescent="0.25">
      <c r="A894" t="s">
        <v>3254</v>
      </c>
      <c r="B894">
        <v>28.6</v>
      </c>
      <c r="C894">
        <v>0.15</v>
      </c>
    </row>
    <row r="895" spans="1:3" ht="15" customHeight="1" x14ac:dyDescent="0.25">
      <c r="A895" t="s">
        <v>3255</v>
      </c>
      <c r="B895">
        <v>28.6</v>
      </c>
      <c r="C895">
        <v>0.15</v>
      </c>
    </row>
    <row r="896" spans="1:3" ht="15" customHeight="1" x14ac:dyDescent="0.25">
      <c r="A896" t="s">
        <v>3256</v>
      </c>
      <c r="B896">
        <v>78.7</v>
      </c>
      <c r="C896">
        <v>0.05</v>
      </c>
    </row>
    <row r="897" spans="1:3" ht="15" customHeight="1" x14ac:dyDescent="0.25">
      <c r="A897" t="s">
        <v>3257</v>
      </c>
      <c r="B897">
        <v>32.6</v>
      </c>
      <c r="C897">
        <v>0.15</v>
      </c>
    </row>
    <row r="898" spans="1:3" ht="15" customHeight="1" x14ac:dyDescent="0.25">
      <c r="A898" t="s">
        <v>3258</v>
      </c>
      <c r="B898">
        <v>32.6</v>
      </c>
      <c r="C898">
        <v>0.15</v>
      </c>
    </row>
    <row r="899" spans="1:3" ht="15" customHeight="1" x14ac:dyDescent="0.25">
      <c r="A899" t="s">
        <v>3259</v>
      </c>
      <c r="B899">
        <v>48.7</v>
      </c>
      <c r="C899">
        <v>0.15</v>
      </c>
    </row>
    <row r="900" spans="1:3" ht="15" customHeight="1" x14ac:dyDescent="0.25">
      <c r="A900" t="s">
        <v>3260</v>
      </c>
      <c r="B900">
        <v>48.7</v>
      </c>
      <c r="C900">
        <v>0.15</v>
      </c>
    </row>
    <row r="901" spans="1:3" ht="15" customHeight="1" x14ac:dyDescent="0.25">
      <c r="A901" t="s">
        <v>3261</v>
      </c>
      <c r="B901">
        <v>72.099999999999994</v>
      </c>
      <c r="C901">
        <v>0.15</v>
      </c>
    </row>
    <row r="902" spans="1:3" ht="15" customHeight="1" x14ac:dyDescent="0.25">
      <c r="A902" t="s">
        <v>3262</v>
      </c>
      <c r="B902">
        <v>72.099999999999994</v>
      </c>
    </row>
    <row r="903" spans="1:3" ht="15" customHeight="1" x14ac:dyDescent="0.25">
      <c r="A903" t="s">
        <v>3263</v>
      </c>
      <c r="B903">
        <v>83</v>
      </c>
    </row>
    <row r="904" spans="1:3" ht="15" customHeight="1" x14ac:dyDescent="0.25">
      <c r="A904" t="s">
        <v>3264</v>
      </c>
      <c r="B904">
        <v>83</v>
      </c>
    </row>
    <row r="905" spans="1:3" ht="15" customHeight="1" x14ac:dyDescent="0.25">
      <c r="A905" t="s">
        <v>3265</v>
      </c>
      <c r="B905">
        <v>83</v>
      </c>
    </row>
    <row r="906" spans="1:3" ht="15" customHeight="1" x14ac:dyDescent="0.25">
      <c r="A906" t="s">
        <v>3266</v>
      </c>
      <c r="B906">
        <v>83</v>
      </c>
    </row>
    <row r="907" spans="1:3" ht="15" customHeight="1" x14ac:dyDescent="0.25">
      <c r="A907" t="s">
        <v>3267</v>
      </c>
      <c r="B907">
        <v>22.2</v>
      </c>
    </row>
    <row r="908" spans="1:3" ht="15" customHeight="1" x14ac:dyDescent="0.25">
      <c r="A908" t="s">
        <v>3268</v>
      </c>
      <c r="B908">
        <v>22.2</v>
      </c>
    </row>
    <row r="909" spans="1:3" ht="15" customHeight="1" x14ac:dyDescent="0.25">
      <c r="A909" t="s">
        <v>3269</v>
      </c>
      <c r="B909">
        <v>37.700000000000003</v>
      </c>
      <c r="C909">
        <v>0.05</v>
      </c>
    </row>
    <row r="910" spans="1:3" ht="15" customHeight="1" x14ac:dyDescent="0.25">
      <c r="A910" t="s">
        <v>3270</v>
      </c>
      <c r="B910">
        <v>37.700000000000003</v>
      </c>
      <c r="C910">
        <v>0.05</v>
      </c>
    </row>
    <row r="911" spans="1:3" ht="15" customHeight="1" x14ac:dyDescent="0.25">
      <c r="A911" t="s">
        <v>3271</v>
      </c>
      <c r="B911">
        <v>37.700000000000003</v>
      </c>
      <c r="C911">
        <v>0.05</v>
      </c>
    </row>
    <row r="912" spans="1:3" ht="15" customHeight="1" x14ac:dyDescent="0.25">
      <c r="A912" t="s">
        <v>3272</v>
      </c>
      <c r="B912">
        <v>37.700000000000003</v>
      </c>
      <c r="C912">
        <v>0.05</v>
      </c>
    </row>
    <row r="913" spans="1:3" ht="15" customHeight="1" x14ac:dyDescent="0.25">
      <c r="A913" t="s">
        <v>3273</v>
      </c>
      <c r="B913">
        <v>37.700000000000003</v>
      </c>
      <c r="C913">
        <v>0.05</v>
      </c>
    </row>
    <row r="914" spans="1:3" ht="15" customHeight="1" x14ac:dyDescent="0.25">
      <c r="A914" t="s">
        <v>3274</v>
      </c>
      <c r="B914">
        <v>37.700000000000003</v>
      </c>
      <c r="C914">
        <v>0.05</v>
      </c>
    </row>
    <row r="915" spans="1:3" ht="15" customHeight="1" x14ac:dyDescent="0.25">
      <c r="A915" t="s">
        <v>3275</v>
      </c>
      <c r="B915">
        <v>37.700000000000003</v>
      </c>
      <c r="C915">
        <v>0.05</v>
      </c>
    </row>
    <row r="916" spans="1:3" ht="15" customHeight="1" x14ac:dyDescent="0.25">
      <c r="A916" t="s">
        <v>3276</v>
      </c>
      <c r="B916">
        <v>37.700000000000003</v>
      </c>
      <c r="C916">
        <v>0.05</v>
      </c>
    </row>
    <row r="917" spans="1:3" ht="15" customHeight="1" x14ac:dyDescent="0.25">
      <c r="A917" t="s">
        <v>3277</v>
      </c>
      <c r="B917">
        <v>41.9</v>
      </c>
      <c r="C917">
        <v>0.05</v>
      </c>
    </row>
    <row r="918" spans="1:3" ht="15" customHeight="1" x14ac:dyDescent="0.25">
      <c r="A918" t="s">
        <v>3278</v>
      </c>
      <c r="B918">
        <v>41.9</v>
      </c>
      <c r="C918">
        <v>0.05</v>
      </c>
    </row>
    <row r="919" spans="1:3" ht="15" customHeight="1" x14ac:dyDescent="0.25">
      <c r="A919" t="s">
        <v>3279</v>
      </c>
      <c r="B919">
        <v>41.9</v>
      </c>
      <c r="C919">
        <v>0.05</v>
      </c>
    </row>
    <row r="920" spans="1:3" ht="15" customHeight="1" x14ac:dyDescent="0.25">
      <c r="A920" t="s">
        <v>1679</v>
      </c>
      <c r="B920">
        <v>41.9</v>
      </c>
      <c r="C920">
        <v>0.05</v>
      </c>
    </row>
    <row r="921" spans="1:3" ht="15" customHeight="1" x14ac:dyDescent="0.25">
      <c r="A921" t="s">
        <v>3280</v>
      </c>
      <c r="B921">
        <v>37.700000000000003</v>
      </c>
      <c r="C921">
        <v>0.05</v>
      </c>
    </row>
    <row r="922" spans="1:3" ht="15" customHeight="1" x14ac:dyDescent="0.25">
      <c r="A922" t="s">
        <v>3281</v>
      </c>
      <c r="B922">
        <v>37.700000000000003</v>
      </c>
      <c r="C922">
        <v>0.05</v>
      </c>
    </row>
    <row r="923" spans="1:3" ht="15" customHeight="1" x14ac:dyDescent="0.25">
      <c r="A923" t="s">
        <v>3282</v>
      </c>
      <c r="B923">
        <v>37.700000000000003</v>
      </c>
      <c r="C923">
        <v>0.05</v>
      </c>
    </row>
    <row r="924" spans="1:3" ht="15" customHeight="1" x14ac:dyDescent="0.25">
      <c r="A924" t="s">
        <v>3283</v>
      </c>
      <c r="B924">
        <v>37.700000000000003</v>
      </c>
      <c r="C924">
        <v>0.05</v>
      </c>
    </row>
    <row r="925" spans="1:3" ht="15" customHeight="1" x14ac:dyDescent="0.25">
      <c r="A925" t="s">
        <v>3284</v>
      </c>
      <c r="B925">
        <v>37.700000000000003</v>
      </c>
      <c r="C925">
        <v>0.05</v>
      </c>
    </row>
    <row r="926" spans="1:3" ht="15" customHeight="1" x14ac:dyDescent="0.25">
      <c r="A926" t="s">
        <v>3285</v>
      </c>
      <c r="B926">
        <v>37.700000000000003</v>
      </c>
      <c r="C926">
        <v>0.05</v>
      </c>
    </row>
    <row r="927" spans="1:3" ht="15" customHeight="1" x14ac:dyDescent="0.25">
      <c r="A927" t="s">
        <v>3286</v>
      </c>
      <c r="B927">
        <v>37.700000000000003</v>
      </c>
      <c r="C927">
        <v>0.05</v>
      </c>
    </row>
    <row r="928" spans="1:3" ht="15" customHeight="1" x14ac:dyDescent="0.25">
      <c r="A928" t="s">
        <v>3287</v>
      </c>
      <c r="B928">
        <v>37.700000000000003</v>
      </c>
      <c r="C928">
        <v>0.05</v>
      </c>
    </row>
    <row r="929" spans="1:3" ht="15" customHeight="1" x14ac:dyDescent="0.25">
      <c r="A929" t="s">
        <v>3288</v>
      </c>
      <c r="B929">
        <v>41.9</v>
      </c>
      <c r="C929">
        <v>0.05</v>
      </c>
    </row>
    <row r="930" spans="1:3" ht="15" customHeight="1" x14ac:dyDescent="0.25">
      <c r="A930" t="s">
        <v>1819</v>
      </c>
      <c r="B930">
        <v>41.9</v>
      </c>
      <c r="C930">
        <v>0.05</v>
      </c>
    </row>
    <row r="931" spans="1:3" ht="15" customHeight="1" x14ac:dyDescent="0.25">
      <c r="A931" t="s">
        <v>3289</v>
      </c>
      <c r="B931">
        <v>41.9</v>
      </c>
      <c r="C931">
        <v>0.05</v>
      </c>
    </row>
    <row r="932" spans="1:3" ht="15" customHeight="1" x14ac:dyDescent="0.25">
      <c r="A932" t="s">
        <v>3290</v>
      </c>
      <c r="B932">
        <v>41.9</v>
      </c>
      <c r="C932">
        <v>0.05</v>
      </c>
    </row>
    <row r="933" spans="1:3" ht="15" customHeight="1" x14ac:dyDescent="0.25">
      <c r="A933" t="s">
        <v>3291</v>
      </c>
      <c r="B933">
        <v>24.1</v>
      </c>
      <c r="C933">
        <v>0.03</v>
      </c>
    </row>
    <row r="934" spans="1:3" ht="15" customHeight="1" x14ac:dyDescent="0.25">
      <c r="A934" t="s">
        <v>3292</v>
      </c>
      <c r="B934">
        <v>24.1</v>
      </c>
      <c r="C934">
        <v>0.03</v>
      </c>
    </row>
    <row r="935" spans="1:3" ht="15" customHeight="1" x14ac:dyDescent="0.25">
      <c r="A935" t="s">
        <v>3293</v>
      </c>
      <c r="B935">
        <v>24.1</v>
      </c>
      <c r="C935">
        <v>0.03</v>
      </c>
    </row>
    <row r="936" spans="1:3" ht="15" customHeight="1" x14ac:dyDescent="0.25">
      <c r="A936" t="s">
        <v>3294</v>
      </c>
      <c r="B936">
        <v>24.1</v>
      </c>
      <c r="C936">
        <v>0.03</v>
      </c>
    </row>
    <row r="937" spans="1:3" ht="15" customHeight="1" x14ac:dyDescent="0.25">
      <c r="A937" t="s">
        <v>3295</v>
      </c>
      <c r="B937">
        <v>24.1</v>
      </c>
      <c r="C937">
        <v>0.03</v>
      </c>
    </row>
    <row r="938" spans="1:3" ht="15" customHeight="1" x14ac:dyDescent="0.25">
      <c r="A938" t="s">
        <v>3296</v>
      </c>
      <c r="B938">
        <v>24.1</v>
      </c>
      <c r="C938">
        <v>0.03</v>
      </c>
    </row>
    <row r="939" spans="1:3" ht="15" customHeight="1" x14ac:dyDescent="0.25">
      <c r="A939" t="s">
        <v>817</v>
      </c>
      <c r="B939">
        <v>24.1</v>
      </c>
      <c r="C939">
        <v>0.03</v>
      </c>
    </row>
    <row r="940" spans="1:3" ht="15" customHeight="1" x14ac:dyDescent="0.25">
      <c r="A940" t="s">
        <v>3297</v>
      </c>
      <c r="B940">
        <v>24.1</v>
      </c>
      <c r="C940">
        <v>0.03</v>
      </c>
    </row>
    <row r="941" spans="1:3" ht="15" customHeight="1" x14ac:dyDescent="0.25">
      <c r="A941" t="s">
        <v>3298</v>
      </c>
      <c r="B941">
        <v>28.6</v>
      </c>
      <c r="C941">
        <v>0.08</v>
      </c>
    </row>
    <row r="942" spans="1:3" ht="15" customHeight="1" x14ac:dyDescent="0.25">
      <c r="A942" t="s">
        <v>3299</v>
      </c>
      <c r="B942">
        <v>28.6</v>
      </c>
      <c r="C942">
        <v>0.08</v>
      </c>
    </row>
    <row r="943" spans="1:3" ht="15" customHeight="1" x14ac:dyDescent="0.25">
      <c r="A943" t="s">
        <v>3300</v>
      </c>
      <c r="B943">
        <v>28.6</v>
      </c>
      <c r="C943">
        <v>0.08</v>
      </c>
    </row>
    <row r="944" spans="1:3" ht="15" customHeight="1" x14ac:dyDescent="0.25">
      <c r="A944" t="s">
        <v>3301</v>
      </c>
      <c r="B944">
        <v>28.6</v>
      </c>
      <c r="C944">
        <v>0.08</v>
      </c>
    </row>
    <row r="945" spans="1:3" ht="15" customHeight="1" x14ac:dyDescent="0.25">
      <c r="A945" t="s">
        <v>3302</v>
      </c>
      <c r="B945">
        <v>28.6</v>
      </c>
      <c r="C945">
        <v>0.08</v>
      </c>
    </row>
    <row r="946" spans="1:3" ht="15" customHeight="1" x14ac:dyDescent="0.25">
      <c r="A946" t="s">
        <v>3303</v>
      </c>
      <c r="B946">
        <v>30.4</v>
      </c>
      <c r="C946">
        <v>0.08</v>
      </c>
    </row>
    <row r="947" spans="1:3" ht="15" customHeight="1" x14ac:dyDescent="0.25">
      <c r="A947" t="s">
        <v>3304</v>
      </c>
      <c r="B947">
        <v>30.4</v>
      </c>
      <c r="C947">
        <v>0.08</v>
      </c>
    </row>
    <row r="948" spans="1:3" ht="15" customHeight="1" x14ac:dyDescent="0.25">
      <c r="A948" t="s">
        <v>3305</v>
      </c>
      <c r="B948">
        <v>30.4</v>
      </c>
      <c r="C948">
        <v>0.08</v>
      </c>
    </row>
    <row r="949" spans="1:3" ht="15" customHeight="1" x14ac:dyDescent="0.25">
      <c r="A949" t="s">
        <v>3306</v>
      </c>
      <c r="B949">
        <v>30.4</v>
      </c>
      <c r="C949">
        <v>0.08</v>
      </c>
    </row>
    <row r="950" spans="1:3" ht="15" customHeight="1" x14ac:dyDescent="0.25">
      <c r="A950" t="s">
        <v>3307</v>
      </c>
      <c r="B950">
        <v>30.4</v>
      </c>
      <c r="C950">
        <v>0.08</v>
      </c>
    </row>
    <row r="951" spans="1:3" ht="15" customHeight="1" x14ac:dyDescent="0.25">
      <c r="A951" t="s">
        <v>3308</v>
      </c>
      <c r="B951">
        <v>28.6</v>
      </c>
    </row>
    <row r="952" spans="1:3" ht="15" customHeight="1" x14ac:dyDescent="0.25">
      <c r="A952" t="s">
        <v>3309</v>
      </c>
      <c r="B952">
        <v>28.6</v>
      </c>
    </row>
    <row r="953" spans="1:3" ht="15" customHeight="1" x14ac:dyDescent="0.25">
      <c r="A953" t="s">
        <v>3310</v>
      </c>
      <c r="B953">
        <v>6.5</v>
      </c>
      <c r="C953">
        <v>0.08</v>
      </c>
    </row>
    <row r="954" spans="1:3" ht="15" customHeight="1" x14ac:dyDescent="0.25">
      <c r="A954" t="s">
        <v>3311</v>
      </c>
      <c r="B954">
        <v>6.5</v>
      </c>
      <c r="C954">
        <v>0.08</v>
      </c>
    </row>
    <row r="955" spans="1:3" ht="15" customHeight="1" x14ac:dyDescent="0.25">
      <c r="A955" t="s">
        <v>3312</v>
      </c>
      <c r="B955">
        <v>6.5</v>
      </c>
      <c r="C955">
        <v>0.05</v>
      </c>
    </row>
    <row r="956" spans="1:3" ht="15" customHeight="1" x14ac:dyDescent="0.25">
      <c r="A956" t="s">
        <v>629</v>
      </c>
      <c r="B956">
        <v>6.5</v>
      </c>
      <c r="C956">
        <v>0.05</v>
      </c>
    </row>
    <row r="957" spans="1:3" ht="15" customHeight="1" x14ac:dyDescent="0.25">
      <c r="A957" t="s">
        <v>209</v>
      </c>
      <c r="B957">
        <v>6.5</v>
      </c>
      <c r="C957">
        <v>0.05</v>
      </c>
    </row>
    <row r="958" spans="1:3" ht="15" customHeight="1" x14ac:dyDescent="0.25">
      <c r="A958" t="s">
        <v>208</v>
      </c>
      <c r="B958">
        <v>6.5</v>
      </c>
      <c r="C958">
        <v>0.05</v>
      </c>
    </row>
    <row r="959" spans="1:3" ht="15" customHeight="1" x14ac:dyDescent="0.25">
      <c r="A959" t="s">
        <v>3313</v>
      </c>
      <c r="B959">
        <v>6.5</v>
      </c>
      <c r="C959">
        <v>0.08</v>
      </c>
    </row>
    <row r="960" spans="1:3" ht="15" customHeight="1" x14ac:dyDescent="0.25">
      <c r="A960" t="s">
        <v>1182</v>
      </c>
      <c r="B960">
        <v>6.5</v>
      </c>
      <c r="C960">
        <v>0.08</v>
      </c>
    </row>
    <row r="961" spans="1:3" ht="15" customHeight="1" x14ac:dyDescent="0.25">
      <c r="A961" t="s">
        <v>527</v>
      </c>
      <c r="B961">
        <v>6.5</v>
      </c>
      <c r="C961">
        <v>0.05</v>
      </c>
    </row>
    <row r="962" spans="1:3" ht="15" customHeight="1" x14ac:dyDescent="0.25">
      <c r="A962" t="s">
        <v>207</v>
      </c>
      <c r="B962">
        <v>6.5</v>
      </c>
      <c r="C962">
        <v>0.05</v>
      </c>
    </row>
    <row r="963" spans="1:3" ht="15" customHeight="1" x14ac:dyDescent="0.25">
      <c r="A963" t="s">
        <v>3314</v>
      </c>
      <c r="B963">
        <v>6.1</v>
      </c>
      <c r="C963">
        <v>0.05</v>
      </c>
    </row>
    <row r="964" spans="1:3" ht="15" customHeight="1" x14ac:dyDescent="0.25">
      <c r="A964" t="s">
        <v>250</v>
      </c>
      <c r="B964">
        <v>6.1</v>
      </c>
      <c r="C964">
        <v>0.05</v>
      </c>
    </row>
    <row r="965" spans="1:3" ht="15" customHeight="1" x14ac:dyDescent="0.25">
      <c r="A965" t="s">
        <v>3315</v>
      </c>
      <c r="B965">
        <v>6.1</v>
      </c>
      <c r="C965">
        <v>0.05</v>
      </c>
    </row>
    <row r="966" spans="1:3" ht="15" customHeight="1" x14ac:dyDescent="0.25">
      <c r="A966" t="s">
        <v>3316</v>
      </c>
      <c r="B966">
        <v>6.1</v>
      </c>
      <c r="C966">
        <v>0.08</v>
      </c>
    </row>
    <row r="967" spans="1:3" ht="15" customHeight="1" x14ac:dyDescent="0.25">
      <c r="A967" t="s">
        <v>247</v>
      </c>
      <c r="B967">
        <v>6.1</v>
      </c>
      <c r="C967">
        <v>0.05</v>
      </c>
    </row>
    <row r="968" spans="1:3" ht="15" customHeight="1" x14ac:dyDescent="0.25">
      <c r="A968" t="s">
        <v>3317</v>
      </c>
      <c r="B968">
        <v>6.1</v>
      </c>
      <c r="C968">
        <v>0.05</v>
      </c>
    </row>
    <row r="969" spans="1:3" ht="15" customHeight="1" x14ac:dyDescent="0.25">
      <c r="A969" t="s">
        <v>3318</v>
      </c>
      <c r="B969">
        <v>6.1</v>
      </c>
      <c r="C969">
        <v>0.08</v>
      </c>
    </row>
    <row r="970" spans="1:3" ht="15" customHeight="1" x14ac:dyDescent="0.25">
      <c r="A970" t="s">
        <v>3319</v>
      </c>
      <c r="B970">
        <v>6.1</v>
      </c>
      <c r="C970">
        <v>0.08</v>
      </c>
    </row>
    <row r="971" spans="1:3" ht="15" customHeight="1" x14ac:dyDescent="0.25">
      <c r="A971" t="s">
        <v>1538</v>
      </c>
      <c r="B971">
        <v>6.1</v>
      </c>
      <c r="C971">
        <v>0.05</v>
      </c>
    </row>
    <row r="972" spans="1:3" ht="15" customHeight="1" x14ac:dyDescent="0.25">
      <c r="A972" t="s">
        <v>3320</v>
      </c>
      <c r="B972">
        <v>27.1</v>
      </c>
      <c r="C972">
        <v>0.25</v>
      </c>
    </row>
    <row r="973" spans="1:3" ht="15" customHeight="1" x14ac:dyDescent="0.25">
      <c r="A973" t="s">
        <v>3321</v>
      </c>
      <c r="B973">
        <v>27.1</v>
      </c>
    </row>
    <row r="974" spans="1:3" ht="15" customHeight="1" x14ac:dyDescent="0.25">
      <c r="A974" t="s">
        <v>3322</v>
      </c>
      <c r="B974">
        <v>26.6</v>
      </c>
    </row>
    <row r="975" spans="1:3" ht="15" customHeight="1" x14ac:dyDescent="0.25">
      <c r="A975" t="s">
        <v>3323</v>
      </c>
      <c r="B975">
        <v>27.2</v>
      </c>
    </row>
    <row r="976" spans="1:3" ht="15" customHeight="1" x14ac:dyDescent="0.25">
      <c r="A976" t="s">
        <v>3324</v>
      </c>
      <c r="B976">
        <v>27.1</v>
      </c>
      <c r="C976">
        <v>0.25</v>
      </c>
    </row>
    <row r="977" spans="1:3" ht="15" customHeight="1" x14ac:dyDescent="0.25">
      <c r="A977" t="s">
        <v>3325</v>
      </c>
      <c r="B977">
        <v>27.1</v>
      </c>
    </row>
    <row r="978" spans="1:3" ht="15" customHeight="1" x14ac:dyDescent="0.25">
      <c r="A978" t="s">
        <v>3326</v>
      </c>
      <c r="B978">
        <v>27.1</v>
      </c>
    </row>
    <row r="979" spans="1:3" ht="15" customHeight="1" x14ac:dyDescent="0.25">
      <c r="A979" t="s">
        <v>3327</v>
      </c>
      <c r="B979">
        <v>25.6</v>
      </c>
    </row>
    <row r="980" spans="1:3" ht="15" customHeight="1" x14ac:dyDescent="0.25">
      <c r="A980" t="s">
        <v>3328</v>
      </c>
      <c r="B980">
        <v>27.2</v>
      </c>
      <c r="C980">
        <v>0.25</v>
      </c>
    </row>
    <row r="981" spans="1:3" ht="15" customHeight="1" x14ac:dyDescent="0.25">
      <c r="A981" t="s">
        <v>3329</v>
      </c>
      <c r="B981">
        <v>30.9</v>
      </c>
    </row>
    <row r="982" spans="1:3" ht="15" customHeight="1" x14ac:dyDescent="0.25">
      <c r="A982" t="s">
        <v>3330</v>
      </c>
      <c r="B982">
        <v>30.9</v>
      </c>
    </row>
    <row r="983" spans="1:3" ht="15" customHeight="1" x14ac:dyDescent="0.25">
      <c r="A983" t="s">
        <v>3331</v>
      </c>
      <c r="B983">
        <v>29.9</v>
      </c>
    </row>
    <row r="984" spans="1:3" ht="15" customHeight="1" x14ac:dyDescent="0.25">
      <c r="A984" t="s">
        <v>3332</v>
      </c>
      <c r="B984">
        <v>29.9</v>
      </c>
      <c r="C984">
        <v>0.25</v>
      </c>
    </row>
    <row r="985" spans="1:3" ht="15" customHeight="1" x14ac:dyDescent="0.25">
      <c r="A985" t="s">
        <v>3333</v>
      </c>
      <c r="B985">
        <v>31</v>
      </c>
      <c r="C985">
        <v>0.25</v>
      </c>
    </row>
    <row r="986" spans="1:3" ht="15" customHeight="1" x14ac:dyDescent="0.25">
      <c r="A986" t="s">
        <v>3334</v>
      </c>
      <c r="B986">
        <v>31</v>
      </c>
      <c r="C986">
        <v>0.25</v>
      </c>
    </row>
    <row r="987" spans="1:3" ht="15" customHeight="1" x14ac:dyDescent="0.25">
      <c r="A987" t="s">
        <v>3335</v>
      </c>
      <c r="B987">
        <v>30.4</v>
      </c>
      <c r="C987">
        <v>0.25</v>
      </c>
    </row>
    <row r="988" spans="1:3" ht="15" customHeight="1" x14ac:dyDescent="0.25">
      <c r="A988" t="s">
        <v>3336</v>
      </c>
      <c r="B988">
        <v>30.4</v>
      </c>
    </row>
    <row r="989" spans="1:3" ht="15" customHeight="1" x14ac:dyDescent="0.25">
      <c r="A989" t="s">
        <v>3337</v>
      </c>
      <c r="B989">
        <v>30.4</v>
      </c>
      <c r="C989">
        <v>0.25</v>
      </c>
    </row>
    <row r="990" spans="1:3" ht="15" customHeight="1" x14ac:dyDescent="0.25">
      <c r="A990" t="s">
        <v>3338</v>
      </c>
      <c r="B990">
        <v>29.9</v>
      </c>
      <c r="C990">
        <v>0.25</v>
      </c>
    </row>
    <row r="991" spans="1:3" ht="15" customHeight="1" x14ac:dyDescent="0.25">
      <c r="A991" t="s">
        <v>3339</v>
      </c>
      <c r="B991">
        <v>29.9</v>
      </c>
    </row>
    <row r="992" spans="1:3" ht="15" customHeight="1" x14ac:dyDescent="0.25">
      <c r="A992" t="s">
        <v>3340</v>
      </c>
      <c r="B992">
        <v>29.9</v>
      </c>
    </row>
    <row r="993" spans="1:3" ht="15" customHeight="1" x14ac:dyDescent="0.25">
      <c r="A993" t="s">
        <v>3341</v>
      </c>
      <c r="B993">
        <v>31</v>
      </c>
      <c r="C993">
        <v>0.25</v>
      </c>
    </row>
    <row r="994" spans="1:3" ht="15" customHeight="1" x14ac:dyDescent="0.25">
      <c r="A994" t="s">
        <v>3342</v>
      </c>
      <c r="B994">
        <v>31</v>
      </c>
      <c r="C994">
        <v>0.25</v>
      </c>
    </row>
    <row r="995" spans="1:3" ht="15" customHeight="1" x14ac:dyDescent="0.25">
      <c r="A995" t="s">
        <v>3343</v>
      </c>
      <c r="B995">
        <v>31</v>
      </c>
      <c r="C995">
        <v>0.25</v>
      </c>
    </row>
    <row r="996" spans="1:3" ht="15" customHeight="1" x14ac:dyDescent="0.25">
      <c r="A996" t="s">
        <v>3344</v>
      </c>
      <c r="B996">
        <v>31</v>
      </c>
      <c r="C996">
        <v>0.25</v>
      </c>
    </row>
    <row r="997" spans="1:3" ht="15" customHeight="1" x14ac:dyDescent="0.25">
      <c r="A997" t="s">
        <v>3345</v>
      </c>
      <c r="B997">
        <v>31</v>
      </c>
      <c r="C997">
        <v>0.25</v>
      </c>
    </row>
    <row r="998" spans="1:3" ht="15" customHeight="1" x14ac:dyDescent="0.25">
      <c r="A998" t="s">
        <v>3346</v>
      </c>
      <c r="B998">
        <v>23.8</v>
      </c>
      <c r="C998">
        <v>0.08</v>
      </c>
    </row>
    <row r="999" spans="1:3" ht="15" customHeight="1" x14ac:dyDescent="0.25">
      <c r="A999" t="s">
        <v>3347</v>
      </c>
      <c r="B999">
        <v>23.8</v>
      </c>
      <c r="C999">
        <v>0.08</v>
      </c>
    </row>
    <row r="1000" spans="1:3" ht="15" customHeight="1" x14ac:dyDescent="0.25">
      <c r="A1000" t="s">
        <v>3348</v>
      </c>
      <c r="B1000">
        <v>24.9</v>
      </c>
      <c r="C1000">
        <v>0.08</v>
      </c>
    </row>
    <row r="1001" spans="1:3" ht="15" customHeight="1" x14ac:dyDescent="0.25">
      <c r="A1001" t="s">
        <v>3349</v>
      </c>
      <c r="B1001">
        <v>24.9</v>
      </c>
      <c r="C1001">
        <v>0.08</v>
      </c>
    </row>
    <row r="1002" spans="1:3" ht="15" customHeight="1" x14ac:dyDescent="0.25">
      <c r="A1002" t="s">
        <v>3350</v>
      </c>
      <c r="B1002">
        <v>24.9</v>
      </c>
      <c r="C1002">
        <v>0.08</v>
      </c>
    </row>
    <row r="1003" spans="1:3" ht="15" customHeight="1" x14ac:dyDescent="0.25">
      <c r="A1003" t="s">
        <v>3351</v>
      </c>
      <c r="B1003">
        <v>24.9</v>
      </c>
      <c r="C1003">
        <v>0.08</v>
      </c>
    </row>
    <row r="1004" spans="1:3" ht="15" customHeight="1" x14ac:dyDescent="0.25">
      <c r="A1004" t="s">
        <v>3352</v>
      </c>
      <c r="B1004">
        <v>23.8</v>
      </c>
      <c r="C1004">
        <v>0.08</v>
      </c>
    </row>
    <row r="1005" spans="1:3" ht="15" customHeight="1" x14ac:dyDescent="0.25">
      <c r="A1005" t="s">
        <v>3353</v>
      </c>
      <c r="B1005">
        <v>23.8</v>
      </c>
      <c r="C1005">
        <v>0.08</v>
      </c>
    </row>
    <row r="1006" spans="1:3" ht="15" customHeight="1" x14ac:dyDescent="0.25">
      <c r="A1006" t="s">
        <v>3354</v>
      </c>
      <c r="B1006">
        <v>24.9</v>
      </c>
      <c r="C1006">
        <v>0.08</v>
      </c>
    </row>
    <row r="1007" spans="1:3" ht="15" customHeight="1" x14ac:dyDescent="0.25">
      <c r="A1007" t="s">
        <v>3355</v>
      </c>
      <c r="B1007">
        <v>24.9</v>
      </c>
      <c r="C1007">
        <v>0.08</v>
      </c>
    </row>
    <row r="1008" spans="1:3" ht="15" customHeight="1" x14ac:dyDescent="0.25">
      <c r="A1008" t="s">
        <v>3356</v>
      </c>
      <c r="B1008">
        <v>23.8</v>
      </c>
      <c r="C1008">
        <v>0.08</v>
      </c>
    </row>
    <row r="1009" spans="1:3" ht="15" customHeight="1" x14ac:dyDescent="0.25">
      <c r="A1009" t="s">
        <v>3357</v>
      </c>
      <c r="B1009">
        <v>23.8</v>
      </c>
      <c r="C1009">
        <v>0.08</v>
      </c>
    </row>
    <row r="1010" spans="1:3" ht="15" customHeight="1" x14ac:dyDescent="0.25">
      <c r="A1010" t="s">
        <v>3358</v>
      </c>
      <c r="B1010">
        <v>23.8</v>
      </c>
      <c r="C1010">
        <v>0.08</v>
      </c>
    </row>
    <row r="1011" spans="1:3" ht="15" customHeight="1" x14ac:dyDescent="0.25">
      <c r="A1011" t="s">
        <v>3359</v>
      </c>
      <c r="B1011">
        <v>23.8</v>
      </c>
      <c r="C1011">
        <v>0.08</v>
      </c>
    </row>
    <row r="1012" spans="1:3" ht="15" customHeight="1" x14ac:dyDescent="0.25">
      <c r="A1012" t="s">
        <v>3360</v>
      </c>
      <c r="B1012">
        <v>23.3</v>
      </c>
      <c r="C1012">
        <v>0.25</v>
      </c>
    </row>
    <row r="1013" spans="1:3" ht="15" customHeight="1" x14ac:dyDescent="0.25">
      <c r="A1013" t="s">
        <v>3361</v>
      </c>
      <c r="B1013">
        <v>23.8</v>
      </c>
      <c r="C1013">
        <v>0.08</v>
      </c>
    </row>
    <row r="1014" spans="1:3" ht="15" customHeight="1" x14ac:dyDescent="0.25">
      <c r="A1014" t="s">
        <v>3362</v>
      </c>
      <c r="B1014">
        <v>23.8</v>
      </c>
      <c r="C1014">
        <v>0.08</v>
      </c>
    </row>
    <row r="1015" spans="1:3" ht="15" customHeight="1" x14ac:dyDescent="0.25">
      <c r="A1015" t="s">
        <v>3363</v>
      </c>
      <c r="B1015">
        <v>24.3</v>
      </c>
      <c r="C1015">
        <v>0.08</v>
      </c>
    </row>
    <row r="1016" spans="1:3" ht="15" customHeight="1" x14ac:dyDescent="0.25">
      <c r="A1016" t="s">
        <v>3364</v>
      </c>
      <c r="B1016">
        <v>24.3</v>
      </c>
      <c r="C1016">
        <v>0.08</v>
      </c>
    </row>
    <row r="1017" spans="1:3" ht="15" customHeight="1" x14ac:dyDescent="0.25">
      <c r="A1017" t="s">
        <v>3365</v>
      </c>
      <c r="B1017">
        <v>23.3</v>
      </c>
      <c r="C1017">
        <v>0.25</v>
      </c>
    </row>
    <row r="1018" spans="1:3" ht="15" customHeight="1" x14ac:dyDescent="0.25">
      <c r="A1018" t="s">
        <v>3366</v>
      </c>
      <c r="B1018">
        <v>24.2</v>
      </c>
      <c r="C1018">
        <v>0.05</v>
      </c>
    </row>
    <row r="1019" spans="1:3" ht="15" customHeight="1" x14ac:dyDescent="0.25">
      <c r="A1019" t="s">
        <v>1893</v>
      </c>
      <c r="B1019">
        <v>24.2</v>
      </c>
      <c r="C1019">
        <v>0.05</v>
      </c>
    </row>
    <row r="1020" spans="1:3" ht="15" customHeight="1" x14ac:dyDescent="0.25">
      <c r="A1020" t="s">
        <v>3367</v>
      </c>
      <c r="B1020">
        <v>24.2</v>
      </c>
      <c r="C1020">
        <v>0.08</v>
      </c>
    </row>
    <row r="1021" spans="1:3" ht="15" customHeight="1" x14ac:dyDescent="0.25">
      <c r="A1021" t="s">
        <v>3368</v>
      </c>
      <c r="B1021">
        <v>22.8</v>
      </c>
      <c r="C1021">
        <v>0.05</v>
      </c>
    </row>
    <row r="1022" spans="1:3" ht="15" customHeight="1" x14ac:dyDescent="0.25">
      <c r="A1022" t="s">
        <v>3369</v>
      </c>
      <c r="B1022">
        <v>22.8</v>
      </c>
      <c r="C1022">
        <v>0.05</v>
      </c>
    </row>
    <row r="1023" spans="1:3" ht="15" customHeight="1" x14ac:dyDescent="0.25">
      <c r="A1023" t="s">
        <v>3370</v>
      </c>
      <c r="B1023">
        <v>22.8</v>
      </c>
      <c r="C1023">
        <v>0.25</v>
      </c>
    </row>
    <row r="1024" spans="1:3" ht="15" customHeight="1" x14ac:dyDescent="0.25">
      <c r="A1024" t="s">
        <v>3371</v>
      </c>
      <c r="B1024">
        <v>24.4</v>
      </c>
      <c r="C1024">
        <v>0.08</v>
      </c>
    </row>
    <row r="1025" spans="1:3" ht="15" customHeight="1" x14ac:dyDescent="0.25">
      <c r="A1025" t="s">
        <v>3372</v>
      </c>
      <c r="B1025">
        <v>24.4</v>
      </c>
      <c r="C1025">
        <v>0.05</v>
      </c>
    </row>
    <row r="1026" spans="1:3" ht="15" customHeight="1" x14ac:dyDescent="0.25">
      <c r="A1026" t="s">
        <v>3373</v>
      </c>
      <c r="B1026">
        <v>24.2</v>
      </c>
      <c r="C1026">
        <v>0.08</v>
      </c>
    </row>
    <row r="1027" spans="1:3" ht="15" customHeight="1" x14ac:dyDescent="0.25">
      <c r="A1027" t="s">
        <v>3374</v>
      </c>
      <c r="B1027">
        <v>24.2</v>
      </c>
      <c r="C1027">
        <v>0.08</v>
      </c>
    </row>
    <row r="1028" spans="1:3" ht="15" customHeight="1" x14ac:dyDescent="0.25">
      <c r="A1028" t="s">
        <v>3375</v>
      </c>
      <c r="B1028">
        <v>23.8</v>
      </c>
      <c r="C1028">
        <v>0.08</v>
      </c>
    </row>
    <row r="1029" spans="1:3" ht="15" customHeight="1" x14ac:dyDescent="0.25">
      <c r="A1029" t="s">
        <v>3376</v>
      </c>
      <c r="B1029">
        <v>23.8</v>
      </c>
      <c r="C1029">
        <v>0.25</v>
      </c>
    </row>
    <row r="1030" spans="1:3" ht="15" customHeight="1" x14ac:dyDescent="0.25">
      <c r="A1030" t="s">
        <v>3377</v>
      </c>
      <c r="B1030">
        <v>23.8</v>
      </c>
      <c r="C1030">
        <v>0.25</v>
      </c>
    </row>
    <row r="1031" spans="1:3" ht="15" customHeight="1" x14ac:dyDescent="0.25">
      <c r="A1031" t="s">
        <v>3378</v>
      </c>
      <c r="B1031">
        <v>22.8</v>
      </c>
      <c r="C1031">
        <v>0.05</v>
      </c>
    </row>
    <row r="1032" spans="1:3" ht="15" customHeight="1" x14ac:dyDescent="0.25">
      <c r="A1032" t="s">
        <v>1316</v>
      </c>
      <c r="B1032">
        <v>22.8</v>
      </c>
      <c r="C1032">
        <v>0.05</v>
      </c>
    </row>
    <row r="1033" spans="1:3" ht="15" customHeight="1" x14ac:dyDescent="0.25">
      <c r="A1033" t="s">
        <v>3379</v>
      </c>
      <c r="B1033">
        <v>22.8</v>
      </c>
      <c r="C1033">
        <v>0.08</v>
      </c>
    </row>
    <row r="1034" spans="1:3" ht="15" customHeight="1" x14ac:dyDescent="0.25">
      <c r="A1034" t="s">
        <v>3380</v>
      </c>
      <c r="B1034">
        <v>24.4</v>
      </c>
      <c r="C1034">
        <v>0.08</v>
      </c>
    </row>
    <row r="1035" spans="1:3" ht="15" customHeight="1" x14ac:dyDescent="0.25">
      <c r="A1035" t="s">
        <v>3381</v>
      </c>
      <c r="B1035">
        <v>24.4</v>
      </c>
      <c r="C1035">
        <v>0.05</v>
      </c>
    </row>
    <row r="1036" spans="1:3" ht="15" customHeight="1" x14ac:dyDescent="0.25">
      <c r="A1036" t="s">
        <v>3382</v>
      </c>
      <c r="B1036">
        <v>24.4</v>
      </c>
      <c r="C1036">
        <v>0.08</v>
      </c>
    </row>
    <row r="1037" spans="1:3" ht="15" customHeight="1" x14ac:dyDescent="0.25">
      <c r="A1037" t="s">
        <v>3383</v>
      </c>
      <c r="B1037">
        <v>24.9</v>
      </c>
      <c r="C1037">
        <v>0.05</v>
      </c>
    </row>
    <row r="1038" spans="1:3" ht="15" customHeight="1" x14ac:dyDescent="0.25">
      <c r="A1038" t="s">
        <v>3384</v>
      </c>
      <c r="B1038">
        <v>24.9</v>
      </c>
      <c r="C1038">
        <v>0.05</v>
      </c>
    </row>
    <row r="1039" spans="1:3" ht="15" customHeight="1" x14ac:dyDescent="0.25">
      <c r="A1039" t="s">
        <v>3385</v>
      </c>
      <c r="B1039">
        <v>25.6</v>
      </c>
      <c r="C1039">
        <v>0.05</v>
      </c>
    </row>
    <row r="1040" spans="1:3" ht="15" customHeight="1" x14ac:dyDescent="0.25">
      <c r="A1040" t="s">
        <v>3386</v>
      </c>
      <c r="B1040">
        <v>25.6</v>
      </c>
      <c r="C1040">
        <v>0.05</v>
      </c>
    </row>
    <row r="1041" spans="1:3" ht="15" customHeight="1" x14ac:dyDescent="0.25">
      <c r="A1041" t="s">
        <v>3387</v>
      </c>
      <c r="B1041">
        <v>24.9</v>
      </c>
      <c r="C1041">
        <v>0.05</v>
      </c>
    </row>
    <row r="1042" spans="1:3" ht="15" customHeight="1" x14ac:dyDescent="0.25">
      <c r="A1042" t="s">
        <v>3388</v>
      </c>
      <c r="B1042">
        <v>24.9</v>
      </c>
      <c r="C1042">
        <v>0.05</v>
      </c>
    </row>
    <row r="1043" spans="1:3" ht="15" customHeight="1" x14ac:dyDescent="0.25">
      <c r="A1043" t="s">
        <v>3389</v>
      </c>
      <c r="B1043">
        <v>23.8</v>
      </c>
      <c r="C1043">
        <v>0.05</v>
      </c>
    </row>
    <row r="1044" spans="1:3" ht="15" customHeight="1" x14ac:dyDescent="0.25">
      <c r="A1044" t="s">
        <v>983</v>
      </c>
      <c r="B1044">
        <v>23.8</v>
      </c>
      <c r="C1044">
        <v>0.05</v>
      </c>
    </row>
    <row r="1045" spans="1:3" ht="15" customHeight="1" x14ac:dyDescent="0.25">
      <c r="A1045" t="s">
        <v>3390</v>
      </c>
      <c r="B1045">
        <v>23.8</v>
      </c>
      <c r="C1045">
        <v>0.05</v>
      </c>
    </row>
    <row r="1046" spans="1:3" ht="15" customHeight="1" x14ac:dyDescent="0.25">
      <c r="A1046" t="s">
        <v>3391</v>
      </c>
      <c r="B1046">
        <v>23.8</v>
      </c>
      <c r="C1046">
        <v>0.05</v>
      </c>
    </row>
    <row r="1047" spans="1:3" ht="15" customHeight="1" x14ac:dyDescent="0.25">
      <c r="A1047" t="s">
        <v>3392</v>
      </c>
      <c r="B1047">
        <v>23.8</v>
      </c>
      <c r="C1047">
        <v>0.05</v>
      </c>
    </row>
    <row r="1048" spans="1:3" ht="15" customHeight="1" x14ac:dyDescent="0.25">
      <c r="A1048" t="s">
        <v>3393</v>
      </c>
      <c r="B1048">
        <v>23.8</v>
      </c>
      <c r="C1048">
        <v>0.05</v>
      </c>
    </row>
    <row r="1049" spans="1:3" ht="15" customHeight="1" x14ac:dyDescent="0.25">
      <c r="A1049" t="s">
        <v>3394</v>
      </c>
      <c r="B1049">
        <v>27.6</v>
      </c>
      <c r="C1049">
        <v>0.08</v>
      </c>
    </row>
    <row r="1050" spans="1:3" ht="15" customHeight="1" x14ac:dyDescent="0.25">
      <c r="A1050" t="s">
        <v>3395</v>
      </c>
      <c r="B1050">
        <v>27.6</v>
      </c>
      <c r="C1050">
        <v>0.08</v>
      </c>
    </row>
    <row r="1051" spans="1:3" ht="15" customHeight="1" x14ac:dyDescent="0.25">
      <c r="A1051" t="s">
        <v>1102</v>
      </c>
      <c r="B1051">
        <v>29.2</v>
      </c>
      <c r="C1051">
        <v>0.08</v>
      </c>
    </row>
    <row r="1052" spans="1:3" ht="15" customHeight="1" x14ac:dyDescent="0.25">
      <c r="A1052" t="s">
        <v>3396</v>
      </c>
      <c r="B1052">
        <v>29.2</v>
      </c>
      <c r="C1052">
        <v>0.08</v>
      </c>
    </row>
    <row r="1053" spans="1:3" ht="15" customHeight="1" x14ac:dyDescent="0.25">
      <c r="A1053" t="s">
        <v>3397</v>
      </c>
      <c r="B1053">
        <v>29.2</v>
      </c>
      <c r="C1053">
        <v>0.08</v>
      </c>
    </row>
    <row r="1054" spans="1:3" ht="15" customHeight="1" x14ac:dyDescent="0.25">
      <c r="A1054" t="s">
        <v>3398</v>
      </c>
      <c r="B1054">
        <v>29.2</v>
      </c>
      <c r="C1054">
        <v>0.08</v>
      </c>
    </row>
    <row r="1055" spans="1:3" ht="15" customHeight="1" x14ac:dyDescent="0.25">
      <c r="A1055" t="s">
        <v>3399</v>
      </c>
      <c r="B1055">
        <v>27.6</v>
      </c>
      <c r="C1055">
        <v>0.08</v>
      </c>
    </row>
    <row r="1056" spans="1:3" ht="15" customHeight="1" x14ac:dyDescent="0.25">
      <c r="A1056" t="s">
        <v>3400</v>
      </c>
      <c r="B1056">
        <v>27.6</v>
      </c>
      <c r="C1056">
        <v>0.08</v>
      </c>
    </row>
    <row r="1057" spans="1:3" ht="15" customHeight="1" x14ac:dyDescent="0.25">
      <c r="A1057" t="s">
        <v>3401</v>
      </c>
      <c r="B1057">
        <v>29.2</v>
      </c>
      <c r="C1057">
        <v>0.08</v>
      </c>
    </row>
    <row r="1058" spans="1:3" ht="15" customHeight="1" x14ac:dyDescent="0.25">
      <c r="A1058" t="s">
        <v>3402</v>
      </c>
      <c r="B1058">
        <v>29.2</v>
      </c>
      <c r="C1058">
        <v>0.08</v>
      </c>
    </row>
    <row r="1059" spans="1:3" ht="15" customHeight="1" x14ac:dyDescent="0.25">
      <c r="A1059" t="s">
        <v>3403</v>
      </c>
      <c r="B1059">
        <v>28.6</v>
      </c>
      <c r="C1059">
        <v>0.08</v>
      </c>
    </row>
    <row r="1060" spans="1:3" ht="15" customHeight="1" x14ac:dyDescent="0.25">
      <c r="A1060" t="s">
        <v>3404</v>
      </c>
      <c r="B1060">
        <v>28.1</v>
      </c>
      <c r="C1060">
        <v>0.08</v>
      </c>
    </row>
    <row r="1061" spans="1:3" ht="15" customHeight="1" x14ac:dyDescent="0.25">
      <c r="A1061" t="s">
        <v>3405</v>
      </c>
      <c r="B1061">
        <v>27.1</v>
      </c>
      <c r="C1061">
        <v>0.25</v>
      </c>
    </row>
    <row r="1062" spans="1:3" ht="15" customHeight="1" x14ac:dyDescent="0.25">
      <c r="A1062" t="s">
        <v>3406</v>
      </c>
      <c r="B1062">
        <v>27.1</v>
      </c>
      <c r="C1062">
        <v>0.25</v>
      </c>
    </row>
    <row r="1063" spans="1:3" ht="15" customHeight="1" x14ac:dyDescent="0.25">
      <c r="A1063" t="s">
        <v>1823</v>
      </c>
      <c r="B1063">
        <v>27.1</v>
      </c>
      <c r="C1063">
        <v>0.08</v>
      </c>
    </row>
    <row r="1064" spans="1:3" ht="15" customHeight="1" x14ac:dyDescent="0.25">
      <c r="A1064" t="s">
        <v>3407</v>
      </c>
      <c r="B1064">
        <v>27.1</v>
      </c>
      <c r="C1064">
        <v>0.25</v>
      </c>
    </row>
    <row r="1065" spans="1:3" ht="15" customHeight="1" x14ac:dyDescent="0.25">
      <c r="A1065" t="s">
        <v>3408</v>
      </c>
      <c r="B1065">
        <v>27.1</v>
      </c>
      <c r="C1065">
        <v>0.25</v>
      </c>
    </row>
    <row r="1066" spans="1:3" ht="15" customHeight="1" x14ac:dyDescent="0.25">
      <c r="A1066" t="s">
        <v>3409</v>
      </c>
      <c r="B1066">
        <v>27.1</v>
      </c>
      <c r="C1066">
        <v>0.25</v>
      </c>
    </row>
    <row r="1067" spans="1:3" ht="15" customHeight="1" x14ac:dyDescent="0.25">
      <c r="A1067" t="s">
        <v>3410</v>
      </c>
      <c r="B1067">
        <v>27.1</v>
      </c>
      <c r="C1067">
        <v>0.08</v>
      </c>
    </row>
    <row r="1068" spans="1:3" ht="15" customHeight="1" x14ac:dyDescent="0.25">
      <c r="A1068" t="s">
        <v>3411</v>
      </c>
      <c r="B1068">
        <v>27.1</v>
      </c>
      <c r="C1068">
        <v>0.08</v>
      </c>
    </row>
    <row r="1069" spans="1:3" ht="15" customHeight="1" x14ac:dyDescent="0.25">
      <c r="A1069" t="s">
        <v>3412</v>
      </c>
      <c r="B1069">
        <v>28.7</v>
      </c>
      <c r="C1069">
        <v>0.08</v>
      </c>
    </row>
    <row r="1070" spans="1:3" ht="15" customHeight="1" x14ac:dyDescent="0.25">
      <c r="A1070" t="s">
        <v>3413</v>
      </c>
      <c r="B1070">
        <v>28.7</v>
      </c>
      <c r="C1070">
        <v>0.08</v>
      </c>
    </row>
    <row r="1071" spans="1:3" ht="15" customHeight="1" x14ac:dyDescent="0.25">
      <c r="A1071" t="s">
        <v>3414</v>
      </c>
      <c r="B1071">
        <v>27.1</v>
      </c>
      <c r="C1071">
        <v>0.05</v>
      </c>
    </row>
    <row r="1072" spans="1:3" ht="15" customHeight="1" x14ac:dyDescent="0.25">
      <c r="A1072" t="s">
        <v>3415</v>
      </c>
      <c r="B1072">
        <v>27.1</v>
      </c>
      <c r="C1072">
        <v>0.05</v>
      </c>
    </row>
    <row r="1073" spans="1:3" ht="15" customHeight="1" x14ac:dyDescent="0.25">
      <c r="A1073" t="s">
        <v>3416</v>
      </c>
      <c r="B1073">
        <v>27.1</v>
      </c>
      <c r="C1073">
        <v>0.25</v>
      </c>
    </row>
    <row r="1074" spans="1:3" ht="15" customHeight="1" x14ac:dyDescent="0.25">
      <c r="A1074" t="s">
        <v>3417</v>
      </c>
      <c r="B1074">
        <v>27.1</v>
      </c>
      <c r="C1074">
        <v>0.25</v>
      </c>
    </row>
    <row r="1075" spans="1:3" ht="15" customHeight="1" x14ac:dyDescent="0.25">
      <c r="A1075" t="s">
        <v>785</v>
      </c>
      <c r="B1075">
        <v>27.1</v>
      </c>
      <c r="C1075">
        <v>0.05</v>
      </c>
    </row>
    <row r="1076" spans="1:3" ht="15" customHeight="1" x14ac:dyDescent="0.25">
      <c r="A1076" t="s">
        <v>3418</v>
      </c>
      <c r="B1076">
        <v>25.6</v>
      </c>
      <c r="C1076">
        <v>0.05</v>
      </c>
    </row>
    <row r="1077" spans="1:3" ht="15" customHeight="1" x14ac:dyDescent="0.25">
      <c r="A1077" t="s">
        <v>3419</v>
      </c>
      <c r="B1077">
        <v>25.6</v>
      </c>
      <c r="C1077">
        <v>0.25</v>
      </c>
    </row>
    <row r="1078" spans="1:3" ht="15" customHeight="1" x14ac:dyDescent="0.25">
      <c r="A1078" t="s">
        <v>3420</v>
      </c>
      <c r="B1078">
        <v>25.6</v>
      </c>
      <c r="C1078">
        <v>0.25</v>
      </c>
    </row>
    <row r="1079" spans="1:3" ht="15" customHeight="1" x14ac:dyDescent="0.25">
      <c r="A1079" t="s">
        <v>3421</v>
      </c>
      <c r="B1079">
        <v>25.6</v>
      </c>
      <c r="C1079">
        <v>0.05</v>
      </c>
    </row>
    <row r="1080" spans="1:3" ht="15" customHeight="1" x14ac:dyDescent="0.25">
      <c r="A1080" t="s">
        <v>3422</v>
      </c>
      <c r="B1080">
        <v>27.2</v>
      </c>
      <c r="C1080">
        <v>0.05</v>
      </c>
    </row>
    <row r="1081" spans="1:3" ht="15" customHeight="1" x14ac:dyDescent="0.25">
      <c r="A1081" t="s">
        <v>3423</v>
      </c>
      <c r="B1081">
        <v>27.2</v>
      </c>
      <c r="C1081">
        <v>0.05</v>
      </c>
    </row>
    <row r="1082" spans="1:3" ht="15" customHeight="1" x14ac:dyDescent="0.25">
      <c r="A1082" t="s">
        <v>862</v>
      </c>
      <c r="B1082">
        <v>27.1</v>
      </c>
      <c r="C1082">
        <v>0.05</v>
      </c>
    </row>
    <row r="1083" spans="1:3" ht="15" customHeight="1" x14ac:dyDescent="0.25">
      <c r="A1083" t="s">
        <v>3424</v>
      </c>
      <c r="B1083">
        <v>27.1</v>
      </c>
      <c r="C1083">
        <v>0.05</v>
      </c>
    </row>
    <row r="1084" spans="1:3" ht="15" customHeight="1" x14ac:dyDescent="0.25">
      <c r="A1084" t="s">
        <v>3425</v>
      </c>
      <c r="B1084">
        <v>27.1</v>
      </c>
      <c r="C1084">
        <v>0.25</v>
      </c>
    </row>
    <row r="1085" spans="1:3" ht="15" customHeight="1" x14ac:dyDescent="0.25">
      <c r="A1085" t="s">
        <v>3426</v>
      </c>
      <c r="B1085">
        <v>27.1</v>
      </c>
      <c r="C1085">
        <v>0.25</v>
      </c>
    </row>
    <row r="1086" spans="1:3" ht="15" customHeight="1" x14ac:dyDescent="0.25">
      <c r="A1086" t="s">
        <v>3427</v>
      </c>
      <c r="B1086">
        <v>27.1</v>
      </c>
      <c r="C1086">
        <v>0.05</v>
      </c>
    </row>
    <row r="1087" spans="1:3" ht="15" customHeight="1" x14ac:dyDescent="0.25">
      <c r="A1087" t="s">
        <v>1411</v>
      </c>
      <c r="B1087">
        <v>25.6</v>
      </c>
      <c r="C1087">
        <v>0.05</v>
      </c>
    </row>
    <row r="1088" spans="1:3" ht="15" customHeight="1" x14ac:dyDescent="0.25">
      <c r="A1088" t="s">
        <v>3428</v>
      </c>
      <c r="B1088">
        <v>25.6</v>
      </c>
      <c r="C1088">
        <v>0.05</v>
      </c>
    </row>
    <row r="1089" spans="1:3" ht="15" customHeight="1" x14ac:dyDescent="0.25">
      <c r="A1089" t="s">
        <v>3429</v>
      </c>
      <c r="B1089">
        <v>25.6</v>
      </c>
      <c r="C1089">
        <v>0.25</v>
      </c>
    </row>
    <row r="1090" spans="1:3" ht="15" customHeight="1" x14ac:dyDescent="0.25">
      <c r="A1090" t="s">
        <v>3430</v>
      </c>
      <c r="B1090">
        <v>25.6</v>
      </c>
      <c r="C1090">
        <v>0.25</v>
      </c>
    </row>
    <row r="1091" spans="1:3" ht="15" customHeight="1" x14ac:dyDescent="0.25">
      <c r="A1091" t="s">
        <v>3431</v>
      </c>
      <c r="B1091">
        <v>25.6</v>
      </c>
      <c r="C1091">
        <v>0.05</v>
      </c>
    </row>
    <row r="1092" spans="1:3" ht="15" customHeight="1" x14ac:dyDescent="0.25">
      <c r="A1092" t="s">
        <v>569</v>
      </c>
      <c r="B1092">
        <v>28.2</v>
      </c>
      <c r="C1092">
        <v>0.05</v>
      </c>
    </row>
    <row r="1093" spans="1:3" ht="15" customHeight="1" x14ac:dyDescent="0.25">
      <c r="A1093" t="s">
        <v>3432</v>
      </c>
      <c r="B1093">
        <v>28.2</v>
      </c>
      <c r="C1093">
        <v>0.08</v>
      </c>
    </row>
    <row r="1094" spans="1:3" ht="15" customHeight="1" x14ac:dyDescent="0.25">
      <c r="A1094" t="s">
        <v>3433</v>
      </c>
      <c r="B1094">
        <v>28.2</v>
      </c>
      <c r="C1094">
        <v>0.25</v>
      </c>
    </row>
    <row r="1095" spans="1:3" ht="15" customHeight="1" x14ac:dyDescent="0.25">
      <c r="A1095" t="s">
        <v>3434</v>
      </c>
      <c r="B1095">
        <v>28.2</v>
      </c>
      <c r="C1095">
        <v>0.25</v>
      </c>
    </row>
    <row r="1096" spans="1:3" ht="15" customHeight="1" x14ac:dyDescent="0.25">
      <c r="A1096" t="s">
        <v>3435</v>
      </c>
      <c r="B1096">
        <v>28.2</v>
      </c>
      <c r="C1096">
        <v>0.05</v>
      </c>
    </row>
    <row r="1097" spans="1:3" ht="15" customHeight="1" x14ac:dyDescent="0.25">
      <c r="A1097" t="s">
        <v>3436</v>
      </c>
      <c r="B1097">
        <v>29.7</v>
      </c>
      <c r="C1097">
        <v>0.05</v>
      </c>
    </row>
    <row r="1098" spans="1:3" ht="15" customHeight="1" x14ac:dyDescent="0.25">
      <c r="A1098" t="s">
        <v>3437</v>
      </c>
      <c r="B1098">
        <v>29.7</v>
      </c>
      <c r="C1098">
        <v>0.05</v>
      </c>
    </row>
    <row r="1099" spans="1:3" ht="15" customHeight="1" x14ac:dyDescent="0.25">
      <c r="A1099" t="s">
        <v>3438</v>
      </c>
      <c r="B1099">
        <v>30.3</v>
      </c>
      <c r="C1099">
        <v>0.05</v>
      </c>
    </row>
    <row r="1100" spans="1:3" ht="15" customHeight="1" x14ac:dyDescent="0.25">
      <c r="A1100" t="s">
        <v>3439</v>
      </c>
      <c r="B1100">
        <v>30.3</v>
      </c>
      <c r="C1100">
        <v>0.05</v>
      </c>
    </row>
    <row r="1101" spans="1:3" ht="15" customHeight="1" x14ac:dyDescent="0.25">
      <c r="A1101" t="s">
        <v>3440</v>
      </c>
      <c r="B1101">
        <v>29.7</v>
      </c>
      <c r="C1101">
        <v>0.05</v>
      </c>
    </row>
    <row r="1102" spans="1:3" ht="15" customHeight="1" x14ac:dyDescent="0.25">
      <c r="A1102" t="s">
        <v>3441</v>
      </c>
      <c r="B1102">
        <v>29.7</v>
      </c>
      <c r="C1102">
        <v>0.05</v>
      </c>
    </row>
    <row r="1103" spans="1:3" ht="15" customHeight="1" x14ac:dyDescent="0.25">
      <c r="A1103" t="s">
        <v>3442</v>
      </c>
      <c r="B1103">
        <v>27.1</v>
      </c>
      <c r="C1103">
        <v>0.05</v>
      </c>
    </row>
    <row r="1104" spans="1:3" ht="15" customHeight="1" x14ac:dyDescent="0.25">
      <c r="A1104" t="s">
        <v>3443</v>
      </c>
      <c r="B1104">
        <v>27.1</v>
      </c>
      <c r="C1104">
        <v>0.05</v>
      </c>
    </row>
    <row r="1105" spans="1:3" ht="15" customHeight="1" x14ac:dyDescent="0.25">
      <c r="A1105" t="s">
        <v>3444</v>
      </c>
      <c r="B1105">
        <v>27.1</v>
      </c>
      <c r="C1105">
        <v>0.05</v>
      </c>
    </row>
    <row r="1106" spans="1:3" ht="15" customHeight="1" x14ac:dyDescent="0.25">
      <c r="A1106" t="s">
        <v>3445</v>
      </c>
      <c r="B1106">
        <v>27.1</v>
      </c>
      <c r="C1106">
        <v>0.05</v>
      </c>
    </row>
    <row r="1107" spans="1:3" ht="15" customHeight="1" x14ac:dyDescent="0.25">
      <c r="A1107" t="s">
        <v>3446</v>
      </c>
      <c r="B1107">
        <v>27.6</v>
      </c>
      <c r="C1107">
        <v>0.05</v>
      </c>
    </row>
    <row r="1108" spans="1:3" ht="15" customHeight="1" x14ac:dyDescent="0.25">
      <c r="A1108" t="s">
        <v>3447</v>
      </c>
      <c r="B1108">
        <v>27.1</v>
      </c>
      <c r="C1108">
        <v>0.05</v>
      </c>
    </row>
    <row r="1109" spans="1:3" ht="15" customHeight="1" x14ac:dyDescent="0.25">
      <c r="A1109" t="s">
        <v>3448</v>
      </c>
      <c r="B1109">
        <v>27.4</v>
      </c>
      <c r="C1109">
        <v>0.25</v>
      </c>
    </row>
    <row r="1110" spans="1:3" ht="15" customHeight="1" x14ac:dyDescent="0.25">
      <c r="A1110" t="s">
        <v>3449</v>
      </c>
      <c r="B1110">
        <v>27.4</v>
      </c>
      <c r="C1110">
        <v>0.08</v>
      </c>
    </row>
    <row r="1111" spans="1:3" ht="15" customHeight="1" x14ac:dyDescent="0.25">
      <c r="A1111" t="s">
        <v>3450</v>
      </c>
      <c r="B1111">
        <v>26.9</v>
      </c>
      <c r="C1111">
        <v>0.25</v>
      </c>
    </row>
    <row r="1112" spans="1:3" ht="15" customHeight="1" x14ac:dyDescent="0.25">
      <c r="A1112" t="s">
        <v>3451</v>
      </c>
      <c r="B1112">
        <v>26.9</v>
      </c>
      <c r="C1112">
        <v>0.08</v>
      </c>
    </row>
    <row r="1113" spans="1:3" ht="15" customHeight="1" x14ac:dyDescent="0.25">
      <c r="A1113" t="s">
        <v>3452</v>
      </c>
      <c r="B1113">
        <v>27.6</v>
      </c>
      <c r="C1113">
        <v>0.25</v>
      </c>
    </row>
    <row r="1114" spans="1:3" ht="15" customHeight="1" x14ac:dyDescent="0.25">
      <c r="A1114" t="s">
        <v>3453</v>
      </c>
      <c r="B1114">
        <v>27.6</v>
      </c>
      <c r="C1114">
        <v>0.08</v>
      </c>
    </row>
    <row r="1115" spans="1:3" ht="15" customHeight="1" x14ac:dyDescent="0.25">
      <c r="A1115" t="s">
        <v>3454</v>
      </c>
      <c r="B1115">
        <v>27.4</v>
      </c>
      <c r="C1115">
        <v>0.25</v>
      </c>
    </row>
    <row r="1116" spans="1:3" ht="15" customHeight="1" x14ac:dyDescent="0.25">
      <c r="A1116" t="s">
        <v>3455</v>
      </c>
      <c r="B1116">
        <v>27.4</v>
      </c>
      <c r="C1116">
        <v>0.08</v>
      </c>
    </row>
    <row r="1117" spans="1:3" ht="15" customHeight="1" x14ac:dyDescent="0.25">
      <c r="A1117" t="s">
        <v>3456</v>
      </c>
      <c r="B1117">
        <v>26.9</v>
      </c>
      <c r="C1117">
        <v>0.25</v>
      </c>
    </row>
    <row r="1118" spans="1:3" ht="15" customHeight="1" x14ac:dyDescent="0.25">
      <c r="A1118" t="s">
        <v>3457</v>
      </c>
      <c r="B1118">
        <v>26.9</v>
      </c>
      <c r="C1118">
        <v>0.08</v>
      </c>
    </row>
    <row r="1119" spans="1:3" ht="15" customHeight="1" x14ac:dyDescent="0.25">
      <c r="A1119" t="s">
        <v>3458</v>
      </c>
      <c r="B1119">
        <v>27.6</v>
      </c>
      <c r="C1119">
        <v>0.25</v>
      </c>
    </row>
    <row r="1120" spans="1:3" ht="15" customHeight="1" x14ac:dyDescent="0.25">
      <c r="A1120" t="s">
        <v>3459</v>
      </c>
      <c r="B1120">
        <v>27.6</v>
      </c>
      <c r="C1120">
        <v>0.08</v>
      </c>
    </row>
    <row r="1121" spans="1:3" ht="15" customHeight="1" x14ac:dyDescent="0.25">
      <c r="A1121" t="s">
        <v>195</v>
      </c>
      <c r="B1121">
        <v>10</v>
      </c>
      <c r="C1121">
        <v>0.05</v>
      </c>
    </row>
    <row r="1122" spans="1:3" ht="15" customHeight="1" x14ac:dyDescent="0.25">
      <c r="A1122" t="s">
        <v>198</v>
      </c>
      <c r="B1122">
        <v>10</v>
      </c>
      <c r="C1122">
        <v>0.05</v>
      </c>
    </row>
    <row r="1123" spans="1:3" ht="15" customHeight="1" x14ac:dyDescent="0.25">
      <c r="A1123" t="s">
        <v>3460</v>
      </c>
      <c r="B1123">
        <v>10.3</v>
      </c>
      <c r="C1123">
        <v>0.05</v>
      </c>
    </row>
    <row r="1124" spans="1:3" ht="15" customHeight="1" x14ac:dyDescent="0.25">
      <c r="A1124" t="s">
        <v>3461</v>
      </c>
      <c r="B1124">
        <v>10</v>
      </c>
      <c r="C1124">
        <v>0.05</v>
      </c>
    </row>
    <row r="1125" spans="1:3" ht="15" customHeight="1" x14ac:dyDescent="0.25">
      <c r="A1125" t="s">
        <v>3462</v>
      </c>
      <c r="B1125">
        <v>10.3</v>
      </c>
      <c r="C1125">
        <v>0.08</v>
      </c>
    </row>
    <row r="1126" spans="1:3" ht="15" customHeight="1" x14ac:dyDescent="0.25">
      <c r="A1126" t="s">
        <v>3463</v>
      </c>
      <c r="B1126">
        <v>10.3</v>
      </c>
      <c r="C1126">
        <v>0.08</v>
      </c>
    </row>
    <row r="1127" spans="1:3" ht="15" customHeight="1" x14ac:dyDescent="0.25">
      <c r="A1127" t="s">
        <v>201</v>
      </c>
      <c r="B1127">
        <v>10.3</v>
      </c>
      <c r="C1127">
        <v>0.05</v>
      </c>
    </row>
    <row r="1128" spans="1:3" ht="15" customHeight="1" x14ac:dyDescent="0.25">
      <c r="A1128" t="s">
        <v>3464</v>
      </c>
      <c r="B1128">
        <v>50</v>
      </c>
    </row>
    <row r="1129" spans="1:3" ht="15" customHeight="1" x14ac:dyDescent="0.25">
      <c r="A1129" t="s">
        <v>3465</v>
      </c>
      <c r="B1129">
        <v>50</v>
      </c>
    </row>
    <row r="1130" spans="1:3" ht="15" customHeight="1" x14ac:dyDescent="0.25">
      <c r="A1130" t="s">
        <v>3466</v>
      </c>
      <c r="B1130">
        <v>50</v>
      </c>
    </row>
    <row r="1131" spans="1:3" ht="15" customHeight="1" x14ac:dyDescent="0.25">
      <c r="A1131" t="s">
        <v>3467</v>
      </c>
      <c r="B1131">
        <v>50</v>
      </c>
    </row>
    <row r="1132" spans="1:3" ht="15" customHeight="1" x14ac:dyDescent="0.25">
      <c r="A1132" t="s">
        <v>3468</v>
      </c>
      <c r="B1132">
        <v>50</v>
      </c>
    </row>
    <row r="1133" spans="1:3" ht="15" customHeight="1" x14ac:dyDescent="0.25">
      <c r="A1133" t="s">
        <v>3469</v>
      </c>
      <c r="B1133">
        <v>50</v>
      </c>
      <c r="C1133">
        <v>0.5</v>
      </c>
    </row>
    <row r="1134" spans="1:3" ht="15" customHeight="1" x14ac:dyDescent="0.25">
      <c r="A1134" t="s">
        <v>3470</v>
      </c>
      <c r="B1134">
        <v>50</v>
      </c>
      <c r="C1134">
        <v>0.5</v>
      </c>
    </row>
    <row r="1135" spans="1:3" ht="15" customHeight="1" x14ac:dyDescent="0.25">
      <c r="A1135" t="s">
        <v>3471</v>
      </c>
      <c r="B1135">
        <v>50</v>
      </c>
      <c r="C1135">
        <v>0.5</v>
      </c>
    </row>
    <row r="1136" spans="1:3" ht="15" customHeight="1" x14ac:dyDescent="0.25">
      <c r="A1136" t="s">
        <v>3472</v>
      </c>
      <c r="B1136">
        <v>50</v>
      </c>
      <c r="C1136">
        <v>0.5</v>
      </c>
    </row>
    <row r="1137" spans="1:3" ht="15" customHeight="1" x14ac:dyDescent="0.25">
      <c r="A1137" t="s">
        <v>3473</v>
      </c>
      <c r="B1137">
        <v>50</v>
      </c>
      <c r="C1137">
        <v>0.5</v>
      </c>
    </row>
    <row r="1138" spans="1:3" ht="15" customHeight="1" x14ac:dyDescent="0.25">
      <c r="A1138" t="s">
        <v>3474</v>
      </c>
      <c r="B1138">
        <v>50</v>
      </c>
      <c r="C1138">
        <v>0.5</v>
      </c>
    </row>
    <row r="1139" spans="1:3" ht="15" customHeight="1" x14ac:dyDescent="0.25">
      <c r="A1139" t="s">
        <v>3475</v>
      </c>
      <c r="B1139">
        <v>14.9</v>
      </c>
      <c r="C1139">
        <v>0.3</v>
      </c>
    </row>
    <row r="1140" spans="1:3" ht="15" customHeight="1" x14ac:dyDescent="0.25">
      <c r="A1140" t="s">
        <v>3476</v>
      </c>
      <c r="B1140">
        <v>14.9</v>
      </c>
      <c r="C1140">
        <v>0.3</v>
      </c>
    </row>
    <row r="1141" spans="1:3" ht="15" customHeight="1" x14ac:dyDescent="0.25">
      <c r="A1141" t="s">
        <v>3477</v>
      </c>
      <c r="B1141">
        <v>14.9</v>
      </c>
      <c r="C1141">
        <v>0.3</v>
      </c>
    </row>
    <row r="1142" spans="1:3" ht="15" customHeight="1" x14ac:dyDescent="0.25">
      <c r="A1142" t="s">
        <v>3478</v>
      </c>
      <c r="B1142">
        <v>16.3</v>
      </c>
      <c r="C1142">
        <v>0.3</v>
      </c>
    </row>
    <row r="1143" spans="1:3" ht="15" customHeight="1" x14ac:dyDescent="0.25">
      <c r="A1143" t="s">
        <v>3479</v>
      </c>
      <c r="B1143">
        <v>16.3</v>
      </c>
      <c r="C1143">
        <v>0.3</v>
      </c>
    </row>
    <row r="1144" spans="1:3" ht="15" customHeight="1" x14ac:dyDescent="0.25">
      <c r="A1144" t="s">
        <v>3480</v>
      </c>
      <c r="B1144">
        <v>16.3</v>
      </c>
      <c r="C1144">
        <v>0.3</v>
      </c>
    </row>
    <row r="1145" spans="1:3" ht="15" customHeight="1" x14ac:dyDescent="0.25">
      <c r="A1145" t="s">
        <v>3481</v>
      </c>
      <c r="B1145">
        <v>16.3</v>
      </c>
      <c r="C1145">
        <v>0.3</v>
      </c>
    </row>
    <row r="1146" spans="1:3" ht="15" customHeight="1" x14ac:dyDescent="0.25">
      <c r="A1146" t="s">
        <v>3482</v>
      </c>
      <c r="B1146">
        <v>16.3</v>
      </c>
      <c r="C1146">
        <v>0.3</v>
      </c>
    </row>
    <row r="1147" spans="1:3" ht="15" customHeight="1" x14ac:dyDescent="0.25">
      <c r="A1147" t="s">
        <v>3483</v>
      </c>
      <c r="B1147">
        <v>16.3</v>
      </c>
      <c r="C1147">
        <v>0.3</v>
      </c>
    </row>
    <row r="1148" spans="1:3" ht="15" customHeight="1" x14ac:dyDescent="0.25">
      <c r="A1148" t="s">
        <v>3484</v>
      </c>
      <c r="B1148">
        <v>16.3</v>
      </c>
      <c r="C1148">
        <v>0.3</v>
      </c>
    </row>
    <row r="1149" spans="1:3" ht="15" customHeight="1" x14ac:dyDescent="0.25">
      <c r="A1149" t="s">
        <v>3485</v>
      </c>
      <c r="B1149">
        <v>16.3</v>
      </c>
      <c r="C1149">
        <v>0.3</v>
      </c>
    </row>
    <row r="1150" spans="1:3" ht="15" customHeight="1" x14ac:dyDescent="0.25">
      <c r="A1150" t="s">
        <v>3486</v>
      </c>
      <c r="B1150">
        <v>16.3</v>
      </c>
      <c r="C1150">
        <v>0.3</v>
      </c>
    </row>
    <row r="1151" spans="1:3" ht="15" customHeight="1" x14ac:dyDescent="0.25">
      <c r="A1151" t="s">
        <v>3487</v>
      </c>
      <c r="B1151">
        <v>16.3</v>
      </c>
      <c r="C1151">
        <v>0.3</v>
      </c>
    </row>
    <row r="1152" spans="1:3" ht="15" customHeight="1" x14ac:dyDescent="0.25">
      <c r="A1152" t="s">
        <v>3488</v>
      </c>
      <c r="B1152">
        <v>16.3</v>
      </c>
      <c r="C1152">
        <v>0.3</v>
      </c>
    </row>
    <row r="1153" spans="1:3" ht="15" customHeight="1" x14ac:dyDescent="0.25">
      <c r="A1153" t="s">
        <v>3489</v>
      </c>
      <c r="B1153">
        <v>16.3</v>
      </c>
      <c r="C1153">
        <v>0.3</v>
      </c>
    </row>
    <row r="1154" spans="1:3" ht="15" customHeight="1" x14ac:dyDescent="0.25">
      <c r="A1154" t="s">
        <v>3490</v>
      </c>
      <c r="B1154">
        <v>16.3</v>
      </c>
      <c r="C1154">
        <v>0.3</v>
      </c>
    </row>
    <row r="1155" spans="1:3" ht="15" customHeight="1" x14ac:dyDescent="0.25">
      <c r="A1155" t="s">
        <v>3491</v>
      </c>
      <c r="B1155">
        <v>16.3</v>
      </c>
      <c r="C1155">
        <v>0.3</v>
      </c>
    </row>
    <row r="1156" spans="1:3" ht="15" customHeight="1" x14ac:dyDescent="0.25">
      <c r="A1156" t="s">
        <v>3492</v>
      </c>
      <c r="B1156">
        <v>16.3</v>
      </c>
      <c r="C1156">
        <v>0.3</v>
      </c>
    </row>
    <row r="1157" spans="1:3" ht="15" customHeight="1" x14ac:dyDescent="0.25">
      <c r="A1157" t="s">
        <v>3493</v>
      </c>
      <c r="B1157">
        <v>16.3</v>
      </c>
      <c r="C1157">
        <v>0.3</v>
      </c>
    </row>
    <row r="1158" spans="1:3" ht="15" customHeight="1" x14ac:dyDescent="0.25">
      <c r="A1158" t="s">
        <v>3494</v>
      </c>
      <c r="B1158">
        <v>16.3</v>
      </c>
      <c r="C1158">
        <v>0.3</v>
      </c>
    </row>
    <row r="1159" spans="1:3" ht="15" customHeight="1" x14ac:dyDescent="0.25">
      <c r="A1159" t="s">
        <v>3495</v>
      </c>
      <c r="B1159">
        <v>16.3</v>
      </c>
      <c r="C1159">
        <v>0.3</v>
      </c>
    </row>
    <row r="1160" spans="1:3" ht="15" customHeight="1" x14ac:dyDescent="0.25">
      <c r="A1160" t="s">
        <v>3496</v>
      </c>
      <c r="B1160">
        <v>16.3</v>
      </c>
      <c r="C1160">
        <v>0.3</v>
      </c>
    </row>
    <row r="1161" spans="1:3" ht="15" customHeight="1" x14ac:dyDescent="0.25">
      <c r="A1161" t="s">
        <v>3497</v>
      </c>
      <c r="B1161">
        <v>16.3</v>
      </c>
      <c r="C1161">
        <v>0.3</v>
      </c>
    </row>
    <row r="1162" spans="1:3" ht="15" customHeight="1" x14ac:dyDescent="0.25">
      <c r="A1162" t="s">
        <v>3498</v>
      </c>
      <c r="B1162">
        <v>19.8</v>
      </c>
      <c r="C1162">
        <v>0.3</v>
      </c>
    </row>
    <row r="1163" spans="1:3" ht="15" customHeight="1" x14ac:dyDescent="0.25">
      <c r="A1163" t="s">
        <v>3499</v>
      </c>
      <c r="B1163">
        <v>19.8</v>
      </c>
      <c r="C1163">
        <v>0.3</v>
      </c>
    </row>
    <row r="1164" spans="1:3" ht="15" customHeight="1" x14ac:dyDescent="0.25">
      <c r="A1164" t="s">
        <v>3500</v>
      </c>
      <c r="B1164">
        <v>19.8</v>
      </c>
      <c r="C1164">
        <v>0.3</v>
      </c>
    </row>
    <row r="1165" spans="1:3" ht="15" customHeight="1" x14ac:dyDescent="0.25">
      <c r="A1165" t="s">
        <v>3501</v>
      </c>
      <c r="B1165">
        <v>19.8</v>
      </c>
      <c r="C1165">
        <v>0.3</v>
      </c>
    </row>
    <row r="1166" spans="1:3" ht="15" customHeight="1" x14ac:dyDescent="0.25">
      <c r="A1166" t="s">
        <v>3502</v>
      </c>
      <c r="B1166">
        <v>19.8</v>
      </c>
      <c r="C1166">
        <v>0.3</v>
      </c>
    </row>
    <row r="1167" spans="1:3" ht="15" customHeight="1" x14ac:dyDescent="0.25">
      <c r="A1167" t="s">
        <v>3503</v>
      </c>
      <c r="B1167">
        <v>19.8</v>
      </c>
      <c r="C1167">
        <v>0.3</v>
      </c>
    </row>
    <row r="1168" spans="1:3" ht="15" customHeight="1" x14ac:dyDescent="0.25">
      <c r="A1168" t="s">
        <v>3504</v>
      </c>
      <c r="B1168">
        <v>19.8</v>
      </c>
      <c r="C1168">
        <v>0.3</v>
      </c>
    </row>
    <row r="1169" spans="1:3" ht="15" customHeight="1" x14ac:dyDescent="0.25">
      <c r="A1169" t="s">
        <v>3505</v>
      </c>
      <c r="B1169">
        <v>19.8</v>
      </c>
      <c r="C1169">
        <v>0.3</v>
      </c>
    </row>
    <row r="1170" spans="1:3" ht="15" customHeight="1" x14ac:dyDescent="0.25">
      <c r="A1170" t="s">
        <v>3506</v>
      </c>
      <c r="B1170">
        <v>19.8</v>
      </c>
      <c r="C1170">
        <v>0.3</v>
      </c>
    </row>
    <row r="1171" spans="1:3" ht="15" customHeight="1" x14ac:dyDescent="0.25">
      <c r="A1171" t="s">
        <v>3507</v>
      </c>
      <c r="B1171">
        <v>19.8</v>
      </c>
      <c r="C1171">
        <v>0.3</v>
      </c>
    </row>
    <row r="1172" spans="1:3" ht="15" customHeight="1" x14ac:dyDescent="0.25">
      <c r="A1172" t="s">
        <v>3508</v>
      </c>
      <c r="B1172">
        <v>19.8</v>
      </c>
      <c r="C1172">
        <v>0.3</v>
      </c>
    </row>
    <row r="1173" spans="1:3" ht="15" customHeight="1" x14ac:dyDescent="0.25">
      <c r="A1173" t="s">
        <v>3509</v>
      </c>
      <c r="B1173">
        <v>19.8</v>
      </c>
      <c r="C1173">
        <v>0.3</v>
      </c>
    </row>
    <row r="1174" spans="1:3" ht="15" customHeight="1" x14ac:dyDescent="0.25">
      <c r="A1174" t="s">
        <v>3510</v>
      </c>
      <c r="B1174">
        <v>19.8</v>
      </c>
      <c r="C1174">
        <v>0.3</v>
      </c>
    </row>
    <row r="1175" spans="1:3" ht="15" customHeight="1" x14ac:dyDescent="0.25">
      <c r="A1175" t="s">
        <v>3511</v>
      </c>
      <c r="B1175">
        <v>19.8</v>
      </c>
      <c r="C1175">
        <v>0.3</v>
      </c>
    </row>
    <row r="1176" spans="1:3" ht="15" customHeight="1" x14ac:dyDescent="0.25">
      <c r="A1176" t="s">
        <v>3512</v>
      </c>
      <c r="B1176">
        <v>19.8</v>
      </c>
      <c r="C1176">
        <v>0.3</v>
      </c>
    </row>
    <row r="1177" spans="1:3" ht="15" customHeight="1" x14ac:dyDescent="0.25">
      <c r="A1177" t="s">
        <v>3513</v>
      </c>
      <c r="B1177">
        <v>19.8</v>
      </c>
      <c r="C1177">
        <v>0.3</v>
      </c>
    </row>
    <row r="1178" spans="1:3" ht="15" customHeight="1" x14ac:dyDescent="0.25">
      <c r="A1178" t="s">
        <v>3514</v>
      </c>
      <c r="B1178">
        <v>19.8</v>
      </c>
      <c r="C1178">
        <v>0.3</v>
      </c>
    </row>
    <row r="1179" spans="1:3" ht="15" customHeight="1" x14ac:dyDescent="0.25">
      <c r="A1179" t="s">
        <v>3515</v>
      </c>
      <c r="B1179">
        <v>19.8</v>
      </c>
      <c r="C1179">
        <v>0.3</v>
      </c>
    </row>
    <row r="1180" spans="1:3" ht="15" customHeight="1" x14ac:dyDescent="0.25">
      <c r="A1180" t="s">
        <v>3516</v>
      </c>
      <c r="B1180">
        <v>19.8</v>
      </c>
      <c r="C1180">
        <v>0.3</v>
      </c>
    </row>
    <row r="1181" spans="1:3" ht="15" customHeight="1" x14ac:dyDescent="0.25">
      <c r="A1181" t="s">
        <v>3517</v>
      </c>
      <c r="B1181">
        <v>19.8</v>
      </c>
      <c r="C1181">
        <v>0.3</v>
      </c>
    </row>
    <row r="1182" spans="1:3" ht="15" customHeight="1" x14ac:dyDescent="0.25">
      <c r="A1182" t="s">
        <v>3518</v>
      </c>
      <c r="B1182">
        <v>19.8</v>
      </c>
      <c r="C1182">
        <v>0.3</v>
      </c>
    </row>
    <row r="1183" spans="1:3" ht="15" customHeight="1" x14ac:dyDescent="0.25">
      <c r="A1183" t="s">
        <v>3519</v>
      </c>
      <c r="B1183">
        <v>19.8</v>
      </c>
      <c r="C1183">
        <v>0.3</v>
      </c>
    </row>
    <row r="1184" spans="1:3" ht="15" customHeight="1" x14ac:dyDescent="0.25">
      <c r="A1184" t="s">
        <v>3520</v>
      </c>
      <c r="B1184">
        <v>19.8</v>
      </c>
      <c r="C1184">
        <v>0.3</v>
      </c>
    </row>
    <row r="1185" spans="1:3" ht="15" customHeight="1" x14ac:dyDescent="0.25">
      <c r="A1185" t="s">
        <v>3521</v>
      </c>
      <c r="B1185">
        <v>19.8</v>
      </c>
      <c r="C1185">
        <v>0.3</v>
      </c>
    </row>
    <row r="1186" spans="1:3" ht="15" customHeight="1" x14ac:dyDescent="0.25">
      <c r="A1186" t="s">
        <v>3522</v>
      </c>
      <c r="B1186">
        <v>19.8</v>
      </c>
      <c r="C1186">
        <v>0.3</v>
      </c>
    </row>
    <row r="1187" spans="1:3" ht="15" customHeight="1" x14ac:dyDescent="0.25">
      <c r="A1187" t="s">
        <v>3523</v>
      </c>
      <c r="B1187">
        <v>19.8</v>
      </c>
      <c r="C1187">
        <v>0.3</v>
      </c>
    </row>
    <row r="1188" spans="1:3" ht="15" customHeight="1" x14ac:dyDescent="0.25">
      <c r="A1188" t="s">
        <v>3524</v>
      </c>
      <c r="B1188">
        <v>19.8</v>
      </c>
      <c r="C1188">
        <v>0.3</v>
      </c>
    </row>
    <row r="1189" spans="1:3" ht="15" customHeight="1" x14ac:dyDescent="0.25">
      <c r="A1189" t="s">
        <v>3525</v>
      </c>
      <c r="B1189">
        <v>19.8</v>
      </c>
      <c r="C1189">
        <v>0.3</v>
      </c>
    </row>
    <row r="1190" spans="1:3" ht="15" customHeight="1" x14ac:dyDescent="0.25">
      <c r="A1190" t="s">
        <v>3526</v>
      </c>
      <c r="B1190">
        <v>19.8</v>
      </c>
      <c r="C1190">
        <v>0.3</v>
      </c>
    </row>
    <row r="1191" spans="1:3" ht="15" customHeight="1" x14ac:dyDescent="0.25">
      <c r="A1191" t="s">
        <v>3527</v>
      </c>
      <c r="B1191">
        <v>19.8</v>
      </c>
      <c r="C1191">
        <v>0.3</v>
      </c>
    </row>
    <row r="1192" spans="1:3" ht="15" customHeight="1" x14ac:dyDescent="0.25">
      <c r="A1192" t="s">
        <v>3528</v>
      </c>
      <c r="B1192">
        <v>19.8</v>
      </c>
      <c r="C1192">
        <v>0.3</v>
      </c>
    </row>
    <row r="1193" spans="1:3" ht="15" customHeight="1" x14ac:dyDescent="0.25">
      <c r="A1193" t="s">
        <v>3529</v>
      </c>
      <c r="B1193">
        <v>19.8</v>
      </c>
      <c r="C1193">
        <v>0.3</v>
      </c>
    </row>
    <row r="1194" spans="1:3" ht="15" customHeight="1" x14ac:dyDescent="0.25">
      <c r="A1194" t="s">
        <v>3530</v>
      </c>
      <c r="B1194">
        <v>19.8</v>
      </c>
      <c r="C1194">
        <v>0.3</v>
      </c>
    </row>
    <row r="1195" spans="1:3" ht="15" customHeight="1" x14ac:dyDescent="0.25">
      <c r="A1195" t="s">
        <v>3531</v>
      </c>
      <c r="B1195">
        <v>19.8</v>
      </c>
      <c r="C1195">
        <v>0.3</v>
      </c>
    </row>
    <row r="1196" spans="1:3" ht="15" customHeight="1" x14ac:dyDescent="0.25">
      <c r="A1196" t="s">
        <v>3532</v>
      </c>
      <c r="B1196">
        <v>19.8</v>
      </c>
      <c r="C1196">
        <v>0.3</v>
      </c>
    </row>
    <row r="1197" spans="1:3" ht="15" customHeight="1" x14ac:dyDescent="0.25">
      <c r="A1197" t="s">
        <v>3533</v>
      </c>
      <c r="B1197">
        <v>19.8</v>
      </c>
      <c r="C1197">
        <v>0.3</v>
      </c>
    </row>
    <row r="1198" spans="1:3" ht="15" customHeight="1" x14ac:dyDescent="0.25">
      <c r="A1198" t="s">
        <v>3534</v>
      </c>
      <c r="B1198">
        <v>19.8</v>
      </c>
      <c r="C1198">
        <v>0.3</v>
      </c>
    </row>
    <row r="1199" spans="1:3" ht="15" customHeight="1" x14ac:dyDescent="0.25">
      <c r="A1199" t="s">
        <v>3535</v>
      </c>
      <c r="B1199">
        <v>19.8</v>
      </c>
      <c r="C1199">
        <v>0.3</v>
      </c>
    </row>
    <row r="1200" spans="1:3" ht="15" customHeight="1" x14ac:dyDescent="0.25">
      <c r="A1200" t="s">
        <v>3536</v>
      </c>
      <c r="B1200">
        <v>19.8</v>
      </c>
      <c r="C1200">
        <v>0.3</v>
      </c>
    </row>
    <row r="1201" spans="1:3" ht="15" customHeight="1" x14ac:dyDescent="0.25">
      <c r="A1201" t="s">
        <v>3537</v>
      </c>
      <c r="B1201">
        <v>19.8</v>
      </c>
      <c r="C1201">
        <v>0.3</v>
      </c>
    </row>
    <row r="1202" spans="1:3" ht="15" customHeight="1" x14ac:dyDescent="0.25">
      <c r="A1202" t="s">
        <v>3538</v>
      </c>
      <c r="B1202">
        <v>19.8</v>
      </c>
      <c r="C1202">
        <v>0.3</v>
      </c>
    </row>
    <row r="1203" spans="1:3" ht="15" customHeight="1" x14ac:dyDescent="0.25">
      <c r="A1203" t="s">
        <v>3539</v>
      </c>
      <c r="B1203">
        <v>19.8</v>
      </c>
      <c r="C1203">
        <v>0.3</v>
      </c>
    </row>
    <row r="1204" spans="1:3" ht="15" customHeight="1" x14ac:dyDescent="0.25">
      <c r="A1204" t="s">
        <v>3540</v>
      </c>
      <c r="B1204">
        <v>19.8</v>
      </c>
      <c r="C1204">
        <v>0.3</v>
      </c>
    </row>
    <row r="1205" spans="1:3" ht="15" customHeight="1" x14ac:dyDescent="0.25">
      <c r="A1205" t="s">
        <v>3541</v>
      </c>
      <c r="B1205">
        <v>19.8</v>
      </c>
      <c r="C1205">
        <v>0.3</v>
      </c>
    </row>
    <row r="1206" spans="1:3" ht="15" customHeight="1" x14ac:dyDescent="0.25">
      <c r="A1206" t="s">
        <v>3542</v>
      </c>
      <c r="B1206">
        <v>23.3</v>
      </c>
      <c r="C1206">
        <v>0.3</v>
      </c>
    </row>
    <row r="1207" spans="1:3" ht="15" customHeight="1" x14ac:dyDescent="0.25">
      <c r="A1207" t="s">
        <v>3543</v>
      </c>
      <c r="B1207">
        <v>23.3</v>
      </c>
      <c r="C1207">
        <v>0.3</v>
      </c>
    </row>
    <row r="1208" spans="1:3" ht="15" customHeight="1" x14ac:dyDescent="0.25">
      <c r="A1208" t="s">
        <v>3544</v>
      </c>
      <c r="B1208">
        <v>23.3</v>
      </c>
      <c r="C1208">
        <v>0.3</v>
      </c>
    </row>
    <row r="1209" spans="1:3" ht="15" customHeight="1" x14ac:dyDescent="0.25">
      <c r="A1209" t="s">
        <v>3545</v>
      </c>
      <c r="B1209">
        <v>23.3</v>
      </c>
      <c r="C1209">
        <v>0.3</v>
      </c>
    </row>
    <row r="1210" spans="1:3" ht="15" customHeight="1" x14ac:dyDescent="0.25">
      <c r="A1210" t="s">
        <v>3546</v>
      </c>
      <c r="B1210">
        <v>23.3</v>
      </c>
      <c r="C1210">
        <v>0.3</v>
      </c>
    </row>
    <row r="1211" spans="1:3" ht="15" customHeight="1" x14ac:dyDescent="0.25">
      <c r="A1211" t="s">
        <v>3547</v>
      </c>
      <c r="B1211">
        <v>23.3</v>
      </c>
      <c r="C1211">
        <v>0.3</v>
      </c>
    </row>
    <row r="1212" spans="1:3" ht="15" customHeight="1" x14ac:dyDescent="0.25">
      <c r="A1212" t="s">
        <v>3548</v>
      </c>
      <c r="B1212">
        <v>23.3</v>
      </c>
      <c r="C1212">
        <v>0.3</v>
      </c>
    </row>
    <row r="1213" spans="1:3" ht="15" customHeight="1" x14ac:dyDescent="0.25">
      <c r="A1213" t="s">
        <v>3549</v>
      </c>
      <c r="B1213">
        <v>23.3</v>
      </c>
      <c r="C1213">
        <v>0.3</v>
      </c>
    </row>
    <row r="1214" spans="1:3" ht="15" customHeight="1" x14ac:dyDescent="0.25">
      <c r="A1214" t="s">
        <v>3550</v>
      </c>
      <c r="B1214">
        <v>23.3</v>
      </c>
      <c r="C1214">
        <v>0.3</v>
      </c>
    </row>
    <row r="1215" spans="1:3" ht="15" customHeight="1" x14ac:dyDescent="0.25">
      <c r="A1215" t="s">
        <v>3551</v>
      </c>
      <c r="B1215">
        <v>23.3</v>
      </c>
      <c r="C1215">
        <v>0.3</v>
      </c>
    </row>
    <row r="1216" spans="1:3" ht="15" customHeight="1" x14ac:dyDescent="0.25">
      <c r="A1216" t="s">
        <v>3552</v>
      </c>
      <c r="B1216">
        <v>23.3</v>
      </c>
      <c r="C1216">
        <v>0.3</v>
      </c>
    </row>
    <row r="1217" spans="1:3" ht="15" customHeight="1" x14ac:dyDescent="0.25">
      <c r="A1217" t="s">
        <v>3553</v>
      </c>
      <c r="B1217">
        <v>23.3</v>
      </c>
      <c r="C1217">
        <v>0.3</v>
      </c>
    </row>
    <row r="1218" spans="1:3" ht="15" customHeight="1" x14ac:dyDescent="0.25">
      <c r="A1218" t="s">
        <v>3554</v>
      </c>
      <c r="B1218">
        <v>19.399999999999999</v>
      </c>
      <c r="C1218">
        <v>0.3</v>
      </c>
    </row>
    <row r="1219" spans="1:3" ht="15" customHeight="1" x14ac:dyDescent="0.25">
      <c r="A1219" t="s">
        <v>3555</v>
      </c>
      <c r="B1219">
        <v>19.399999999999999</v>
      </c>
      <c r="C1219">
        <v>0.3</v>
      </c>
    </row>
    <row r="1220" spans="1:3" ht="15" customHeight="1" x14ac:dyDescent="0.25">
      <c r="A1220" t="s">
        <v>3556</v>
      </c>
      <c r="B1220">
        <v>19.399999999999999</v>
      </c>
      <c r="C1220">
        <v>0.3</v>
      </c>
    </row>
    <row r="1221" spans="1:3" ht="15" customHeight="1" x14ac:dyDescent="0.25">
      <c r="A1221" t="s">
        <v>3557</v>
      </c>
      <c r="B1221">
        <v>19.399999999999999</v>
      </c>
      <c r="C1221">
        <v>0.3</v>
      </c>
    </row>
    <row r="1222" spans="1:3" ht="15" customHeight="1" x14ac:dyDescent="0.25">
      <c r="A1222" t="s">
        <v>3558</v>
      </c>
      <c r="B1222">
        <v>19.399999999999999</v>
      </c>
      <c r="C1222">
        <v>0.3</v>
      </c>
    </row>
    <row r="1223" spans="1:3" ht="15" customHeight="1" x14ac:dyDescent="0.25">
      <c r="A1223" t="s">
        <v>3559</v>
      </c>
      <c r="B1223">
        <v>19.399999999999999</v>
      </c>
      <c r="C1223">
        <v>0.3</v>
      </c>
    </row>
    <row r="1224" spans="1:3" ht="15" customHeight="1" x14ac:dyDescent="0.25">
      <c r="A1224" t="s">
        <v>3560</v>
      </c>
      <c r="B1224">
        <v>19.399999999999999</v>
      </c>
      <c r="C1224">
        <v>0.3</v>
      </c>
    </row>
    <row r="1225" spans="1:3" ht="15" customHeight="1" x14ac:dyDescent="0.25">
      <c r="A1225" t="s">
        <v>3561</v>
      </c>
      <c r="B1225">
        <v>19.399999999999999</v>
      </c>
      <c r="C1225">
        <v>0.1</v>
      </c>
    </row>
    <row r="1226" spans="1:3" ht="15" customHeight="1" x14ac:dyDescent="0.25">
      <c r="A1226" t="s">
        <v>3562</v>
      </c>
      <c r="B1226">
        <v>19.399999999999999</v>
      </c>
      <c r="C1226">
        <v>0.1</v>
      </c>
    </row>
    <row r="1227" spans="1:3" ht="15" customHeight="1" x14ac:dyDescent="0.25">
      <c r="A1227" t="s">
        <v>3563</v>
      </c>
      <c r="B1227">
        <v>19.399999999999999</v>
      </c>
      <c r="C1227">
        <v>0.1</v>
      </c>
    </row>
    <row r="1228" spans="1:3" ht="15" customHeight="1" x14ac:dyDescent="0.25">
      <c r="A1228" t="s">
        <v>3564</v>
      </c>
      <c r="B1228">
        <v>19.399999999999999</v>
      </c>
      <c r="C1228">
        <v>0.3</v>
      </c>
    </row>
    <row r="1229" spans="1:3" ht="15" customHeight="1" x14ac:dyDescent="0.25">
      <c r="A1229" t="s">
        <v>3565</v>
      </c>
      <c r="B1229">
        <v>19.399999999999999</v>
      </c>
      <c r="C1229">
        <v>0.3</v>
      </c>
    </row>
    <row r="1230" spans="1:3" ht="15" customHeight="1" x14ac:dyDescent="0.25">
      <c r="A1230" t="s">
        <v>3566</v>
      </c>
      <c r="B1230">
        <v>19.399999999999999</v>
      </c>
      <c r="C1230">
        <v>0.05</v>
      </c>
    </row>
    <row r="1231" spans="1:3" ht="15" customHeight="1" x14ac:dyDescent="0.25">
      <c r="A1231" t="s">
        <v>3567</v>
      </c>
      <c r="B1231">
        <v>19.399999999999999</v>
      </c>
      <c r="C1231">
        <v>0.05</v>
      </c>
    </row>
    <row r="1232" spans="1:3" ht="15" customHeight="1" x14ac:dyDescent="0.25">
      <c r="A1232" t="s">
        <v>3568</v>
      </c>
      <c r="B1232">
        <v>19.399999999999999</v>
      </c>
      <c r="C1232">
        <v>0.05</v>
      </c>
    </row>
    <row r="1233" spans="1:3" ht="15" customHeight="1" x14ac:dyDescent="0.25">
      <c r="A1233" t="s">
        <v>3569</v>
      </c>
      <c r="B1233">
        <v>19.399999999999999</v>
      </c>
      <c r="C1233">
        <v>0.3</v>
      </c>
    </row>
    <row r="1234" spans="1:3" ht="15" customHeight="1" x14ac:dyDescent="0.25">
      <c r="A1234" t="s">
        <v>3570</v>
      </c>
      <c r="B1234">
        <v>19.399999999999999</v>
      </c>
      <c r="C1234">
        <v>0.3</v>
      </c>
    </row>
    <row r="1235" spans="1:3" ht="15" customHeight="1" x14ac:dyDescent="0.25">
      <c r="A1235" t="s">
        <v>3571</v>
      </c>
      <c r="B1235">
        <v>19.399999999999999</v>
      </c>
      <c r="C1235">
        <v>0.1</v>
      </c>
    </row>
    <row r="1236" spans="1:3" ht="15" customHeight="1" x14ac:dyDescent="0.25">
      <c r="A1236" t="s">
        <v>3572</v>
      </c>
      <c r="B1236">
        <v>19.399999999999999</v>
      </c>
      <c r="C1236">
        <v>0.3</v>
      </c>
    </row>
    <row r="1237" spans="1:3" ht="15" customHeight="1" x14ac:dyDescent="0.25">
      <c r="A1237" t="s">
        <v>3573</v>
      </c>
      <c r="B1237">
        <v>19.399999999999999</v>
      </c>
      <c r="C1237">
        <v>0.3</v>
      </c>
    </row>
    <row r="1238" spans="1:3" ht="15" customHeight="1" x14ac:dyDescent="0.25">
      <c r="A1238" t="s">
        <v>3574</v>
      </c>
      <c r="B1238">
        <v>19.399999999999999</v>
      </c>
      <c r="C1238">
        <v>0.3</v>
      </c>
    </row>
    <row r="1239" spans="1:3" ht="15" customHeight="1" x14ac:dyDescent="0.25">
      <c r="A1239" t="s">
        <v>3575</v>
      </c>
      <c r="B1239">
        <v>19.399999999999999</v>
      </c>
      <c r="C1239">
        <v>0.1</v>
      </c>
    </row>
    <row r="1240" spans="1:3" ht="15" customHeight="1" x14ac:dyDescent="0.25">
      <c r="A1240" t="s">
        <v>3576</v>
      </c>
      <c r="B1240">
        <v>19.399999999999999</v>
      </c>
      <c r="C1240">
        <v>0.05</v>
      </c>
    </row>
    <row r="1241" spans="1:3" ht="15" customHeight="1" x14ac:dyDescent="0.25">
      <c r="A1241" t="s">
        <v>3577</v>
      </c>
      <c r="B1241">
        <v>19.399999999999999</v>
      </c>
      <c r="C1241">
        <v>0.05</v>
      </c>
    </row>
    <row r="1242" spans="1:3" ht="15" customHeight="1" x14ac:dyDescent="0.25">
      <c r="A1242" t="s">
        <v>3578</v>
      </c>
      <c r="B1242">
        <v>19.399999999999999</v>
      </c>
      <c r="C1242">
        <v>0.05</v>
      </c>
    </row>
    <row r="1243" spans="1:3" ht="15" customHeight="1" x14ac:dyDescent="0.25">
      <c r="A1243" t="s">
        <v>3579</v>
      </c>
      <c r="B1243">
        <v>19.399999999999999</v>
      </c>
      <c r="C1243">
        <v>0.1</v>
      </c>
    </row>
    <row r="1244" spans="1:3" ht="15" customHeight="1" x14ac:dyDescent="0.25">
      <c r="A1244" t="s">
        <v>3580</v>
      </c>
      <c r="B1244">
        <v>19.399999999999999</v>
      </c>
      <c r="C1244">
        <v>0.1</v>
      </c>
    </row>
    <row r="1245" spans="1:3" ht="15" customHeight="1" x14ac:dyDescent="0.25">
      <c r="A1245" t="s">
        <v>3581</v>
      </c>
      <c r="B1245">
        <v>19.2</v>
      </c>
      <c r="C1245">
        <v>0.05</v>
      </c>
    </row>
    <row r="1246" spans="1:3" ht="15" customHeight="1" x14ac:dyDescent="0.25">
      <c r="A1246" t="s">
        <v>3582</v>
      </c>
      <c r="B1246">
        <v>19.2</v>
      </c>
      <c r="C1246">
        <v>0.05</v>
      </c>
    </row>
    <row r="1247" spans="1:3" ht="15" customHeight="1" x14ac:dyDescent="0.25">
      <c r="A1247" t="s">
        <v>3583</v>
      </c>
      <c r="B1247">
        <v>19.2</v>
      </c>
      <c r="C1247">
        <v>0.05</v>
      </c>
    </row>
    <row r="1248" spans="1:3" ht="15" customHeight="1" x14ac:dyDescent="0.25">
      <c r="A1248" t="s">
        <v>3584</v>
      </c>
      <c r="B1248">
        <v>19.2</v>
      </c>
      <c r="C1248">
        <v>0.05</v>
      </c>
    </row>
    <row r="1249" spans="1:3" ht="15" customHeight="1" x14ac:dyDescent="0.25">
      <c r="A1249" t="s">
        <v>3585</v>
      </c>
      <c r="B1249">
        <v>23.3</v>
      </c>
      <c r="C1249">
        <v>0.3</v>
      </c>
    </row>
    <row r="1250" spans="1:3" ht="15" customHeight="1" x14ac:dyDescent="0.25">
      <c r="A1250" t="s">
        <v>3586</v>
      </c>
      <c r="B1250">
        <v>23.3</v>
      </c>
      <c r="C1250">
        <v>0.3</v>
      </c>
    </row>
    <row r="1251" spans="1:3" ht="15" customHeight="1" x14ac:dyDescent="0.25">
      <c r="A1251" t="s">
        <v>3587</v>
      </c>
      <c r="B1251">
        <v>23.3</v>
      </c>
      <c r="C1251">
        <v>0.3</v>
      </c>
    </row>
    <row r="1252" spans="1:3" ht="15" customHeight="1" x14ac:dyDescent="0.25">
      <c r="A1252" t="s">
        <v>3588</v>
      </c>
      <c r="B1252">
        <v>23.3</v>
      </c>
      <c r="C1252">
        <v>0.3</v>
      </c>
    </row>
    <row r="1253" spans="1:3" ht="15" customHeight="1" x14ac:dyDescent="0.25">
      <c r="A1253" t="s">
        <v>3589</v>
      </c>
      <c r="B1253">
        <v>23.3</v>
      </c>
      <c r="C1253">
        <v>0.3</v>
      </c>
    </row>
    <row r="1254" spans="1:3" ht="15" customHeight="1" x14ac:dyDescent="0.25">
      <c r="A1254" t="s">
        <v>3590</v>
      </c>
      <c r="B1254">
        <v>23.3</v>
      </c>
      <c r="C1254">
        <v>0.3</v>
      </c>
    </row>
    <row r="1255" spans="1:3" ht="15" customHeight="1" x14ac:dyDescent="0.25">
      <c r="A1255" t="s">
        <v>3591</v>
      </c>
      <c r="B1255">
        <v>23.3</v>
      </c>
      <c r="C1255">
        <v>0.3</v>
      </c>
    </row>
    <row r="1256" spans="1:3" ht="15" customHeight="1" x14ac:dyDescent="0.25">
      <c r="A1256" t="s">
        <v>3592</v>
      </c>
      <c r="B1256">
        <v>23.3</v>
      </c>
      <c r="C1256">
        <v>0.3</v>
      </c>
    </row>
    <row r="1257" spans="1:3" ht="15" customHeight="1" x14ac:dyDescent="0.25">
      <c r="A1257" t="s">
        <v>3593</v>
      </c>
      <c r="B1257">
        <v>23.3</v>
      </c>
      <c r="C1257">
        <v>0.3</v>
      </c>
    </row>
    <row r="1258" spans="1:3" ht="15" customHeight="1" x14ac:dyDescent="0.25">
      <c r="A1258" t="s">
        <v>3594</v>
      </c>
      <c r="B1258">
        <v>23.3</v>
      </c>
      <c r="C1258">
        <v>0.3</v>
      </c>
    </row>
    <row r="1259" spans="1:3" ht="15" customHeight="1" x14ac:dyDescent="0.25">
      <c r="A1259" t="s">
        <v>3595</v>
      </c>
      <c r="B1259">
        <v>23.3</v>
      </c>
      <c r="C1259">
        <v>0.3</v>
      </c>
    </row>
    <row r="1260" spans="1:3" ht="15" customHeight="1" x14ac:dyDescent="0.25">
      <c r="A1260" t="s">
        <v>3596</v>
      </c>
      <c r="B1260">
        <v>23.3</v>
      </c>
      <c r="C1260">
        <v>0.3</v>
      </c>
    </row>
    <row r="1261" spans="1:3" ht="15" customHeight="1" x14ac:dyDescent="0.25">
      <c r="A1261" t="s">
        <v>3597</v>
      </c>
      <c r="B1261">
        <v>23.3</v>
      </c>
      <c r="C1261">
        <v>0.3</v>
      </c>
    </row>
    <row r="1262" spans="1:3" ht="15" customHeight="1" x14ac:dyDescent="0.25">
      <c r="A1262" t="s">
        <v>3598</v>
      </c>
      <c r="B1262">
        <v>23.3</v>
      </c>
      <c r="C1262">
        <v>0.3</v>
      </c>
    </row>
    <row r="1263" spans="1:3" ht="15" customHeight="1" x14ac:dyDescent="0.25">
      <c r="A1263" t="s">
        <v>3599</v>
      </c>
      <c r="B1263">
        <v>23.3</v>
      </c>
      <c r="C1263">
        <v>0.3</v>
      </c>
    </row>
    <row r="1264" spans="1:3" ht="15" customHeight="1" x14ac:dyDescent="0.25">
      <c r="A1264" t="s">
        <v>3600</v>
      </c>
      <c r="B1264">
        <v>23.3</v>
      </c>
      <c r="C1264">
        <v>0.3</v>
      </c>
    </row>
    <row r="1265" spans="1:3" ht="15" customHeight="1" x14ac:dyDescent="0.25">
      <c r="A1265" t="s">
        <v>3601</v>
      </c>
      <c r="B1265">
        <v>23.3</v>
      </c>
      <c r="C1265">
        <v>0.3</v>
      </c>
    </row>
    <row r="1266" spans="1:3" ht="15" customHeight="1" x14ac:dyDescent="0.25">
      <c r="A1266" t="s">
        <v>3602</v>
      </c>
      <c r="B1266">
        <v>23.3</v>
      </c>
      <c r="C1266">
        <v>0.3</v>
      </c>
    </row>
    <row r="1267" spans="1:3" ht="15" customHeight="1" x14ac:dyDescent="0.25">
      <c r="A1267" t="s">
        <v>3603</v>
      </c>
      <c r="B1267">
        <v>23.3</v>
      </c>
      <c r="C1267">
        <v>0.3</v>
      </c>
    </row>
    <row r="1268" spans="1:3" ht="15" customHeight="1" x14ac:dyDescent="0.25">
      <c r="A1268" t="s">
        <v>3604</v>
      </c>
      <c r="B1268">
        <v>23.3</v>
      </c>
      <c r="C1268">
        <v>0.3</v>
      </c>
    </row>
    <row r="1269" spans="1:3" ht="15" customHeight="1" x14ac:dyDescent="0.25">
      <c r="A1269" t="s">
        <v>3605</v>
      </c>
      <c r="B1269">
        <v>23.3</v>
      </c>
      <c r="C1269">
        <v>0.3</v>
      </c>
    </row>
    <row r="1270" spans="1:3" ht="15" customHeight="1" x14ac:dyDescent="0.25">
      <c r="A1270" t="s">
        <v>3606</v>
      </c>
      <c r="B1270">
        <v>23.3</v>
      </c>
      <c r="C1270">
        <v>0.3</v>
      </c>
    </row>
    <row r="1271" spans="1:3" ht="15" customHeight="1" x14ac:dyDescent="0.25">
      <c r="A1271" t="s">
        <v>3607</v>
      </c>
      <c r="B1271">
        <v>23.3</v>
      </c>
      <c r="C1271">
        <v>0.3</v>
      </c>
    </row>
    <row r="1272" spans="1:3" ht="15" customHeight="1" x14ac:dyDescent="0.25">
      <c r="A1272" t="s">
        <v>3608</v>
      </c>
      <c r="B1272">
        <v>23.3</v>
      </c>
      <c r="C1272">
        <v>0.3</v>
      </c>
    </row>
    <row r="1273" spans="1:3" ht="15" customHeight="1" x14ac:dyDescent="0.25">
      <c r="A1273" t="s">
        <v>3609</v>
      </c>
      <c r="B1273">
        <v>16.3</v>
      </c>
      <c r="C1273">
        <v>0.3</v>
      </c>
    </row>
    <row r="1274" spans="1:3" ht="15" customHeight="1" x14ac:dyDescent="0.25">
      <c r="A1274" t="s">
        <v>3610</v>
      </c>
      <c r="B1274">
        <v>16.3</v>
      </c>
      <c r="C1274">
        <v>0.3</v>
      </c>
    </row>
    <row r="1275" spans="1:3" ht="15" customHeight="1" x14ac:dyDescent="0.25">
      <c r="A1275" t="s">
        <v>3611</v>
      </c>
      <c r="B1275">
        <v>16.3</v>
      </c>
      <c r="C1275">
        <v>0.3</v>
      </c>
    </row>
    <row r="1276" spans="1:3" ht="15" customHeight="1" x14ac:dyDescent="0.25">
      <c r="A1276" t="s">
        <v>3612</v>
      </c>
      <c r="B1276">
        <v>16.3</v>
      </c>
      <c r="C1276">
        <v>0.3</v>
      </c>
    </row>
    <row r="1277" spans="1:3" ht="15" customHeight="1" x14ac:dyDescent="0.25">
      <c r="A1277" t="s">
        <v>3613</v>
      </c>
      <c r="B1277">
        <v>16.3</v>
      </c>
      <c r="C1277">
        <v>0.3</v>
      </c>
    </row>
    <row r="1278" spans="1:3" ht="15" customHeight="1" x14ac:dyDescent="0.25">
      <c r="A1278" t="s">
        <v>3614</v>
      </c>
      <c r="B1278">
        <v>16.3</v>
      </c>
      <c r="C1278">
        <v>0.3</v>
      </c>
    </row>
    <row r="1279" spans="1:3" ht="15" customHeight="1" x14ac:dyDescent="0.25">
      <c r="A1279" t="s">
        <v>3615</v>
      </c>
      <c r="B1279">
        <v>16.3</v>
      </c>
      <c r="C1279">
        <v>0.3</v>
      </c>
    </row>
    <row r="1280" spans="1:3" ht="15" customHeight="1" x14ac:dyDescent="0.25">
      <c r="A1280" t="s">
        <v>3616</v>
      </c>
      <c r="B1280">
        <v>16.3</v>
      </c>
      <c r="C1280">
        <v>0.3</v>
      </c>
    </row>
    <row r="1281" spans="1:3" ht="15" customHeight="1" x14ac:dyDescent="0.25">
      <c r="A1281" t="s">
        <v>3617</v>
      </c>
      <c r="B1281">
        <v>20.8</v>
      </c>
      <c r="C1281">
        <v>0.1</v>
      </c>
    </row>
    <row r="1282" spans="1:3" ht="15" customHeight="1" x14ac:dyDescent="0.25">
      <c r="A1282" t="s">
        <v>3618</v>
      </c>
      <c r="B1282">
        <v>20.8</v>
      </c>
      <c r="C1282">
        <v>0.1</v>
      </c>
    </row>
    <row r="1283" spans="1:3" ht="15" customHeight="1" x14ac:dyDescent="0.25">
      <c r="A1283" t="s">
        <v>3619</v>
      </c>
      <c r="B1283">
        <v>20.8</v>
      </c>
      <c r="C1283">
        <v>0.1</v>
      </c>
    </row>
    <row r="1284" spans="1:3" ht="15" customHeight="1" x14ac:dyDescent="0.25">
      <c r="A1284" t="s">
        <v>3620</v>
      </c>
      <c r="B1284">
        <v>20.8</v>
      </c>
      <c r="C1284">
        <v>0.1</v>
      </c>
    </row>
    <row r="1285" spans="1:3" ht="15" customHeight="1" x14ac:dyDescent="0.25">
      <c r="A1285" t="s">
        <v>3621</v>
      </c>
      <c r="B1285">
        <v>20.8</v>
      </c>
      <c r="C1285">
        <v>0.1</v>
      </c>
    </row>
    <row r="1286" spans="1:3" ht="15" customHeight="1" x14ac:dyDescent="0.25">
      <c r="A1286" t="s">
        <v>3622</v>
      </c>
      <c r="B1286">
        <v>20.8</v>
      </c>
      <c r="C1286">
        <v>0.1</v>
      </c>
    </row>
    <row r="1287" spans="1:3" ht="15" customHeight="1" x14ac:dyDescent="0.25">
      <c r="A1287" t="s">
        <v>3623</v>
      </c>
      <c r="B1287">
        <v>20.8</v>
      </c>
      <c r="C1287">
        <v>0.1</v>
      </c>
    </row>
    <row r="1288" spans="1:3" ht="15" customHeight="1" x14ac:dyDescent="0.25">
      <c r="A1288" t="s">
        <v>3624</v>
      </c>
      <c r="B1288">
        <v>20.8</v>
      </c>
      <c r="C1288">
        <v>0.1</v>
      </c>
    </row>
    <row r="1289" spans="1:3" ht="15" customHeight="1" x14ac:dyDescent="0.25">
      <c r="A1289" t="s">
        <v>3625</v>
      </c>
      <c r="B1289">
        <v>20.3</v>
      </c>
      <c r="C1289">
        <v>0.06</v>
      </c>
    </row>
    <row r="1290" spans="1:3" ht="15" customHeight="1" x14ac:dyDescent="0.25">
      <c r="A1290" t="s">
        <v>3626</v>
      </c>
      <c r="B1290">
        <v>20.3</v>
      </c>
      <c r="C1290">
        <v>0.06</v>
      </c>
    </row>
    <row r="1291" spans="1:3" ht="15" customHeight="1" x14ac:dyDescent="0.25">
      <c r="A1291" t="s">
        <v>3627</v>
      </c>
      <c r="B1291">
        <v>20.3</v>
      </c>
      <c r="C1291">
        <v>0.06</v>
      </c>
    </row>
    <row r="1292" spans="1:3" ht="15" customHeight="1" x14ac:dyDescent="0.25">
      <c r="A1292" t="s">
        <v>3628</v>
      </c>
      <c r="B1292">
        <v>20.3</v>
      </c>
      <c r="C1292">
        <v>0.06</v>
      </c>
    </row>
    <row r="1293" spans="1:3" ht="15" customHeight="1" x14ac:dyDescent="0.25">
      <c r="A1293" t="s">
        <v>3629</v>
      </c>
      <c r="B1293">
        <v>20.3</v>
      </c>
      <c r="C1293">
        <v>0.06</v>
      </c>
    </row>
    <row r="1294" spans="1:3" ht="15" customHeight="1" x14ac:dyDescent="0.25">
      <c r="A1294" t="s">
        <v>3630</v>
      </c>
      <c r="B1294">
        <v>20.3</v>
      </c>
      <c r="C1294">
        <v>0.06</v>
      </c>
    </row>
    <row r="1295" spans="1:3" ht="15" customHeight="1" x14ac:dyDescent="0.25">
      <c r="A1295" t="s">
        <v>3631</v>
      </c>
      <c r="B1295">
        <v>20.3</v>
      </c>
      <c r="C1295">
        <v>0.06</v>
      </c>
    </row>
    <row r="1296" spans="1:3" ht="15" customHeight="1" x14ac:dyDescent="0.25">
      <c r="A1296" t="s">
        <v>3632</v>
      </c>
      <c r="B1296">
        <v>20.3</v>
      </c>
      <c r="C1296">
        <v>0.06</v>
      </c>
    </row>
    <row r="1297" spans="1:3" ht="15" customHeight="1" x14ac:dyDescent="0.25">
      <c r="A1297" t="s">
        <v>3633</v>
      </c>
      <c r="B1297">
        <v>20.3</v>
      </c>
      <c r="C1297">
        <v>0.06</v>
      </c>
    </row>
    <row r="1298" spans="1:3" ht="15" customHeight="1" x14ac:dyDescent="0.25">
      <c r="A1298" t="s">
        <v>3634</v>
      </c>
      <c r="B1298">
        <v>20.3</v>
      </c>
      <c r="C1298">
        <v>0.06</v>
      </c>
    </row>
    <row r="1299" spans="1:3" ht="15" customHeight="1" x14ac:dyDescent="0.25">
      <c r="A1299" t="s">
        <v>3635</v>
      </c>
      <c r="B1299">
        <v>20.3</v>
      </c>
      <c r="C1299">
        <v>0.06</v>
      </c>
    </row>
    <row r="1300" spans="1:3" ht="15" customHeight="1" x14ac:dyDescent="0.25">
      <c r="A1300" t="s">
        <v>3636</v>
      </c>
      <c r="B1300">
        <v>20.3</v>
      </c>
      <c r="C1300">
        <v>0.06</v>
      </c>
    </row>
    <row r="1301" spans="1:3" ht="15" customHeight="1" x14ac:dyDescent="0.25">
      <c r="A1301" t="s">
        <v>3637</v>
      </c>
      <c r="B1301">
        <v>20.6</v>
      </c>
      <c r="C1301">
        <v>0.06</v>
      </c>
    </row>
    <row r="1302" spans="1:3" ht="15" customHeight="1" x14ac:dyDescent="0.25">
      <c r="A1302" t="s">
        <v>3638</v>
      </c>
      <c r="B1302">
        <v>20.6</v>
      </c>
      <c r="C1302">
        <v>0.06</v>
      </c>
    </row>
    <row r="1303" spans="1:3" ht="15" customHeight="1" x14ac:dyDescent="0.25">
      <c r="A1303" t="s">
        <v>3639</v>
      </c>
      <c r="B1303">
        <v>20.6</v>
      </c>
      <c r="C1303">
        <v>0.06</v>
      </c>
    </row>
    <row r="1304" spans="1:3" ht="15" customHeight="1" x14ac:dyDescent="0.25">
      <c r="A1304" t="s">
        <v>3640</v>
      </c>
      <c r="B1304">
        <v>20.6</v>
      </c>
      <c r="C1304">
        <v>0.06</v>
      </c>
    </row>
    <row r="1305" spans="1:3" ht="15" customHeight="1" x14ac:dyDescent="0.25">
      <c r="A1305" t="s">
        <v>592</v>
      </c>
      <c r="B1305">
        <v>20.6</v>
      </c>
      <c r="C1305">
        <v>0.06</v>
      </c>
    </row>
    <row r="1306" spans="1:3" ht="15" customHeight="1" x14ac:dyDescent="0.25">
      <c r="A1306" t="s">
        <v>3641</v>
      </c>
      <c r="B1306">
        <v>20.6</v>
      </c>
      <c r="C1306">
        <v>0.06</v>
      </c>
    </row>
    <row r="1307" spans="1:3" ht="15" customHeight="1" x14ac:dyDescent="0.25">
      <c r="A1307" t="s">
        <v>3642</v>
      </c>
      <c r="B1307">
        <v>14.3</v>
      </c>
      <c r="C1307">
        <v>0.3</v>
      </c>
    </row>
    <row r="1308" spans="1:3" ht="15" customHeight="1" x14ac:dyDescent="0.25">
      <c r="A1308" t="s">
        <v>3643</v>
      </c>
      <c r="B1308">
        <v>14.3</v>
      </c>
      <c r="C1308">
        <v>0.3</v>
      </c>
    </row>
    <row r="1309" spans="1:3" ht="15" customHeight="1" x14ac:dyDescent="0.25">
      <c r="A1309" t="s">
        <v>3644</v>
      </c>
      <c r="B1309">
        <v>14.3</v>
      </c>
      <c r="C1309">
        <v>0.3</v>
      </c>
    </row>
    <row r="1310" spans="1:3" ht="15" customHeight="1" x14ac:dyDescent="0.25">
      <c r="A1310" t="s">
        <v>3645</v>
      </c>
      <c r="B1310">
        <v>14.3</v>
      </c>
      <c r="C1310">
        <v>0.3</v>
      </c>
    </row>
    <row r="1311" spans="1:3" ht="15" customHeight="1" x14ac:dyDescent="0.25">
      <c r="A1311" t="s">
        <v>3646</v>
      </c>
      <c r="B1311">
        <v>19.399999999999999</v>
      </c>
      <c r="C1311">
        <v>0.3</v>
      </c>
    </row>
    <row r="1312" spans="1:3" ht="15" customHeight="1" x14ac:dyDescent="0.25">
      <c r="A1312" t="s">
        <v>3647</v>
      </c>
      <c r="B1312">
        <v>19.399999999999999</v>
      </c>
      <c r="C1312">
        <v>0.3</v>
      </c>
    </row>
    <row r="1313" spans="1:3" ht="15" customHeight="1" x14ac:dyDescent="0.25">
      <c r="A1313" t="s">
        <v>3648</v>
      </c>
      <c r="B1313">
        <v>19.399999999999999</v>
      </c>
      <c r="C1313">
        <v>0.3</v>
      </c>
    </row>
    <row r="1314" spans="1:3" ht="15" customHeight="1" x14ac:dyDescent="0.25">
      <c r="A1314" t="s">
        <v>3649</v>
      </c>
      <c r="B1314">
        <v>19.399999999999999</v>
      </c>
      <c r="C1314">
        <v>0.3</v>
      </c>
    </row>
    <row r="1315" spans="1:3" ht="15" customHeight="1" x14ac:dyDescent="0.25">
      <c r="A1315" t="s">
        <v>3650</v>
      </c>
      <c r="B1315">
        <v>19.399999999999999</v>
      </c>
      <c r="C1315">
        <v>0.3</v>
      </c>
    </row>
    <row r="1316" spans="1:3" ht="15" customHeight="1" x14ac:dyDescent="0.25">
      <c r="A1316" t="s">
        <v>3651</v>
      </c>
      <c r="B1316">
        <v>19.399999999999999</v>
      </c>
      <c r="C1316">
        <v>0.3</v>
      </c>
    </row>
    <row r="1317" spans="1:3" ht="15" customHeight="1" x14ac:dyDescent="0.25">
      <c r="A1317" t="s">
        <v>3652</v>
      </c>
      <c r="B1317">
        <v>19.8</v>
      </c>
      <c r="C1317">
        <v>0.3</v>
      </c>
    </row>
    <row r="1318" spans="1:3" ht="15" customHeight="1" x14ac:dyDescent="0.25">
      <c r="A1318" t="s">
        <v>3653</v>
      </c>
      <c r="B1318">
        <v>19.8</v>
      </c>
      <c r="C1318">
        <v>0.3</v>
      </c>
    </row>
    <row r="1319" spans="1:3" ht="15" customHeight="1" x14ac:dyDescent="0.25">
      <c r="A1319" t="s">
        <v>3654</v>
      </c>
      <c r="B1319">
        <v>19.8</v>
      </c>
      <c r="C1319">
        <v>0.3</v>
      </c>
    </row>
    <row r="1320" spans="1:3" ht="15" customHeight="1" x14ac:dyDescent="0.25">
      <c r="A1320" t="s">
        <v>3655</v>
      </c>
      <c r="B1320">
        <v>19.8</v>
      </c>
      <c r="C1320">
        <v>0.3</v>
      </c>
    </row>
    <row r="1321" spans="1:3" ht="15" customHeight="1" x14ac:dyDescent="0.25">
      <c r="A1321" t="s">
        <v>3656</v>
      </c>
      <c r="B1321">
        <v>19.8</v>
      </c>
      <c r="C1321">
        <v>0.3</v>
      </c>
    </row>
    <row r="1322" spans="1:3" ht="15" customHeight="1" x14ac:dyDescent="0.25">
      <c r="A1322" t="s">
        <v>3657</v>
      </c>
      <c r="B1322">
        <v>19.8</v>
      </c>
      <c r="C1322">
        <v>0.3</v>
      </c>
    </row>
    <row r="1323" spans="1:3" ht="15" customHeight="1" x14ac:dyDescent="0.25">
      <c r="A1323" t="s">
        <v>3658</v>
      </c>
      <c r="B1323">
        <v>19.8</v>
      </c>
      <c r="C1323">
        <v>0.3</v>
      </c>
    </row>
    <row r="1324" spans="1:3" ht="15" customHeight="1" x14ac:dyDescent="0.25">
      <c r="A1324" t="s">
        <v>3659</v>
      </c>
      <c r="B1324">
        <v>19.8</v>
      </c>
      <c r="C1324">
        <v>0.3</v>
      </c>
    </row>
    <row r="1325" spans="1:3" ht="15" customHeight="1" x14ac:dyDescent="0.25">
      <c r="A1325" t="s">
        <v>3660</v>
      </c>
      <c r="B1325">
        <v>19.399999999999999</v>
      </c>
      <c r="C1325">
        <v>0.3</v>
      </c>
    </row>
    <row r="1326" spans="1:3" ht="15" customHeight="1" x14ac:dyDescent="0.25">
      <c r="A1326" t="s">
        <v>3661</v>
      </c>
      <c r="B1326">
        <v>19.399999999999999</v>
      </c>
      <c r="C1326">
        <v>0.3</v>
      </c>
    </row>
    <row r="1327" spans="1:3" ht="15" customHeight="1" x14ac:dyDescent="0.25">
      <c r="A1327" t="s">
        <v>3662</v>
      </c>
      <c r="B1327">
        <v>19.399999999999999</v>
      </c>
      <c r="C1327">
        <v>0.3</v>
      </c>
    </row>
    <row r="1328" spans="1:3" ht="15" customHeight="1" x14ac:dyDescent="0.25">
      <c r="A1328" t="s">
        <v>3663</v>
      </c>
      <c r="B1328">
        <v>19.399999999999999</v>
      </c>
      <c r="C1328">
        <v>0.3</v>
      </c>
    </row>
    <row r="1329" spans="1:3" ht="15" customHeight="1" x14ac:dyDescent="0.25">
      <c r="A1329" t="s">
        <v>3664</v>
      </c>
      <c r="B1329">
        <v>20.100000000000001</v>
      </c>
      <c r="C1329">
        <v>0.05</v>
      </c>
    </row>
    <row r="1330" spans="1:3" ht="15" customHeight="1" x14ac:dyDescent="0.25">
      <c r="A1330" t="s">
        <v>3665</v>
      </c>
      <c r="B1330">
        <v>20.100000000000001</v>
      </c>
      <c r="C1330">
        <v>0.1</v>
      </c>
    </row>
    <row r="1331" spans="1:3" ht="15" customHeight="1" x14ac:dyDescent="0.25">
      <c r="A1331" t="s">
        <v>3666</v>
      </c>
      <c r="B1331">
        <v>20.100000000000001</v>
      </c>
      <c r="C1331">
        <v>0.05</v>
      </c>
    </row>
    <row r="1332" spans="1:3" ht="15" customHeight="1" x14ac:dyDescent="0.25">
      <c r="A1332" t="s">
        <v>3667</v>
      </c>
      <c r="B1332">
        <v>19.399999999999999</v>
      </c>
      <c r="C1332">
        <v>0.05</v>
      </c>
    </row>
    <row r="1333" spans="1:3" ht="15" customHeight="1" x14ac:dyDescent="0.25">
      <c r="A1333" t="s">
        <v>3668</v>
      </c>
      <c r="B1333">
        <v>19.399999999999999</v>
      </c>
      <c r="C1333">
        <v>0.05</v>
      </c>
    </row>
    <row r="1334" spans="1:3" ht="15" customHeight="1" x14ac:dyDescent="0.25">
      <c r="A1334" t="s">
        <v>3669</v>
      </c>
      <c r="B1334">
        <v>19.399999999999999</v>
      </c>
      <c r="C1334">
        <v>0.05</v>
      </c>
    </row>
    <row r="1335" spans="1:3" ht="15" customHeight="1" x14ac:dyDescent="0.25">
      <c r="A1335" t="s">
        <v>3670</v>
      </c>
      <c r="B1335">
        <v>19.399999999999999</v>
      </c>
      <c r="C1335">
        <v>0.05</v>
      </c>
    </row>
    <row r="1336" spans="1:3" ht="15" customHeight="1" x14ac:dyDescent="0.25">
      <c r="A1336" t="s">
        <v>3671</v>
      </c>
      <c r="B1336">
        <v>19.399999999999999</v>
      </c>
      <c r="C1336">
        <v>0.1</v>
      </c>
    </row>
    <row r="1337" spans="1:3" ht="15" customHeight="1" x14ac:dyDescent="0.25">
      <c r="A1337" t="s">
        <v>3672</v>
      </c>
      <c r="B1337">
        <v>36.299999999999997</v>
      </c>
    </row>
    <row r="1338" spans="1:3" ht="15" customHeight="1" x14ac:dyDescent="0.25">
      <c r="A1338" t="s">
        <v>3673</v>
      </c>
      <c r="B1338">
        <v>36.299999999999997</v>
      </c>
    </row>
    <row r="1339" spans="1:3" ht="15" customHeight="1" x14ac:dyDescent="0.25">
      <c r="A1339" t="s">
        <v>3674</v>
      </c>
      <c r="B1339">
        <v>36.299999999999997</v>
      </c>
    </row>
    <row r="1340" spans="1:3" ht="15" customHeight="1" x14ac:dyDescent="0.25">
      <c r="A1340" t="s">
        <v>3675</v>
      </c>
      <c r="B1340">
        <v>36.299999999999997</v>
      </c>
    </row>
    <row r="1341" spans="1:3" ht="15" customHeight="1" x14ac:dyDescent="0.25">
      <c r="A1341" t="s">
        <v>3676</v>
      </c>
      <c r="B1341">
        <v>36.299999999999997</v>
      </c>
    </row>
    <row r="1342" spans="1:3" ht="15" customHeight="1" x14ac:dyDescent="0.25">
      <c r="A1342" t="s">
        <v>3677</v>
      </c>
      <c r="B1342">
        <v>14.3</v>
      </c>
      <c r="C1342">
        <v>0.05</v>
      </c>
    </row>
    <row r="1343" spans="1:3" ht="15" customHeight="1" x14ac:dyDescent="0.25">
      <c r="A1343" t="s">
        <v>3678</v>
      </c>
      <c r="B1343">
        <v>17.399999999999999</v>
      </c>
      <c r="C1343">
        <v>0.05</v>
      </c>
    </row>
    <row r="1344" spans="1:3" ht="15" customHeight="1" x14ac:dyDescent="0.25">
      <c r="A1344" t="s">
        <v>3679</v>
      </c>
      <c r="B1344">
        <v>39.700000000000003</v>
      </c>
      <c r="C1344">
        <v>0.05</v>
      </c>
    </row>
    <row r="1345" spans="1:3" ht="15" customHeight="1" x14ac:dyDescent="0.25">
      <c r="A1345" t="s">
        <v>694</v>
      </c>
      <c r="B1345">
        <v>39.700000000000003</v>
      </c>
      <c r="C1345">
        <v>0.05</v>
      </c>
    </row>
    <row r="1346" spans="1:3" ht="15" customHeight="1" x14ac:dyDescent="0.25">
      <c r="A1346" t="s">
        <v>3680</v>
      </c>
      <c r="B1346">
        <v>39.700000000000003</v>
      </c>
      <c r="C1346">
        <v>0.05</v>
      </c>
    </row>
    <row r="1347" spans="1:3" ht="15" customHeight="1" x14ac:dyDescent="0.25">
      <c r="A1347" t="s">
        <v>3681</v>
      </c>
      <c r="B1347">
        <v>17.399999999999999</v>
      </c>
      <c r="C1347">
        <v>0.3</v>
      </c>
    </row>
    <row r="1348" spans="1:3" ht="15" customHeight="1" x14ac:dyDescent="0.25">
      <c r="A1348" t="s">
        <v>3682</v>
      </c>
      <c r="B1348">
        <v>24.3</v>
      </c>
      <c r="C1348">
        <v>0.05</v>
      </c>
    </row>
    <row r="1349" spans="1:3" ht="15" customHeight="1" x14ac:dyDescent="0.25">
      <c r="A1349" t="s">
        <v>3683</v>
      </c>
      <c r="B1349">
        <v>25.6</v>
      </c>
      <c r="C1349">
        <v>0.15</v>
      </c>
    </row>
    <row r="1350" spans="1:3" ht="15" customHeight="1" x14ac:dyDescent="0.25">
      <c r="A1350" t="s">
        <v>3684</v>
      </c>
      <c r="B1350">
        <v>25.6</v>
      </c>
      <c r="C1350">
        <v>0.15</v>
      </c>
    </row>
    <row r="1351" spans="1:3" ht="15" customHeight="1" x14ac:dyDescent="0.25">
      <c r="A1351" t="s">
        <v>3685</v>
      </c>
      <c r="B1351">
        <v>25.6</v>
      </c>
      <c r="C1351">
        <v>0.15</v>
      </c>
    </row>
    <row r="1352" spans="1:3" ht="15" customHeight="1" x14ac:dyDescent="0.25">
      <c r="A1352" t="s">
        <v>3686</v>
      </c>
      <c r="B1352">
        <v>25.6</v>
      </c>
      <c r="C1352">
        <v>0.15</v>
      </c>
    </row>
    <row r="1353" spans="1:3" ht="15" customHeight="1" x14ac:dyDescent="0.25">
      <c r="A1353" t="s">
        <v>3687</v>
      </c>
      <c r="B1353">
        <v>25.6</v>
      </c>
      <c r="C1353">
        <v>0.15</v>
      </c>
    </row>
    <row r="1354" spans="1:3" ht="15" customHeight="1" x14ac:dyDescent="0.25">
      <c r="A1354" t="s">
        <v>3688</v>
      </c>
      <c r="B1354">
        <v>25.6</v>
      </c>
      <c r="C1354">
        <v>0.15</v>
      </c>
    </row>
    <row r="1355" spans="1:3" ht="15" customHeight="1" x14ac:dyDescent="0.25">
      <c r="A1355" t="s">
        <v>212</v>
      </c>
      <c r="B1355">
        <v>25.6</v>
      </c>
      <c r="C1355">
        <v>0.15</v>
      </c>
    </row>
    <row r="1356" spans="1:3" ht="15" customHeight="1" x14ac:dyDescent="0.25">
      <c r="A1356" t="s">
        <v>3689</v>
      </c>
      <c r="B1356">
        <v>25.6</v>
      </c>
      <c r="C1356">
        <v>0.15</v>
      </c>
    </row>
    <row r="1357" spans="1:3" ht="15" customHeight="1" x14ac:dyDescent="0.25">
      <c r="A1357" t="s">
        <v>3690</v>
      </c>
      <c r="B1357">
        <v>25.6</v>
      </c>
      <c r="C1357">
        <v>0.15</v>
      </c>
    </row>
    <row r="1358" spans="1:3" ht="15" customHeight="1" x14ac:dyDescent="0.25">
      <c r="A1358" t="s">
        <v>3691</v>
      </c>
      <c r="B1358">
        <v>25.6</v>
      </c>
      <c r="C1358">
        <v>0.15</v>
      </c>
    </row>
    <row r="1359" spans="1:3" ht="15" customHeight="1" x14ac:dyDescent="0.25">
      <c r="A1359" t="s">
        <v>3692</v>
      </c>
      <c r="B1359">
        <v>25.6</v>
      </c>
      <c r="C1359">
        <v>0.15</v>
      </c>
    </row>
    <row r="1360" spans="1:3" ht="15" customHeight="1" x14ac:dyDescent="0.25">
      <c r="A1360" t="s">
        <v>3693</v>
      </c>
      <c r="B1360">
        <v>25.6</v>
      </c>
      <c r="C1360">
        <v>0.15</v>
      </c>
    </row>
    <row r="1361" spans="1:3" ht="15" customHeight="1" x14ac:dyDescent="0.25">
      <c r="A1361" t="s">
        <v>3694</v>
      </c>
      <c r="B1361">
        <v>32.200000000000003</v>
      </c>
      <c r="C1361">
        <v>0.3</v>
      </c>
    </row>
    <row r="1362" spans="1:3" ht="15" customHeight="1" x14ac:dyDescent="0.25">
      <c r="A1362" t="s">
        <v>3695</v>
      </c>
      <c r="B1362">
        <v>32.200000000000003</v>
      </c>
      <c r="C1362">
        <v>0.3</v>
      </c>
    </row>
    <row r="1363" spans="1:3" ht="15" customHeight="1" x14ac:dyDescent="0.25">
      <c r="A1363" t="s">
        <v>3696</v>
      </c>
      <c r="B1363">
        <v>32.200000000000003</v>
      </c>
      <c r="C1363">
        <v>0.3</v>
      </c>
    </row>
    <row r="1364" spans="1:3" ht="15" customHeight="1" x14ac:dyDescent="0.25">
      <c r="A1364" t="s">
        <v>3697</v>
      </c>
      <c r="B1364">
        <v>32.200000000000003</v>
      </c>
      <c r="C1364">
        <v>0.3</v>
      </c>
    </row>
    <row r="1365" spans="1:3" ht="15" customHeight="1" x14ac:dyDescent="0.25">
      <c r="A1365" t="s">
        <v>3698</v>
      </c>
      <c r="B1365">
        <v>32.200000000000003</v>
      </c>
      <c r="C1365">
        <v>0.3</v>
      </c>
    </row>
    <row r="1366" spans="1:3" ht="15" customHeight="1" x14ac:dyDescent="0.25">
      <c r="A1366" t="s">
        <v>1625</v>
      </c>
      <c r="B1366">
        <v>32.200000000000003</v>
      </c>
      <c r="C1366">
        <v>0.3</v>
      </c>
    </row>
    <row r="1367" spans="1:3" ht="15" customHeight="1" x14ac:dyDescent="0.25">
      <c r="A1367" t="s">
        <v>3699</v>
      </c>
      <c r="B1367">
        <v>32.200000000000003</v>
      </c>
      <c r="C1367">
        <v>0.3</v>
      </c>
    </row>
    <row r="1368" spans="1:3" ht="15" customHeight="1" x14ac:dyDescent="0.25">
      <c r="A1368" t="s">
        <v>3700</v>
      </c>
      <c r="B1368">
        <v>32.200000000000003</v>
      </c>
      <c r="C1368">
        <v>0.3</v>
      </c>
    </row>
    <row r="1369" spans="1:3" ht="15" customHeight="1" x14ac:dyDescent="0.25">
      <c r="A1369" t="s">
        <v>3701</v>
      </c>
      <c r="B1369">
        <v>32.200000000000003</v>
      </c>
      <c r="C1369">
        <v>0.3</v>
      </c>
    </row>
    <row r="1370" spans="1:3" ht="15" customHeight="1" x14ac:dyDescent="0.25">
      <c r="A1370" t="s">
        <v>3702</v>
      </c>
      <c r="B1370">
        <v>32.200000000000003</v>
      </c>
      <c r="C1370">
        <v>0.3</v>
      </c>
    </row>
    <row r="1371" spans="1:3" ht="15" customHeight="1" x14ac:dyDescent="0.25">
      <c r="A1371" t="s">
        <v>3703</v>
      </c>
      <c r="B1371">
        <v>32.200000000000003</v>
      </c>
      <c r="C1371">
        <v>0.3</v>
      </c>
    </row>
    <row r="1372" spans="1:3" ht="15" customHeight="1" x14ac:dyDescent="0.25">
      <c r="A1372" t="s">
        <v>3704</v>
      </c>
      <c r="B1372">
        <v>32.200000000000003</v>
      </c>
      <c r="C1372">
        <v>0.3</v>
      </c>
    </row>
    <row r="1373" spans="1:3" ht="15" customHeight="1" x14ac:dyDescent="0.25">
      <c r="A1373" t="s">
        <v>3705</v>
      </c>
      <c r="B1373">
        <v>32.9</v>
      </c>
      <c r="C1373">
        <v>0.3</v>
      </c>
    </row>
    <row r="1374" spans="1:3" ht="15" customHeight="1" x14ac:dyDescent="0.25">
      <c r="A1374" t="s">
        <v>3706</v>
      </c>
      <c r="B1374">
        <v>32.9</v>
      </c>
      <c r="C1374">
        <v>0.3</v>
      </c>
    </row>
    <row r="1375" spans="1:3" ht="15" customHeight="1" x14ac:dyDescent="0.25">
      <c r="A1375" t="s">
        <v>3707</v>
      </c>
      <c r="B1375">
        <v>32.9</v>
      </c>
      <c r="C1375">
        <v>0.3</v>
      </c>
    </row>
    <row r="1376" spans="1:3" ht="15" customHeight="1" x14ac:dyDescent="0.25">
      <c r="A1376" t="s">
        <v>3708</v>
      </c>
      <c r="B1376">
        <v>32.9</v>
      </c>
      <c r="C1376">
        <v>0.3</v>
      </c>
    </row>
    <row r="1377" spans="1:3" ht="15" customHeight="1" x14ac:dyDescent="0.25">
      <c r="A1377" t="s">
        <v>3709</v>
      </c>
      <c r="B1377">
        <v>32.9</v>
      </c>
      <c r="C1377">
        <v>0.3</v>
      </c>
    </row>
    <row r="1378" spans="1:3" ht="15" customHeight="1" x14ac:dyDescent="0.25">
      <c r="A1378" t="s">
        <v>3710</v>
      </c>
      <c r="B1378">
        <v>32.9</v>
      </c>
      <c r="C1378">
        <v>0.3</v>
      </c>
    </row>
    <row r="1379" spans="1:3" ht="15" customHeight="1" x14ac:dyDescent="0.25">
      <c r="A1379" t="s">
        <v>3711</v>
      </c>
      <c r="B1379">
        <v>32.9</v>
      </c>
      <c r="C1379">
        <v>0.3</v>
      </c>
    </row>
    <row r="1380" spans="1:3" ht="15" customHeight="1" x14ac:dyDescent="0.25">
      <c r="A1380" t="s">
        <v>3712</v>
      </c>
      <c r="B1380">
        <v>32.9</v>
      </c>
      <c r="C1380">
        <v>0.3</v>
      </c>
    </row>
    <row r="1381" spans="1:3" ht="15" customHeight="1" x14ac:dyDescent="0.25">
      <c r="A1381" t="s">
        <v>3713</v>
      </c>
      <c r="B1381">
        <v>32.9</v>
      </c>
      <c r="C1381">
        <v>0.3</v>
      </c>
    </row>
    <row r="1382" spans="1:3" ht="15" customHeight="1" x14ac:dyDescent="0.25">
      <c r="A1382" t="s">
        <v>3714</v>
      </c>
      <c r="B1382">
        <v>32.9</v>
      </c>
      <c r="C1382">
        <v>0.3</v>
      </c>
    </row>
    <row r="1383" spans="1:3" ht="15" customHeight="1" x14ac:dyDescent="0.25">
      <c r="A1383" t="s">
        <v>3715</v>
      </c>
      <c r="B1383">
        <v>32.9</v>
      </c>
      <c r="C1383">
        <v>0.3</v>
      </c>
    </row>
    <row r="1384" spans="1:3" ht="15" customHeight="1" x14ac:dyDescent="0.25">
      <c r="A1384" t="s">
        <v>3716</v>
      </c>
      <c r="B1384">
        <v>32.9</v>
      </c>
      <c r="C1384">
        <v>0.3</v>
      </c>
    </row>
    <row r="1385" spans="1:3" ht="15" customHeight="1" x14ac:dyDescent="0.25">
      <c r="A1385" t="s">
        <v>3717</v>
      </c>
      <c r="B1385">
        <v>32.6</v>
      </c>
      <c r="C1385">
        <v>0.2</v>
      </c>
    </row>
    <row r="1386" spans="1:3" ht="15" customHeight="1" x14ac:dyDescent="0.25">
      <c r="A1386" t="s">
        <v>3718</v>
      </c>
      <c r="B1386">
        <v>32.6</v>
      </c>
      <c r="C1386">
        <v>0.2</v>
      </c>
    </row>
    <row r="1387" spans="1:3" ht="15" customHeight="1" x14ac:dyDescent="0.25">
      <c r="A1387" t="s">
        <v>3719</v>
      </c>
      <c r="B1387">
        <v>32.6</v>
      </c>
      <c r="C1387">
        <v>0.2</v>
      </c>
    </row>
    <row r="1388" spans="1:3" ht="15" customHeight="1" x14ac:dyDescent="0.25">
      <c r="A1388" t="s">
        <v>3720</v>
      </c>
      <c r="B1388">
        <v>32.6</v>
      </c>
      <c r="C1388">
        <v>0.2</v>
      </c>
    </row>
    <row r="1389" spans="1:3" ht="15" customHeight="1" x14ac:dyDescent="0.25">
      <c r="A1389" t="s">
        <v>3721</v>
      </c>
      <c r="B1389">
        <v>32.6</v>
      </c>
      <c r="C1389">
        <v>0.2</v>
      </c>
    </row>
    <row r="1390" spans="1:3" ht="15" customHeight="1" x14ac:dyDescent="0.25">
      <c r="A1390" t="s">
        <v>3722</v>
      </c>
      <c r="B1390">
        <v>32.6</v>
      </c>
      <c r="C1390">
        <v>0.2</v>
      </c>
    </row>
    <row r="1391" spans="1:3" ht="15" customHeight="1" x14ac:dyDescent="0.25">
      <c r="A1391" t="s">
        <v>3723</v>
      </c>
      <c r="B1391">
        <v>32.6</v>
      </c>
      <c r="C1391">
        <v>0.2</v>
      </c>
    </row>
    <row r="1392" spans="1:3" ht="15" customHeight="1" x14ac:dyDescent="0.25">
      <c r="A1392" t="s">
        <v>3724</v>
      </c>
      <c r="B1392">
        <v>32.6</v>
      </c>
      <c r="C1392">
        <v>0.2</v>
      </c>
    </row>
    <row r="1393" spans="1:3" ht="15" customHeight="1" x14ac:dyDescent="0.25">
      <c r="A1393" t="s">
        <v>3725</v>
      </c>
      <c r="B1393">
        <v>32.6</v>
      </c>
      <c r="C1393">
        <v>0.2</v>
      </c>
    </row>
    <row r="1394" spans="1:3" ht="15" customHeight="1" x14ac:dyDescent="0.25">
      <c r="A1394" t="s">
        <v>3726</v>
      </c>
      <c r="B1394">
        <v>32.6</v>
      </c>
      <c r="C1394">
        <v>0.2</v>
      </c>
    </row>
    <row r="1395" spans="1:3" ht="15" customHeight="1" x14ac:dyDescent="0.25">
      <c r="A1395" t="s">
        <v>3727</v>
      </c>
      <c r="B1395">
        <v>32.6</v>
      </c>
      <c r="C1395">
        <v>0.2</v>
      </c>
    </row>
    <row r="1396" spans="1:3" ht="15" customHeight="1" x14ac:dyDescent="0.25">
      <c r="A1396" t="s">
        <v>3728</v>
      </c>
      <c r="B1396">
        <v>32.6</v>
      </c>
      <c r="C1396">
        <v>0.2</v>
      </c>
    </row>
    <row r="1397" spans="1:3" ht="15" customHeight="1" x14ac:dyDescent="0.25">
      <c r="A1397" t="s">
        <v>3729</v>
      </c>
      <c r="B1397">
        <v>14.6</v>
      </c>
      <c r="C1397">
        <v>0.3</v>
      </c>
    </row>
    <row r="1398" spans="1:3" ht="15" customHeight="1" x14ac:dyDescent="0.25">
      <c r="A1398" t="s">
        <v>3730</v>
      </c>
      <c r="B1398">
        <v>14.6</v>
      </c>
      <c r="C1398">
        <v>0.3</v>
      </c>
    </row>
    <row r="1399" spans="1:3" ht="15" customHeight="1" x14ac:dyDescent="0.25">
      <c r="A1399" t="s">
        <v>3731</v>
      </c>
      <c r="B1399">
        <v>9.6</v>
      </c>
      <c r="C1399">
        <v>0.3</v>
      </c>
    </row>
    <row r="1400" spans="1:3" ht="15" customHeight="1" x14ac:dyDescent="0.25">
      <c r="A1400" t="s">
        <v>3732</v>
      </c>
      <c r="B1400">
        <v>10.5</v>
      </c>
      <c r="C1400">
        <v>0.3</v>
      </c>
    </row>
    <row r="1401" spans="1:3" ht="15" customHeight="1" x14ac:dyDescent="0.25">
      <c r="A1401" t="s">
        <v>3733</v>
      </c>
      <c r="B1401">
        <v>7.6</v>
      </c>
      <c r="C1401">
        <v>0.3</v>
      </c>
    </row>
    <row r="1402" spans="1:3" ht="15" customHeight="1" x14ac:dyDescent="0.25">
      <c r="A1402" t="s">
        <v>3734</v>
      </c>
      <c r="B1402">
        <v>10.5</v>
      </c>
      <c r="C1402">
        <v>0.3</v>
      </c>
    </row>
    <row r="1403" spans="1:3" ht="15" customHeight="1" x14ac:dyDescent="0.25">
      <c r="A1403" t="s">
        <v>3735</v>
      </c>
      <c r="B1403">
        <v>7.8</v>
      </c>
      <c r="C1403">
        <v>0.3</v>
      </c>
    </row>
    <row r="1404" spans="1:3" ht="15" customHeight="1" x14ac:dyDescent="0.25">
      <c r="A1404" t="s">
        <v>3736</v>
      </c>
      <c r="B1404">
        <v>9.6</v>
      </c>
      <c r="C1404">
        <v>0.3</v>
      </c>
    </row>
    <row r="1405" spans="1:3" ht="15" customHeight="1" x14ac:dyDescent="0.25">
      <c r="A1405" t="s">
        <v>3737</v>
      </c>
      <c r="B1405">
        <v>10.5</v>
      </c>
      <c r="C1405">
        <v>0.3</v>
      </c>
    </row>
    <row r="1406" spans="1:3" ht="15" customHeight="1" x14ac:dyDescent="0.25">
      <c r="A1406" t="s">
        <v>3738</v>
      </c>
      <c r="B1406">
        <v>7.8</v>
      </c>
      <c r="C1406">
        <v>0.3</v>
      </c>
    </row>
    <row r="1407" spans="1:3" ht="15" customHeight="1" x14ac:dyDescent="0.25">
      <c r="A1407" t="s">
        <v>3739</v>
      </c>
      <c r="B1407">
        <v>10.5</v>
      </c>
      <c r="C1407">
        <v>0.3</v>
      </c>
    </row>
    <row r="1408" spans="1:3" ht="15" customHeight="1" x14ac:dyDescent="0.25">
      <c r="A1408" t="s">
        <v>3740</v>
      </c>
      <c r="B1408">
        <v>9.6</v>
      </c>
      <c r="C1408">
        <v>0.3</v>
      </c>
    </row>
    <row r="1409" spans="1:3" ht="15" customHeight="1" x14ac:dyDescent="0.25">
      <c r="A1409" t="s">
        <v>3741</v>
      </c>
      <c r="B1409">
        <v>10.5</v>
      </c>
      <c r="C1409">
        <v>0.3</v>
      </c>
    </row>
    <row r="1410" spans="1:3" ht="15" customHeight="1" x14ac:dyDescent="0.25">
      <c r="A1410" t="s">
        <v>3742</v>
      </c>
      <c r="B1410">
        <v>7.8</v>
      </c>
      <c r="C1410">
        <v>0.3</v>
      </c>
    </row>
    <row r="1411" spans="1:3" ht="15" customHeight="1" x14ac:dyDescent="0.25">
      <c r="A1411" t="s">
        <v>3743</v>
      </c>
      <c r="B1411">
        <v>10.5</v>
      </c>
      <c r="C1411">
        <v>0.3</v>
      </c>
    </row>
    <row r="1412" spans="1:3" ht="15" customHeight="1" x14ac:dyDescent="0.25">
      <c r="A1412" t="s">
        <v>3744</v>
      </c>
      <c r="B1412">
        <v>16.3</v>
      </c>
      <c r="C1412">
        <v>0.3</v>
      </c>
    </row>
    <row r="1413" spans="1:3" ht="15" customHeight="1" x14ac:dyDescent="0.25">
      <c r="A1413" t="s">
        <v>3745</v>
      </c>
      <c r="B1413">
        <v>16.3</v>
      </c>
      <c r="C1413">
        <v>0.3</v>
      </c>
    </row>
    <row r="1414" spans="1:3" ht="15" customHeight="1" x14ac:dyDescent="0.25">
      <c r="A1414" t="s">
        <v>3746</v>
      </c>
      <c r="B1414">
        <v>16.3</v>
      </c>
      <c r="C1414">
        <v>0.3</v>
      </c>
    </row>
    <row r="1415" spans="1:3" ht="15" customHeight="1" x14ac:dyDescent="0.25">
      <c r="A1415" t="s">
        <v>3747</v>
      </c>
      <c r="B1415">
        <v>24.1</v>
      </c>
      <c r="C1415">
        <v>0.3</v>
      </c>
    </row>
    <row r="1416" spans="1:3" ht="15" customHeight="1" x14ac:dyDescent="0.25">
      <c r="A1416" t="s">
        <v>3748</v>
      </c>
      <c r="B1416">
        <v>25.9</v>
      </c>
      <c r="C1416">
        <v>0.3</v>
      </c>
    </row>
    <row r="1417" spans="1:3" ht="15" customHeight="1" x14ac:dyDescent="0.25">
      <c r="A1417" t="s">
        <v>3749</v>
      </c>
      <c r="B1417">
        <v>16.899999999999999</v>
      </c>
      <c r="C1417">
        <v>0.3</v>
      </c>
    </row>
    <row r="1418" spans="1:3" ht="15" customHeight="1" x14ac:dyDescent="0.25">
      <c r="A1418" t="s">
        <v>3750</v>
      </c>
      <c r="B1418">
        <v>10.5</v>
      </c>
      <c r="C1418">
        <v>0.03</v>
      </c>
    </row>
    <row r="1419" spans="1:3" ht="15" customHeight="1" x14ac:dyDescent="0.25">
      <c r="A1419" t="s">
        <v>3751</v>
      </c>
      <c r="B1419">
        <v>10.5</v>
      </c>
      <c r="C1419">
        <v>0.03</v>
      </c>
    </row>
    <row r="1420" spans="1:3" ht="15" customHeight="1" x14ac:dyDescent="0.25">
      <c r="A1420" t="s">
        <v>3752</v>
      </c>
      <c r="B1420">
        <v>10.5</v>
      </c>
      <c r="C1420">
        <v>0.03</v>
      </c>
    </row>
    <row r="1421" spans="1:3" ht="15" customHeight="1" x14ac:dyDescent="0.25">
      <c r="A1421" t="s">
        <v>3753</v>
      </c>
      <c r="B1421">
        <v>10.5</v>
      </c>
      <c r="C1421">
        <v>0.03</v>
      </c>
    </row>
    <row r="1422" spans="1:3" ht="15" customHeight="1" x14ac:dyDescent="0.25">
      <c r="A1422" t="s">
        <v>3754</v>
      </c>
      <c r="B1422">
        <v>10.5</v>
      </c>
      <c r="C1422">
        <v>0.03</v>
      </c>
    </row>
    <row r="1423" spans="1:3" ht="15" customHeight="1" x14ac:dyDescent="0.25">
      <c r="A1423" t="s">
        <v>3755</v>
      </c>
      <c r="B1423">
        <v>10.5</v>
      </c>
      <c r="C1423">
        <v>0.03</v>
      </c>
    </row>
    <row r="1424" spans="1:3" ht="15" customHeight="1" x14ac:dyDescent="0.25">
      <c r="A1424" t="s">
        <v>3756</v>
      </c>
      <c r="B1424">
        <v>10.5</v>
      </c>
      <c r="C1424">
        <v>0.03</v>
      </c>
    </row>
    <row r="1425" spans="1:3" ht="15" customHeight="1" x14ac:dyDescent="0.25">
      <c r="A1425" t="s">
        <v>3757</v>
      </c>
      <c r="B1425">
        <v>10.5</v>
      </c>
      <c r="C1425">
        <v>0.03</v>
      </c>
    </row>
    <row r="1426" spans="1:3" ht="15" customHeight="1" x14ac:dyDescent="0.25">
      <c r="A1426" t="s">
        <v>3758</v>
      </c>
      <c r="B1426">
        <v>10.5</v>
      </c>
      <c r="C1426">
        <v>0.03</v>
      </c>
    </row>
    <row r="1427" spans="1:3" ht="15" customHeight="1" x14ac:dyDescent="0.25">
      <c r="A1427" t="s">
        <v>3759</v>
      </c>
      <c r="B1427">
        <v>10.3</v>
      </c>
      <c r="C1427">
        <v>0.03</v>
      </c>
    </row>
    <row r="1428" spans="1:3" ht="15" customHeight="1" x14ac:dyDescent="0.25">
      <c r="A1428" t="s">
        <v>3760</v>
      </c>
      <c r="B1428">
        <v>10.3</v>
      </c>
      <c r="C1428">
        <v>0.1</v>
      </c>
    </row>
    <row r="1429" spans="1:3" ht="15" customHeight="1" x14ac:dyDescent="0.25">
      <c r="A1429" t="s">
        <v>1282</v>
      </c>
      <c r="B1429">
        <v>10.3</v>
      </c>
      <c r="C1429">
        <v>0.03</v>
      </c>
    </row>
    <row r="1430" spans="1:3" ht="15" customHeight="1" x14ac:dyDescent="0.25">
      <c r="A1430" t="s">
        <v>3761</v>
      </c>
      <c r="B1430">
        <v>10.3</v>
      </c>
      <c r="C1430">
        <v>0.03</v>
      </c>
    </row>
    <row r="1431" spans="1:3" ht="15" customHeight="1" x14ac:dyDescent="0.25">
      <c r="A1431" t="s">
        <v>3762</v>
      </c>
      <c r="B1431">
        <v>10.3</v>
      </c>
      <c r="C1431">
        <v>0.1</v>
      </c>
    </row>
    <row r="1432" spans="1:3" ht="15" customHeight="1" x14ac:dyDescent="0.25">
      <c r="A1432" t="s">
        <v>3763</v>
      </c>
      <c r="B1432">
        <v>10.3</v>
      </c>
      <c r="C1432">
        <v>0.03</v>
      </c>
    </row>
    <row r="1433" spans="1:3" ht="15" customHeight="1" x14ac:dyDescent="0.25">
      <c r="A1433" t="s">
        <v>3764</v>
      </c>
      <c r="B1433">
        <v>10.3</v>
      </c>
      <c r="C1433">
        <v>0.03</v>
      </c>
    </row>
    <row r="1434" spans="1:3" ht="15" customHeight="1" x14ac:dyDescent="0.25">
      <c r="A1434" t="s">
        <v>3765</v>
      </c>
      <c r="B1434">
        <v>10.3</v>
      </c>
      <c r="C1434">
        <v>0.1</v>
      </c>
    </row>
    <row r="1435" spans="1:3" ht="15" customHeight="1" x14ac:dyDescent="0.25">
      <c r="A1435" t="s">
        <v>3766</v>
      </c>
      <c r="B1435">
        <v>10.3</v>
      </c>
      <c r="C1435">
        <v>0.3</v>
      </c>
    </row>
    <row r="1436" spans="1:3" ht="15" customHeight="1" x14ac:dyDescent="0.25">
      <c r="A1436" t="s">
        <v>3767</v>
      </c>
      <c r="B1436">
        <v>10.3</v>
      </c>
      <c r="C1436">
        <v>0.1</v>
      </c>
    </row>
    <row r="1437" spans="1:3" ht="15" customHeight="1" x14ac:dyDescent="0.25">
      <c r="A1437" t="s">
        <v>3768</v>
      </c>
      <c r="B1437">
        <v>10.3</v>
      </c>
      <c r="C1437">
        <v>0.3</v>
      </c>
    </row>
    <row r="1438" spans="1:3" ht="15" customHeight="1" x14ac:dyDescent="0.25">
      <c r="A1438" t="s">
        <v>3769</v>
      </c>
      <c r="B1438">
        <v>10.3</v>
      </c>
      <c r="C1438">
        <v>0.1</v>
      </c>
    </row>
    <row r="1439" spans="1:3" ht="15" customHeight="1" x14ac:dyDescent="0.25">
      <c r="A1439" t="s">
        <v>3770</v>
      </c>
      <c r="B1439">
        <v>10.3</v>
      </c>
      <c r="C1439">
        <v>0.1</v>
      </c>
    </row>
    <row r="1440" spans="1:3" ht="15" customHeight="1" x14ac:dyDescent="0.25">
      <c r="A1440" t="s">
        <v>3771</v>
      </c>
      <c r="B1440">
        <v>10.3</v>
      </c>
      <c r="C1440">
        <v>0.03</v>
      </c>
    </row>
    <row r="1441" spans="1:3" ht="15" customHeight="1" x14ac:dyDescent="0.25">
      <c r="A1441" t="s">
        <v>3772</v>
      </c>
      <c r="B1441">
        <v>10.3</v>
      </c>
      <c r="C1441">
        <v>0.03</v>
      </c>
    </row>
    <row r="1442" spans="1:3" ht="15" customHeight="1" x14ac:dyDescent="0.25">
      <c r="A1442" t="s">
        <v>3773</v>
      </c>
      <c r="B1442">
        <v>10.3</v>
      </c>
      <c r="C1442">
        <v>0.1</v>
      </c>
    </row>
    <row r="1443" spans="1:3" ht="15" customHeight="1" x14ac:dyDescent="0.25">
      <c r="A1443" t="s">
        <v>3774</v>
      </c>
      <c r="B1443">
        <v>10.3</v>
      </c>
      <c r="C1443">
        <v>0.1</v>
      </c>
    </row>
    <row r="1444" spans="1:3" ht="15" customHeight="1" x14ac:dyDescent="0.25">
      <c r="A1444" t="s">
        <v>3775</v>
      </c>
      <c r="B1444">
        <v>10.3</v>
      </c>
      <c r="C1444">
        <v>0.03</v>
      </c>
    </row>
    <row r="1445" spans="1:3" ht="15" customHeight="1" x14ac:dyDescent="0.25">
      <c r="A1445" t="s">
        <v>3776</v>
      </c>
      <c r="B1445">
        <v>10.3</v>
      </c>
      <c r="C1445">
        <v>0.03</v>
      </c>
    </row>
    <row r="1446" spans="1:3" ht="15" customHeight="1" x14ac:dyDescent="0.25">
      <c r="A1446" t="s">
        <v>3777</v>
      </c>
      <c r="B1446">
        <v>31.4</v>
      </c>
      <c r="C1446">
        <v>0.1</v>
      </c>
    </row>
    <row r="1447" spans="1:3" ht="15" customHeight="1" x14ac:dyDescent="0.25">
      <c r="A1447" t="s">
        <v>3778</v>
      </c>
      <c r="B1447">
        <v>28.2</v>
      </c>
      <c r="C1447">
        <v>0.03</v>
      </c>
    </row>
    <row r="1448" spans="1:3" ht="15" customHeight="1" x14ac:dyDescent="0.25">
      <c r="A1448" t="s">
        <v>3779</v>
      </c>
      <c r="B1448">
        <v>23.8</v>
      </c>
      <c r="C1448">
        <v>0.1</v>
      </c>
    </row>
    <row r="1449" spans="1:3" ht="15" customHeight="1" x14ac:dyDescent="0.25">
      <c r="A1449" t="s">
        <v>3780</v>
      </c>
      <c r="B1449">
        <v>58.6</v>
      </c>
    </row>
    <row r="1450" spans="1:3" ht="15" customHeight="1" x14ac:dyDescent="0.25">
      <c r="A1450" t="s">
        <v>3781</v>
      </c>
      <c r="B1450">
        <v>81.099999999999994</v>
      </c>
    </row>
    <row r="1451" spans="1:3" ht="15" customHeight="1" x14ac:dyDescent="0.25">
      <c r="A1451" t="s">
        <v>3782</v>
      </c>
      <c r="B1451">
        <v>101.2</v>
      </c>
    </row>
    <row r="1452" spans="1:3" ht="15" customHeight="1" x14ac:dyDescent="0.25">
      <c r="A1452" t="s">
        <v>3783</v>
      </c>
      <c r="B1452">
        <v>83.6</v>
      </c>
      <c r="C1452">
        <v>0.3</v>
      </c>
    </row>
    <row r="1453" spans="1:3" ht="15" customHeight="1" x14ac:dyDescent="0.25">
      <c r="A1453" t="s">
        <v>3784</v>
      </c>
      <c r="B1453">
        <v>57.2</v>
      </c>
      <c r="C1453">
        <v>0.03</v>
      </c>
    </row>
    <row r="1454" spans="1:3" ht="15" customHeight="1" x14ac:dyDescent="0.25">
      <c r="A1454" t="s">
        <v>3785</v>
      </c>
      <c r="B1454">
        <v>56.9</v>
      </c>
      <c r="C1454">
        <v>0.02</v>
      </c>
    </row>
    <row r="1455" spans="1:3" ht="15" customHeight="1" x14ac:dyDescent="0.25">
      <c r="A1455" t="s">
        <v>3786</v>
      </c>
      <c r="B1455">
        <v>60.3</v>
      </c>
      <c r="C1455">
        <v>0.02</v>
      </c>
    </row>
    <row r="1456" spans="1:3" ht="15" customHeight="1" x14ac:dyDescent="0.25">
      <c r="A1456" t="s">
        <v>3787</v>
      </c>
      <c r="B1456">
        <v>56.9</v>
      </c>
      <c r="C1456">
        <v>0.02</v>
      </c>
    </row>
    <row r="1457" spans="1:3" ht="15" customHeight="1" x14ac:dyDescent="0.25">
      <c r="A1457" t="s">
        <v>3788</v>
      </c>
      <c r="B1457">
        <v>60.3</v>
      </c>
      <c r="C1457">
        <v>0.02</v>
      </c>
    </row>
    <row r="1458" spans="1:3" ht="15" customHeight="1" x14ac:dyDescent="0.25">
      <c r="A1458" t="s">
        <v>3789</v>
      </c>
      <c r="B1458">
        <v>56.9</v>
      </c>
      <c r="C1458">
        <v>0.02</v>
      </c>
    </row>
    <row r="1459" spans="1:3" ht="15" customHeight="1" x14ac:dyDescent="0.25">
      <c r="A1459" t="s">
        <v>3790</v>
      </c>
      <c r="B1459">
        <v>70.099999999999994</v>
      </c>
      <c r="C1459">
        <v>0.3</v>
      </c>
    </row>
    <row r="1460" spans="1:3" ht="15" customHeight="1" x14ac:dyDescent="0.25">
      <c r="A1460" t="s">
        <v>3791</v>
      </c>
      <c r="B1460">
        <v>87</v>
      </c>
      <c r="C1460">
        <v>0.3</v>
      </c>
    </row>
    <row r="1461" spans="1:3" ht="15" customHeight="1" x14ac:dyDescent="0.25">
      <c r="A1461" t="s">
        <v>3792</v>
      </c>
      <c r="B1461">
        <v>95.5</v>
      </c>
      <c r="C1461">
        <v>0.3</v>
      </c>
    </row>
    <row r="1462" spans="1:3" ht="15" customHeight="1" x14ac:dyDescent="0.25">
      <c r="A1462" t="s">
        <v>3793</v>
      </c>
      <c r="B1462">
        <v>105.2</v>
      </c>
      <c r="C1462">
        <v>0.3</v>
      </c>
    </row>
    <row r="1463" spans="1:3" ht="15" customHeight="1" x14ac:dyDescent="0.25">
      <c r="A1463" t="s">
        <v>3794</v>
      </c>
      <c r="B1463">
        <v>43.2</v>
      </c>
      <c r="C1463">
        <v>0.3</v>
      </c>
    </row>
    <row r="1464" spans="1:3" ht="15" customHeight="1" x14ac:dyDescent="0.25">
      <c r="A1464" t="s">
        <v>3795</v>
      </c>
      <c r="B1464">
        <v>43.2</v>
      </c>
      <c r="C1464">
        <v>0.3</v>
      </c>
    </row>
    <row r="1465" spans="1:3" ht="15" customHeight="1" x14ac:dyDescent="0.25">
      <c r="A1465" t="s">
        <v>3796</v>
      </c>
      <c r="B1465">
        <v>43.2</v>
      </c>
      <c r="C1465">
        <v>0.3</v>
      </c>
    </row>
    <row r="1466" spans="1:3" ht="15" customHeight="1" x14ac:dyDescent="0.25">
      <c r="A1466" t="s">
        <v>3797</v>
      </c>
      <c r="B1466">
        <v>43.2</v>
      </c>
      <c r="C1466">
        <v>0.3</v>
      </c>
    </row>
    <row r="1467" spans="1:3" ht="15" customHeight="1" x14ac:dyDescent="0.25">
      <c r="A1467" t="s">
        <v>3798</v>
      </c>
      <c r="B1467">
        <v>50</v>
      </c>
      <c r="C1467">
        <v>0.3</v>
      </c>
    </row>
    <row r="1468" spans="1:3" ht="15" customHeight="1" x14ac:dyDescent="0.25">
      <c r="A1468" t="s">
        <v>3799</v>
      </c>
      <c r="B1468">
        <v>50</v>
      </c>
      <c r="C1468">
        <v>0.3</v>
      </c>
    </row>
    <row r="1469" spans="1:3" ht="15" customHeight="1" x14ac:dyDescent="0.25">
      <c r="A1469" t="s">
        <v>3800</v>
      </c>
      <c r="B1469">
        <v>50</v>
      </c>
      <c r="C1469">
        <v>0.3</v>
      </c>
    </row>
    <row r="1470" spans="1:3" ht="15" customHeight="1" x14ac:dyDescent="0.25">
      <c r="A1470" t="s">
        <v>3801</v>
      </c>
      <c r="B1470">
        <v>50</v>
      </c>
      <c r="C1470">
        <v>0.3</v>
      </c>
    </row>
    <row r="1471" spans="1:3" ht="15" customHeight="1" x14ac:dyDescent="0.25">
      <c r="A1471" t="s">
        <v>3802</v>
      </c>
      <c r="B1471">
        <v>43.2</v>
      </c>
      <c r="C1471">
        <v>0.3</v>
      </c>
    </row>
    <row r="1472" spans="1:3" ht="15" customHeight="1" x14ac:dyDescent="0.25">
      <c r="A1472" t="s">
        <v>3803</v>
      </c>
      <c r="B1472">
        <v>43.2</v>
      </c>
      <c r="C1472">
        <v>0.3</v>
      </c>
    </row>
    <row r="1473" spans="1:3" ht="15" customHeight="1" x14ac:dyDescent="0.25">
      <c r="A1473" t="s">
        <v>3804</v>
      </c>
      <c r="B1473">
        <v>43.2</v>
      </c>
      <c r="C1473">
        <v>0.3</v>
      </c>
    </row>
    <row r="1474" spans="1:3" ht="15" customHeight="1" x14ac:dyDescent="0.25">
      <c r="A1474" t="s">
        <v>3805</v>
      </c>
      <c r="B1474">
        <v>43.2</v>
      </c>
      <c r="C1474">
        <v>0.3</v>
      </c>
    </row>
    <row r="1475" spans="1:3" ht="15" customHeight="1" x14ac:dyDescent="0.25">
      <c r="A1475" t="s">
        <v>3806</v>
      </c>
      <c r="B1475">
        <v>43.2</v>
      </c>
      <c r="C1475">
        <v>0.3</v>
      </c>
    </row>
    <row r="1476" spans="1:3" ht="15" customHeight="1" x14ac:dyDescent="0.25">
      <c r="A1476" t="s">
        <v>3807</v>
      </c>
      <c r="B1476">
        <v>43.2</v>
      </c>
      <c r="C1476">
        <v>0.3</v>
      </c>
    </row>
    <row r="1477" spans="1:3" ht="15" customHeight="1" x14ac:dyDescent="0.25">
      <c r="A1477" t="s">
        <v>3808</v>
      </c>
      <c r="B1477">
        <v>208.6</v>
      </c>
      <c r="C1477">
        <v>0.02</v>
      </c>
    </row>
    <row r="1478" spans="1:3" ht="15" customHeight="1" x14ac:dyDescent="0.25">
      <c r="A1478" t="s">
        <v>3809</v>
      </c>
      <c r="B1478">
        <v>237.8</v>
      </c>
      <c r="C1478">
        <v>0.02</v>
      </c>
    </row>
    <row r="1479" spans="1:3" ht="15" customHeight="1" x14ac:dyDescent="0.25">
      <c r="A1479" t="s">
        <v>3810</v>
      </c>
      <c r="B1479">
        <v>208.6</v>
      </c>
      <c r="C1479">
        <v>0.02</v>
      </c>
    </row>
    <row r="1480" spans="1:3" ht="15" customHeight="1" x14ac:dyDescent="0.25">
      <c r="A1480" t="s">
        <v>3811</v>
      </c>
      <c r="B1480">
        <v>237.8</v>
      </c>
      <c r="C1480">
        <v>0.02</v>
      </c>
    </row>
    <row r="1481" spans="1:3" ht="15" customHeight="1" x14ac:dyDescent="0.25">
      <c r="A1481" t="s">
        <v>3812</v>
      </c>
      <c r="B1481">
        <v>237.8</v>
      </c>
      <c r="C1481">
        <v>0.02</v>
      </c>
    </row>
    <row r="1482" spans="1:3" ht="15" customHeight="1" x14ac:dyDescent="0.25">
      <c r="A1482" t="s">
        <v>3813</v>
      </c>
      <c r="B1482">
        <v>277.10000000000002</v>
      </c>
      <c r="C1482">
        <v>0.02</v>
      </c>
    </row>
    <row r="1483" spans="1:3" ht="15" customHeight="1" x14ac:dyDescent="0.25">
      <c r="A1483" t="s">
        <v>3814</v>
      </c>
      <c r="B1483">
        <v>206.3</v>
      </c>
      <c r="C1483">
        <v>0.02</v>
      </c>
    </row>
    <row r="1484" spans="1:3" ht="15" customHeight="1" x14ac:dyDescent="0.25">
      <c r="A1484" t="s">
        <v>3815</v>
      </c>
      <c r="B1484">
        <v>273.8</v>
      </c>
    </row>
    <row r="1485" spans="1:3" ht="15" customHeight="1" x14ac:dyDescent="0.25">
      <c r="A1485" t="s">
        <v>3816</v>
      </c>
      <c r="B1485">
        <v>208.6</v>
      </c>
      <c r="C1485">
        <v>0.02</v>
      </c>
    </row>
    <row r="1486" spans="1:3" ht="15" customHeight="1" x14ac:dyDescent="0.25">
      <c r="A1486" t="s">
        <v>3817</v>
      </c>
      <c r="B1486">
        <v>208.6</v>
      </c>
    </row>
    <row r="1487" spans="1:3" ht="15" customHeight="1" x14ac:dyDescent="0.25">
      <c r="A1487" t="s">
        <v>3818</v>
      </c>
      <c r="B1487">
        <v>237.8</v>
      </c>
    </row>
    <row r="1488" spans="1:3" ht="15" customHeight="1" x14ac:dyDescent="0.25">
      <c r="A1488" t="s">
        <v>3819</v>
      </c>
      <c r="B1488">
        <v>237.8</v>
      </c>
      <c r="C1488">
        <v>0.02</v>
      </c>
    </row>
    <row r="1489" spans="1:3" ht="15" customHeight="1" x14ac:dyDescent="0.25">
      <c r="A1489" t="s">
        <v>3820</v>
      </c>
      <c r="B1489">
        <v>208.6</v>
      </c>
      <c r="C1489">
        <v>0.05</v>
      </c>
    </row>
    <row r="1490" spans="1:3" ht="15" customHeight="1" x14ac:dyDescent="0.25">
      <c r="A1490" t="s">
        <v>3821</v>
      </c>
      <c r="B1490">
        <v>208.6</v>
      </c>
      <c r="C1490">
        <v>0.02</v>
      </c>
    </row>
    <row r="1491" spans="1:3" ht="15" customHeight="1" x14ac:dyDescent="0.25">
      <c r="A1491" t="s">
        <v>3822</v>
      </c>
      <c r="B1491">
        <v>208.6</v>
      </c>
      <c r="C1491">
        <v>0.02</v>
      </c>
    </row>
    <row r="1492" spans="1:3" ht="15" customHeight="1" x14ac:dyDescent="0.25">
      <c r="A1492" t="s">
        <v>3823</v>
      </c>
      <c r="B1492">
        <v>187.9</v>
      </c>
      <c r="C1492">
        <v>0.02</v>
      </c>
    </row>
    <row r="1493" spans="1:3" ht="15" customHeight="1" x14ac:dyDescent="0.25">
      <c r="A1493" t="s">
        <v>3824</v>
      </c>
      <c r="B1493">
        <v>217.2</v>
      </c>
      <c r="C1493">
        <v>0.02</v>
      </c>
    </row>
    <row r="1494" spans="1:3" ht="15" customHeight="1" x14ac:dyDescent="0.25">
      <c r="A1494" t="s">
        <v>3825</v>
      </c>
      <c r="B1494">
        <v>187.9</v>
      </c>
      <c r="C1494">
        <v>0.02</v>
      </c>
    </row>
    <row r="1495" spans="1:3" ht="15" customHeight="1" x14ac:dyDescent="0.25">
      <c r="A1495" t="s">
        <v>3826</v>
      </c>
      <c r="B1495">
        <v>217.2</v>
      </c>
    </row>
    <row r="1496" spans="1:3" ht="15" customHeight="1" x14ac:dyDescent="0.25">
      <c r="A1496" t="s">
        <v>3827</v>
      </c>
      <c r="B1496">
        <v>217.2</v>
      </c>
      <c r="C1496">
        <v>0.02</v>
      </c>
    </row>
    <row r="1497" spans="1:3" ht="15" customHeight="1" x14ac:dyDescent="0.25">
      <c r="A1497" t="s">
        <v>3828</v>
      </c>
      <c r="B1497">
        <v>187.9</v>
      </c>
      <c r="C1497">
        <v>0.05</v>
      </c>
    </row>
    <row r="1498" spans="1:3" ht="15" customHeight="1" x14ac:dyDescent="0.25">
      <c r="A1498" t="s">
        <v>3829</v>
      </c>
      <c r="B1498">
        <v>187.9</v>
      </c>
      <c r="C1498">
        <v>0.05</v>
      </c>
    </row>
    <row r="1499" spans="1:3" ht="15" customHeight="1" x14ac:dyDescent="0.25">
      <c r="A1499" t="s">
        <v>3830</v>
      </c>
      <c r="B1499">
        <v>217.2</v>
      </c>
      <c r="C1499">
        <v>0.02</v>
      </c>
    </row>
    <row r="1500" spans="1:3" ht="15" customHeight="1" x14ac:dyDescent="0.25">
      <c r="A1500" t="s">
        <v>3831</v>
      </c>
      <c r="B1500">
        <v>217.2</v>
      </c>
      <c r="C1500">
        <v>0.02</v>
      </c>
    </row>
    <row r="1501" spans="1:3" ht="15" customHeight="1" x14ac:dyDescent="0.25">
      <c r="A1501" t="s">
        <v>3832</v>
      </c>
      <c r="B1501">
        <v>239.7</v>
      </c>
      <c r="C1501">
        <v>0.02</v>
      </c>
    </row>
    <row r="1502" spans="1:3" ht="15" customHeight="1" x14ac:dyDescent="0.25">
      <c r="A1502" t="s">
        <v>3833</v>
      </c>
      <c r="B1502">
        <v>185.8</v>
      </c>
      <c r="C1502">
        <v>0.02</v>
      </c>
    </row>
    <row r="1503" spans="1:3" ht="15" customHeight="1" x14ac:dyDescent="0.25">
      <c r="A1503" t="s">
        <v>3834</v>
      </c>
      <c r="B1503">
        <v>187.9</v>
      </c>
      <c r="C1503">
        <v>0.02</v>
      </c>
    </row>
    <row r="1504" spans="1:3" ht="15" customHeight="1" x14ac:dyDescent="0.25">
      <c r="A1504" t="s">
        <v>3835</v>
      </c>
      <c r="B1504">
        <v>187.9</v>
      </c>
      <c r="C1504">
        <v>0.02</v>
      </c>
    </row>
    <row r="1505" spans="1:3" ht="15" customHeight="1" x14ac:dyDescent="0.25">
      <c r="A1505" t="s">
        <v>3836</v>
      </c>
      <c r="B1505">
        <v>217.2</v>
      </c>
      <c r="C1505">
        <v>0.02</v>
      </c>
    </row>
    <row r="1506" spans="1:3" ht="15" customHeight="1" x14ac:dyDescent="0.25">
      <c r="A1506" t="s">
        <v>3837</v>
      </c>
      <c r="B1506">
        <v>187.9</v>
      </c>
      <c r="C1506">
        <v>0.02</v>
      </c>
    </row>
    <row r="1507" spans="1:3" ht="15" customHeight="1" x14ac:dyDescent="0.25">
      <c r="A1507" t="s">
        <v>3838</v>
      </c>
      <c r="B1507">
        <v>187.9</v>
      </c>
    </row>
    <row r="1508" spans="1:3" ht="15" customHeight="1" x14ac:dyDescent="0.25">
      <c r="A1508" t="s">
        <v>3839</v>
      </c>
      <c r="B1508">
        <v>217.2</v>
      </c>
    </row>
    <row r="1509" spans="1:3" ht="15" customHeight="1" x14ac:dyDescent="0.25">
      <c r="A1509" t="s">
        <v>3840</v>
      </c>
      <c r="B1509">
        <v>217.2</v>
      </c>
    </row>
    <row r="1510" spans="1:3" ht="15" customHeight="1" x14ac:dyDescent="0.25">
      <c r="A1510" t="s">
        <v>3841</v>
      </c>
      <c r="B1510">
        <v>187.9</v>
      </c>
      <c r="C1510">
        <v>0.05</v>
      </c>
    </row>
    <row r="1511" spans="1:3" ht="15" customHeight="1" x14ac:dyDescent="0.25">
      <c r="A1511" t="s">
        <v>3842</v>
      </c>
      <c r="B1511">
        <v>187.9</v>
      </c>
      <c r="C1511">
        <v>0.05</v>
      </c>
    </row>
    <row r="1512" spans="1:3" ht="15" customHeight="1" x14ac:dyDescent="0.25">
      <c r="A1512" t="s">
        <v>3843</v>
      </c>
      <c r="B1512">
        <v>187.9</v>
      </c>
      <c r="C1512">
        <v>0.05</v>
      </c>
    </row>
    <row r="1513" spans="1:3" ht="15" customHeight="1" x14ac:dyDescent="0.25">
      <c r="A1513" t="s">
        <v>892</v>
      </c>
      <c r="B1513">
        <v>187.9</v>
      </c>
      <c r="C1513">
        <v>0.02</v>
      </c>
    </row>
    <row r="1514" spans="1:3" ht="15" customHeight="1" x14ac:dyDescent="0.25">
      <c r="A1514" t="s">
        <v>3844</v>
      </c>
      <c r="B1514">
        <v>187.9</v>
      </c>
      <c r="C1514">
        <v>0.02</v>
      </c>
    </row>
    <row r="1515" spans="1:3" ht="15" customHeight="1" x14ac:dyDescent="0.25">
      <c r="A1515" t="s">
        <v>3845</v>
      </c>
      <c r="B1515">
        <v>48</v>
      </c>
      <c r="C1515">
        <v>0.03</v>
      </c>
    </row>
    <row r="1516" spans="1:3" ht="15" customHeight="1" x14ac:dyDescent="0.25">
      <c r="A1516" t="s">
        <v>3846</v>
      </c>
      <c r="B1516">
        <v>48</v>
      </c>
      <c r="C1516">
        <v>0.03</v>
      </c>
    </row>
    <row r="1517" spans="1:3" ht="15" customHeight="1" x14ac:dyDescent="0.25">
      <c r="A1517" t="s">
        <v>3847</v>
      </c>
      <c r="B1517">
        <v>48</v>
      </c>
      <c r="C1517">
        <v>0.1</v>
      </c>
    </row>
    <row r="1518" spans="1:3" ht="15" customHeight="1" x14ac:dyDescent="0.25">
      <c r="A1518" t="s">
        <v>3848</v>
      </c>
      <c r="B1518">
        <v>37.299999999999997</v>
      </c>
      <c r="C1518">
        <v>0.03</v>
      </c>
    </row>
    <row r="1519" spans="1:3" ht="15" customHeight="1" x14ac:dyDescent="0.25">
      <c r="A1519" t="s">
        <v>3849</v>
      </c>
      <c r="B1519">
        <v>37.299999999999997</v>
      </c>
      <c r="C1519">
        <v>0.3</v>
      </c>
    </row>
    <row r="1520" spans="1:3" ht="15" customHeight="1" x14ac:dyDescent="0.25">
      <c r="A1520" t="s">
        <v>3850</v>
      </c>
      <c r="B1520">
        <v>32.4</v>
      </c>
      <c r="C1520">
        <v>0.2</v>
      </c>
    </row>
    <row r="1521" spans="1:3" ht="15" customHeight="1" x14ac:dyDescent="0.25">
      <c r="A1521" t="s">
        <v>1060</v>
      </c>
      <c r="B1521">
        <v>32.4</v>
      </c>
      <c r="C1521">
        <v>0.2</v>
      </c>
    </row>
    <row r="1522" spans="1:3" ht="15" customHeight="1" x14ac:dyDescent="0.25">
      <c r="A1522" t="s">
        <v>3851</v>
      </c>
      <c r="B1522">
        <v>32.4</v>
      </c>
      <c r="C1522">
        <v>0.2</v>
      </c>
    </row>
    <row r="1523" spans="1:3" ht="15" customHeight="1" x14ac:dyDescent="0.25">
      <c r="A1523" t="s">
        <v>3852</v>
      </c>
      <c r="B1523">
        <v>35.6</v>
      </c>
    </row>
    <row r="1524" spans="1:3" ht="15" customHeight="1" x14ac:dyDescent="0.25">
      <c r="A1524" t="s">
        <v>3853</v>
      </c>
      <c r="B1524">
        <v>38.5</v>
      </c>
    </row>
    <row r="1525" spans="1:3" ht="15" customHeight="1" x14ac:dyDescent="0.25">
      <c r="A1525" t="s">
        <v>3854</v>
      </c>
      <c r="B1525">
        <v>36.700000000000003</v>
      </c>
    </row>
    <row r="1526" spans="1:3" ht="15" customHeight="1" x14ac:dyDescent="0.25">
      <c r="A1526" t="s">
        <v>3855</v>
      </c>
      <c r="B1526">
        <v>36.700000000000003</v>
      </c>
    </row>
    <row r="1527" spans="1:3" ht="15" customHeight="1" x14ac:dyDescent="0.25">
      <c r="A1527" t="s">
        <v>3856</v>
      </c>
      <c r="B1527">
        <v>35.6</v>
      </c>
      <c r="C1527">
        <v>0.5</v>
      </c>
    </row>
    <row r="1528" spans="1:3" ht="15" customHeight="1" x14ac:dyDescent="0.25">
      <c r="A1528" t="s">
        <v>3857</v>
      </c>
      <c r="B1528">
        <v>35.6</v>
      </c>
      <c r="C1528">
        <v>0.5</v>
      </c>
    </row>
    <row r="1529" spans="1:3" ht="15" customHeight="1" x14ac:dyDescent="0.25">
      <c r="A1529" t="s">
        <v>3858</v>
      </c>
      <c r="B1529">
        <v>35.6</v>
      </c>
    </row>
    <row r="1530" spans="1:3" ht="15" customHeight="1" x14ac:dyDescent="0.25">
      <c r="A1530" t="s">
        <v>3859</v>
      </c>
      <c r="B1530">
        <v>34.200000000000003</v>
      </c>
    </row>
    <row r="1531" spans="1:3" ht="15" customHeight="1" x14ac:dyDescent="0.25">
      <c r="A1531" t="s">
        <v>3860</v>
      </c>
      <c r="B1531">
        <v>34.200000000000003</v>
      </c>
    </row>
    <row r="1532" spans="1:3" ht="15" customHeight="1" x14ac:dyDescent="0.25">
      <c r="A1532" t="s">
        <v>3861</v>
      </c>
      <c r="B1532">
        <v>33.200000000000003</v>
      </c>
    </row>
    <row r="1533" spans="1:3" ht="15" customHeight="1" x14ac:dyDescent="0.25">
      <c r="A1533" t="s">
        <v>3862</v>
      </c>
      <c r="B1533">
        <v>33.200000000000003</v>
      </c>
    </row>
    <row r="1534" spans="1:3" ht="15" customHeight="1" x14ac:dyDescent="0.25">
      <c r="A1534" t="s">
        <v>1201</v>
      </c>
      <c r="B1534">
        <v>33.200000000000003</v>
      </c>
      <c r="C1534">
        <v>0.3</v>
      </c>
    </row>
    <row r="1535" spans="1:3" ht="15" customHeight="1" x14ac:dyDescent="0.25">
      <c r="A1535" t="s">
        <v>3863</v>
      </c>
      <c r="B1535">
        <v>33.200000000000003</v>
      </c>
      <c r="C1535">
        <v>0.03</v>
      </c>
    </row>
    <row r="1536" spans="1:3" ht="15" customHeight="1" x14ac:dyDescent="0.25">
      <c r="A1536" t="s">
        <v>3864</v>
      </c>
      <c r="B1536">
        <v>33.200000000000003</v>
      </c>
      <c r="C1536">
        <v>0.03</v>
      </c>
    </row>
    <row r="1537" spans="1:3" ht="15" customHeight="1" x14ac:dyDescent="0.25">
      <c r="A1537" t="s">
        <v>3865</v>
      </c>
      <c r="B1537">
        <v>32.4</v>
      </c>
    </row>
    <row r="1538" spans="1:3" ht="15" customHeight="1" x14ac:dyDescent="0.25">
      <c r="A1538" t="s">
        <v>3866</v>
      </c>
      <c r="B1538">
        <v>32.4</v>
      </c>
    </row>
    <row r="1539" spans="1:3" ht="15" customHeight="1" x14ac:dyDescent="0.25">
      <c r="A1539" t="s">
        <v>3867</v>
      </c>
      <c r="B1539">
        <v>35.6</v>
      </c>
      <c r="C1539">
        <v>0.5</v>
      </c>
    </row>
    <row r="1540" spans="1:3" ht="15" customHeight="1" x14ac:dyDescent="0.25">
      <c r="A1540" t="s">
        <v>3868</v>
      </c>
      <c r="B1540">
        <v>35.6</v>
      </c>
    </row>
    <row r="1541" spans="1:3" ht="15" customHeight="1" x14ac:dyDescent="0.25">
      <c r="A1541" t="s">
        <v>3869</v>
      </c>
      <c r="B1541">
        <v>32.4</v>
      </c>
      <c r="C1541">
        <v>0.2</v>
      </c>
    </row>
    <row r="1542" spans="1:3" ht="15" customHeight="1" x14ac:dyDescent="0.25">
      <c r="A1542" t="s">
        <v>3870</v>
      </c>
      <c r="B1542">
        <v>32.4</v>
      </c>
      <c r="C1542">
        <v>0.2</v>
      </c>
    </row>
    <row r="1543" spans="1:3" ht="15" customHeight="1" x14ac:dyDescent="0.25">
      <c r="A1543" t="s">
        <v>3871</v>
      </c>
      <c r="B1543">
        <v>33.9</v>
      </c>
      <c r="C1543">
        <v>0.2</v>
      </c>
    </row>
    <row r="1544" spans="1:3" ht="15" customHeight="1" x14ac:dyDescent="0.25">
      <c r="A1544" t="s">
        <v>3872</v>
      </c>
      <c r="B1544">
        <v>33.9</v>
      </c>
      <c r="C1544">
        <v>0.2</v>
      </c>
    </row>
    <row r="1545" spans="1:3" ht="15" customHeight="1" x14ac:dyDescent="0.25">
      <c r="A1545" t="s">
        <v>3873</v>
      </c>
      <c r="B1545">
        <v>37.299999999999997</v>
      </c>
    </row>
    <row r="1546" spans="1:3" ht="15" customHeight="1" x14ac:dyDescent="0.25">
      <c r="A1546" t="s">
        <v>3874</v>
      </c>
      <c r="B1546">
        <v>37.299999999999997</v>
      </c>
      <c r="C1546">
        <v>0.03</v>
      </c>
    </row>
    <row r="1547" spans="1:3" ht="15" customHeight="1" x14ac:dyDescent="0.25">
      <c r="A1547" t="s">
        <v>3875</v>
      </c>
      <c r="B1547">
        <v>37.299999999999997</v>
      </c>
      <c r="C1547">
        <v>0.03</v>
      </c>
    </row>
    <row r="1548" spans="1:3" ht="15" customHeight="1" x14ac:dyDescent="0.25">
      <c r="A1548" t="s">
        <v>3876</v>
      </c>
      <c r="B1548">
        <v>37.299999999999997</v>
      </c>
      <c r="C1548">
        <v>0.3</v>
      </c>
    </row>
    <row r="1549" spans="1:3" ht="15" customHeight="1" x14ac:dyDescent="0.25">
      <c r="A1549" t="s">
        <v>3877</v>
      </c>
      <c r="B1549">
        <v>37.299999999999997</v>
      </c>
      <c r="C1549">
        <v>0.03</v>
      </c>
    </row>
    <row r="1550" spans="1:3" ht="15" customHeight="1" x14ac:dyDescent="0.25">
      <c r="A1550" t="s">
        <v>1296</v>
      </c>
      <c r="B1550">
        <v>37.299999999999997</v>
      </c>
      <c r="C1550">
        <v>0.03</v>
      </c>
    </row>
    <row r="1551" spans="1:3" ht="15" customHeight="1" x14ac:dyDescent="0.25">
      <c r="A1551" t="s">
        <v>3878</v>
      </c>
      <c r="B1551">
        <v>37.299999999999997</v>
      </c>
      <c r="C1551">
        <v>0.1</v>
      </c>
    </row>
    <row r="1552" spans="1:3" ht="15" customHeight="1" x14ac:dyDescent="0.25">
      <c r="A1552" t="s">
        <v>3879</v>
      </c>
      <c r="B1552">
        <v>37.299999999999997</v>
      </c>
      <c r="C1552">
        <v>0.1</v>
      </c>
    </row>
    <row r="1553" spans="1:3" ht="15" customHeight="1" x14ac:dyDescent="0.25">
      <c r="A1553" t="s">
        <v>3880</v>
      </c>
      <c r="B1553">
        <v>48</v>
      </c>
    </row>
    <row r="1554" spans="1:3" ht="15" customHeight="1" x14ac:dyDescent="0.25">
      <c r="A1554" t="s">
        <v>3881</v>
      </c>
      <c r="B1554">
        <v>48</v>
      </c>
      <c r="C1554">
        <v>0.03</v>
      </c>
    </row>
    <row r="1555" spans="1:3" ht="15" customHeight="1" x14ac:dyDescent="0.25">
      <c r="A1555" t="s">
        <v>3882</v>
      </c>
      <c r="B1555">
        <v>48</v>
      </c>
      <c r="C1555">
        <v>0.03</v>
      </c>
    </row>
    <row r="1556" spans="1:3" ht="15" customHeight="1" x14ac:dyDescent="0.25">
      <c r="A1556" t="s">
        <v>3883</v>
      </c>
      <c r="B1556">
        <v>48</v>
      </c>
      <c r="C1556">
        <v>0.5</v>
      </c>
    </row>
    <row r="1557" spans="1:3" ht="15" customHeight="1" x14ac:dyDescent="0.25">
      <c r="A1557" t="s">
        <v>3884</v>
      </c>
      <c r="B1557">
        <v>48</v>
      </c>
      <c r="C1557">
        <v>0.03</v>
      </c>
    </row>
    <row r="1558" spans="1:3" ht="15" customHeight="1" x14ac:dyDescent="0.25">
      <c r="A1558" t="s">
        <v>3885</v>
      </c>
      <c r="B1558">
        <v>48</v>
      </c>
      <c r="C1558">
        <v>0.2</v>
      </c>
    </row>
    <row r="1559" spans="1:3" ht="15" customHeight="1" x14ac:dyDescent="0.25">
      <c r="A1559" t="s">
        <v>3886</v>
      </c>
      <c r="B1559">
        <v>48</v>
      </c>
      <c r="C1559">
        <v>0.2</v>
      </c>
    </row>
    <row r="1560" spans="1:3" ht="15" customHeight="1" x14ac:dyDescent="0.25">
      <c r="A1560" t="s">
        <v>3887</v>
      </c>
      <c r="B1560">
        <v>36.6</v>
      </c>
    </row>
    <row r="1561" spans="1:3" ht="15" customHeight="1" x14ac:dyDescent="0.25">
      <c r="A1561" t="s">
        <v>3888</v>
      </c>
      <c r="B1561">
        <v>32.4</v>
      </c>
    </row>
    <row r="1562" spans="1:3" ht="15" customHeight="1" x14ac:dyDescent="0.25">
      <c r="A1562" t="s">
        <v>3889</v>
      </c>
      <c r="B1562">
        <v>32.4</v>
      </c>
    </row>
    <row r="1563" spans="1:3" ht="15" customHeight="1" x14ac:dyDescent="0.25">
      <c r="A1563" t="s">
        <v>3890</v>
      </c>
      <c r="B1563">
        <v>32.9</v>
      </c>
    </row>
    <row r="1564" spans="1:3" ht="15" customHeight="1" x14ac:dyDescent="0.25">
      <c r="A1564" t="s">
        <v>3891</v>
      </c>
      <c r="B1564">
        <v>35.6</v>
      </c>
      <c r="C1564">
        <v>0.5</v>
      </c>
    </row>
    <row r="1565" spans="1:3" ht="15" customHeight="1" x14ac:dyDescent="0.25">
      <c r="A1565" t="s">
        <v>3892</v>
      </c>
      <c r="B1565">
        <v>35.6</v>
      </c>
      <c r="C1565">
        <v>0.5</v>
      </c>
    </row>
    <row r="1566" spans="1:3" ht="15" customHeight="1" x14ac:dyDescent="0.25">
      <c r="A1566" t="s">
        <v>3893</v>
      </c>
      <c r="B1566">
        <v>35.6</v>
      </c>
      <c r="C1566">
        <v>0.5</v>
      </c>
    </row>
    <row r="1567" spans="1:3" ht="15" customHeight="1" x14ac:dyDescent="0.25">
      <c r="A1567" t="s">
        <v>3894</v>
      </c>
      <c r="B1567">
        <v>31.3</v>
      </c>
      <c r="C1567">
        <v>0.03</v>
      </c>
    </row>
    <row r="1568" spans="1:3" ht="15" customHeight="1" x14ac:dyDescent="0.25">
      <c r="A1568" t="s">
        <v>3895</v>
      </c>
      <c r="B1568">
        <v>31.3</v>
      </c>
      <c r="C1568">
        <v>0.03</v>
      </c>
    </row>
    <row r="1569" spans="1:3" ht="15" customHeight="1" x14ac:dyDescent="0.25">
      <c r="A1569" t="s">
        <v>3896</v>
      </c>
      <c r="B1569">
        <v>31.3</v>
      </c>
      <c r="C1569">
        <v>0.03</v>
      </c>
    </row>
    <row r="1570" spans="1:3" ht="15" customHeight="1" x14ac:dyDescent="0.25">
      <c r="A1570" t="s">
        <v>3897</v>
      </c>
      <c r="B1570">
        <v>31.7</v>
      </c>
      <c r="C1570">
        <v>0.2</v>
      </c>
    </row>
    <row r="1571" spans="1:3" ht="15" customHeight="1" x14ac:dyDescent="0.25">
      <c r="A1571" t="s">
        <v>3898</v>
      </c>
      <c r="B1571">
        <v>31.7</v>
      </c>
      <c r="C1571">
        <v>0.2</v>
      </c>
    </row>
    <row r="1572" spans="1:3" ht="15" customHeight="1" x14ac:dyDescent="0.25">
      <c r="A1572" t="s">
        <v>3899</v>
      </c>
      <c r="B1572">
        <v>31.7</v>
      </c>
      <c r="C1572">
        <v>0.2</v>
      </c>
    </row>
    <row r="1573" spans="1:3" ht="15" customHeight="1" x14ac:dyDescent="0.25">
      <c r="A1573" t="s">
        <v>3900</v>
      </c>
      <c r="B1573">
        <v>36.799999999999997</v>
      </c>
      <c r="C1573">
        <v>0.2</v>
      </c>
    </row>
    <row r="1574" spans="1:3" ht="15" customHeight="1" x14ac:dyDescent="0.25">
      <c r="A1574" t="s">
        <v>3901</v>
      </c>
      <c r="B1574">
        <v>36.799999999999997</v>
      </c>
      <c r="C1574">
        <v>0.2</v>
      </c>
    </row>
    <row r="1575" spans="1:3" ht="15" customHeight="1" x14ac:dyDescent="0.25">
      <c r="A1575" t="s">
        <v>3902</v>
      </c>
      <c r="B1575">
        <v>36.799999999999997</v>
      </c>
      <c r="C1575">
        <v>0.2</v>
      </c>
    </row>
    <row r="1576" spans="1:3" ht="15" customHeight="1" x14ac:dyDescent="0.25">
      <c r="A1576" t="s">
        <v>3903</v>
      </c>
      <c r="B1576">
        <v>45.7</v>
      </c>
    </row>
    <row r="1577" spans="1:3" ht="15" customHeight="1" x14ac:dyDescent="0.25">
      <c r="A1577" t="s">
        <v>3904</v>
      </c>
      <c r="B1577">
        <v>32.200000000000003</v>
      </c>
    </row>
    <row r="1578" spans="1:3" ht="15" customHeight="1" x14ac:dyDescent="0.25">
      <c r="A1578" t="s">
        <v>3905</v>
      </c>
      <c r="B1578">
        <v>32.200000000000003</v>
      </c>
      <c r="C1578">
        <v>0.5</v>
      </c>
    </row>
    <row r="1579" spans="1:3" ht="15" customHeight="1" x14ac:dyDescent="0.25">
      <c r="A1579" t="s">
        <v>3906</v>
      </c>
      <c r="B1579">
        <v>32.200000000000003</v>
      </c>
      <c r="C1579">
        <v>0.5</v>
      </c>
    </row>
    <row r="1580" spans="1:3" ht="15" customHeight="1" x14ac:dyDescent="0.25">
      <c r="A1580" t="s">
        <v>3907</v>
      </c>
      <c r="B1580">
        <v>32.200000000000003</v>
      </c>
      <c r="C1580">
        <v>0.5</v>
      </c>
    </row>
    <row r="1581" spans="1:3" ht="15" customHeight="1" x14ac:dyDescent="0.25">
      <c r="A1581" t="s">
        <v>3908</v>
      </c>
      <c r="B1581">
        <v>32.200000000000003</v>
      </c>
      <c r="C1581">
        <v>0.5</v>
      </c>
    </row>
    <row r="1582" spans="1:3" ht="15" customHeight="1" x14ac:dyDescent="0.25">
      <c r="A1582" t="s">
        <v>3909</v>
      </c>
      <c r="B1582">
        <v>35.9</v>
      </c>
    </row>
    <row r="1583" spans="1:3" ht="15" customHeight="1" x14ac:dyDescent="0.25">
      <c r="A1583" t="s">
        <v>3910</v>
      </c>
      <c r="B1583">
        <v>35.9</v>
      </c>
    </row>
    <row r="1584" spans="1:3" ht="15" customHeight="1" x14ac:dyDescent="0.25">
      <c r="A1584" t="s">
        <v>1971</v>
      </c>
      <c r="B1584">
        <v>35.9</v>
      </c>
      <c r="C1584">
        <v>0.5</v>
      </c>
    </row>
    <row r="1585" spans="1:3" ht="15" customHeight="1" x14ac:dyDescent="0.25">
      <c r="A1585" t="s">
        <v>3911</v>
      </c>
      <c r="B1585">
        <v>35.9</v>
      </c>
      <c r="C1585">
        <v>0.5</v>
      </c>
    </row>
    <row r="1586" spans="1:3" ht="15" customHeight="1" x14ac:dyDescent="0.25">
      <c r="A1586" t="s">
        <v>3912</v>
      </c>
      <c r="B1586">
        <v>35.9</v>
      </c>
      <c r="C1586">
        <v>0.5</v>
      </c>
    </row>
    <row r="1587" spans="1:3" ht="15" customHeight="1" x14ac:dyDescent="0.25">
      <c r="A1587" t="s">
        <v>3913</v>
      </c>
      <c r="B1587">
        <v>33.200000000000003</v>
      </c>
      <c r="C1587">
        <v>0.2</v>
      </c>
    </row>
    <row r="1588" spans="1:3" ht="15" customHeight="1" x14ac:dyDescent="0.25">
      <c r="A1588" t="s">
        <v>3914</v>
      </c>
      <c r="B1588">
        <v>33.200000000000003</v>
      </c>
    </row>
    <row r="1589" spans="1:3" ht="15" customHeight="1" x14ac:dyDescent="0.25">
      <c r="A1589" t="s">
        <v>3915</v>
      </c>
      <c r="B1589">
        <v>33.200000000000003</v>
      </c>
      <c r="C1589">
        <v>0.3</v>
      </c>
    </row>
    <row r="1590" spans="1:3" ht="15" customHeight="1" x14ac:dyDescent="0.25">
      <c r="A1590" t="s">
        <v>743</v>
      </c>
      <c r="B1590">
        <v>33.9</v>
      </c>
      <c r="C1590">
        <v>0.2</v>
      </c>
    </row>
    <row r="1591" spans="1:3" ht="15" customHeight="1" x14ac:dyDescent="0.25">
      <c r="A1591" t="s">
        <v>3916</v>
      </c>
      <c r="B1591">
        <v>33.9</v>
      </c>
    </row>
    <row r="1592" spans="1:3" ht="15" customHeight="1" x14ac:dyDescent="0.25">
      <c r="A1592" t="s">
        <v>3917</v>
      </c>
      <c r="B1592">
        <v>33.9</v>
      </c>
    </row>
    <row r="1593" spans="1:3" ht="15" customHeight="1" x14ac:dyDescent="0.25">
      <c r="A1593" t="s">
        <v>3918</v>
      </c>
      <c r="B1593">
        <v>35.6</v>
      </c>
    </row>
    <row r="1594" spans="1:3" ht="15" customHeight="1" x14ac:dyDescent="0.25">
      <c r="A1594" t="s">
        <v>3919</v>
      </c>
      <c r="B1594">
        <v>35.6</v>
      </c>
    </row>
    <row r="1595" spans="1:3" ht="15" customHeight="1" x14ac:dyDescent="0.25">
      <c r="A1595" t="s">
        <v>3920</v>
      </c>
      <c r="B1595">
        <v>31.1</v>
      </c>
    </row>
    <row r="1596" spans="1:3" ht="15" customHeight="1" x14ac:dyDescent="0.25">
      <c r="A1596" t="s">
        <v>3921</v>
      </c>
      <c r="B1596">
        <v>31.1</v>
      </c>
    </row>
    <row r="1597" spans="1:3" ht="15" customHeight="1" x14ac:dyDescent="0.25">
      <c r="A1597" t="s">
        <v>3922</v>
      </c>
      <c r="B1597">
        <v>45.4</v>
      </c>
      <c r="C1597">
        <v>0.03</v>
      </c>
    </row>
    <row r="1598" spans="1:3" ht="15" customHeight="1" x14ac:dyDescent="0.25">
      <c r="A1598" t="s">
        <v>3923</v>
      </c>
      <c r="B1598">
        <v>45.4</v>
      </c>
      <c r="C1598">
        <v>0.1</v>
      </c>
    </row>
    <row r="1599" spans="1:3" ht="15" customHeight="1" x14ac:dyDescent="0.25">
      <c r="A1599" t="s">
        <v>3924</v>
      </c>
      <c r="B1599">
        <v>45.4</v>
      </c>
      <c r="C1599">
        <v>0.1</v>
      </c>
    </row>
    <row r="1600" spans="1:3" ht="15" customHeight="1" x14ac:dyDescent="0.25">
      <c r="A1600" t="s">
        <v>3925</v>
      </c>
      <c r="B1600">
        <v>39.5</v>
      </c>
    </row>
    <row r="1601" spans="1:3" ht="15" customHeight="1" x14ac:dyDescent="0.25">
      <c r="A1601" t="s">
        <v>3926</v>
      </c>
      <c r="B1601">
        <v>39.5</v>
      </c>
    </row>
    <row r="1602" spans="1:3" ht="15" customHeight="1" x14ac:dyDescent="0.25">
      <c r="A1602" t="s">
        <v>3927</v>
      </c>
      <c r="B1602">
        <v>39.5</v>
      </c>
    </row>
    <row r="1603" spans="1:3" ht="15" customHeight="1" x14ac:dyDescent="0.25">
      <c r="A1603" t="s">
        <v>353</v>
      </c>
      <c r="B1603">
        <v>45.4</v>
      </c>
      <c r="C1603">
        <v>0.03</v>
      </c>
    </row>
    <row r="1604" spans="1:3" ht="15" customHeight="1" x14ac:dyDescent="0.25">
      <c r="A1604" t="s">
        <v>3928</v>
      </c>
      <c r="B1604">
        <v>45.4</v>
      </c>
      <c r="C1604">
        <v>0.03</v>
      </c>
    </row>
    <row r="1605" spans="1:3" ht="15" customHeight="1" x14ac:dyDescent="0.25">
      <c r="A1605" t="s">
        <v>3929</v>
      </c>
      <c r="B1605">
        <v>45.4</v>
      </c>
      <c r="C1605">
        <v>0.2</v>
      </c>
    </row>
    <row r="1606" spans="1:3" ht="15" customHeight="1" x14ac:dyDescent="0.25">
      <c r="A1606" t="s">
        <v>3930</v>
      </c>
      <c r="B1606">
        <v>49.7</v>
      </c>
      <c r="C1606">
        <v>0.03</v>
      </c>
    </row>
    <row r="1607" spans="1:3" ht="15" customHeight="1" x14ac:dyDescent="0.25">
      <c r="A1607" t="s">
        <v>1501</v>
      </c>
      <c r="B1607">
        <v>49.7</v>
      </c>
      <c r="C1607">
        <v>0.03</v>
      </c>
    </row>
    <row r="1608" spans="1:3" ht="15" customHeight="1" x14ac:dyDescent="0.25">
      <c r="A1608" t="s">
        <v>3931</v>
      </c>
      <c r="B1608">
        <v>49.7</v>
      </c>
      <c r="C1608">
        <v>0.2</v>
      </c>
    </row>
    <row r="1609" spans="1:3" ht="15" customHeight="1" x14ac:dyDescent="0.25">
      <c r="A1609" t="s">
        <v>3932</v>
      </c>
      <c r="B1609">
        <v>39.5</v>
      </c>
      <c r="C1609">
        <v>0.03</v>
      </c>
    </row>
    <row r="1610" spans="1:3" ht="15" customHeight="1" x14ac:dyDescent="0.25">
      <c r="A1610" t="s">
        <v>3933</v>
      </c>
      <c r="B1610">
        <v>39.5</v>
      </c>
      <c r="C1610">
        <v>0.03</v>
      </c>
    </row>
    <row r="1611" spans="1:3" ht="15" customHeight="1" x14ac:dyDescent="0.25">
      <c r="A1611" t="s">
        <v>3934</v>
      </c>
      <c r="B1611">
        <v>39.5</v>
      </c>
      <c r="C1611">
        <v>0.03</v>
      </c>
    </row>
    <row r="1612" spans="1:3" ht="15" customHeight="1" x14ac:dyDescent="0.25">
      <c r="A1612" t="s">
        <v>3935</v>
      </c>
      <c r="B1612">
        <v>50.6</v>
      </c>
      <c r="C1612">
        <v>0.03</v>
      </c>
    </row>
    <row r="1613" spans="1:3" ht="15" customHeight="1" x14ac:dyDescent="0.25">
      <c r="A1613" t="s">
        <v>3936</v>
      </c>
      <c r="B1613">
        <v>50.6</v>
      </c>
      <c r="C1613">
        <v>0.03</v>
      </c>
    </row>
    <row r="1614" spans="1:3" ht="15" customHeight="1" x14ac:dyDescent="0.25">
      <c r="A1614" t="s">
        <v>3937</v>
      </c>
      <c r="B1614">
        <v>50.6</v>
      </c>
      <c r="C1614">
        <v>0.03</v>
      </c>
    </row>
    <row r="1615" spans="1:3" ht="15" customHeight="1" x14ac:dyDescent="0.25">
      <c r="A1615" t="s">
        <v>3938</v>
      </c>
      <c r="B1615">
        <v>35.9</v>
      </c>
    </row>
    <row r="1616" spans="1:3" ht="15" customHeight="1" x14ac:dyDescent="0.25">
      <c r="A1616" t="s">
        <v>3939</v>
      </c>
      <c r="B1616">
        <v>35.9</v>
      </c>
    </row>
    <row r="1617" spans="1:3" ht="15" customHeight="1" x14ac:dyDescent="0.25">
      <c r="A1617" t="s">
        <v>3940</v>
      </c>
      <c r="B1617">
        <v>35.9</v>
      </c>
      <c r="C1617">
        <v>0.3</v>
      </c>
    </row>
    <row r="1618" spans="1:3" ht="15" customHeight="1" x14ac:dyDescent="0.25">
      <c r="A1618" t="s">
        <v>3941</v>
      </c>
      <c r="B1618">
        <v>36.200000000000003</v>
      </c>
      <c r="C1618">
        <v>0.03</v>
      </c>
    </row>
    <row r="1619" spans="1:3" ht="15" customHeight="1" x14ac:dyDescent="0.25">
      <c r="A1619" t="s">
        <v>3942</v>
      </c>
      <c r="B1619">
        <v>36.200000000000003</v>
      </c>
      <c r="C1619">
        <v>0.03</v>
      </c>
    </row>
    <row r="1620" spans="1:3" ht="15" customHeight="1" x14ac:dyDescent="0.25">
      <c r="A1620" t="s">
        <v>3943</v>
      </c>
      <c r="B1620">
        <v>36.200000000000003</v>
      </c>
      <c r="C1620">
        <v>0.03</v>
      </c>
    </row>
    <row r="1621" spans="1:3" ht="15" customHeight="1" x14ac:dyDescent="0.25">
      <c r="A1621" t="s">
        <v>3944</v>
      </c>
      <c r="B1621">
        <v>36.200000000000003</v>
      </c>
      <c r="C1621">
        <v>0.03</v>
      </c>
    </row>
    <row r="1622" spans="1:3" ht="15" customHeight="1" x14ac:dyDescent="0.25">
      <c r="A1622" t="s">
        <v>3945</v>
      </c>
      <c r="B1622">
        <v>36.200000000000003</v>
      </c>
      <c r="C1622">
        <v>0.2</v>
      </c>
    </row>
    <row r="1623" spans="1:3" ht="15" customHeight="1" x14ac:dyDescent="0.25">
      <c r="A1623" t="s">
        <v>3946</v>
      </c>
      <c r="B1623">
        <v>36.200000000000003</v>
      </c>
      <c r="C1623">
        <v>0.3</v>
      </c>
    </row>
    <row r="1624" spans="1:3" ht="15" customHeight="1" x14ac:dyDescent="0.25">
      <c r="A1624" t="s">
        <v>3947</v>
      </c>
      <c r="B1624">
        <v>45.4</v>
      </c>
      <c r="C1624">
        <v>0.03</v>
      </c>
    </row>
    <row r="1625" spans="1:3" ht="15" customHeight="1" x14ac:dyDescent="0.25">
      <c r="A1625" t="s">
        <v>3948</v>
      </c>
      <c r="B1625">
        <v>45.4</v>
      </c>
    </row>
    <row r="1626" spans="1:3" ht="15" customHeight="1" x14ac:dyDescent="0.25">
      <c r="A1626" t="s">
        <v>3949</v>
      </c>
      <c r="B1626">
        <v>45.4</v>
      </c>
    </row>
    <row r="1627" spans="1:3" ht="15" customHeight="1" x14ac:dyDescent="0.25">
      <c r="A1627" t="s">
        <v>3950</v>
      </c>
      <c r="B1627">
        <v>46.9</v>
      </c>
      <c r="C1627">
        <v>0.3</v>
      </c>
    </row>
    <row r="1628" spans="1:3" ht="15" customHeight="1" x14ac:dyDescent="0.25">
      <c r="A1628" t="s">
        <v>1885</v>
      </c>
      <c r="B1628">
        <v>36.200000000000003</v>
      </c>
      <c r="C1628">
        <v>0.03</v>
      </c>
    </row>
    <row r="1629" spans="1:3" ht="15" customHeight="1" x14ac:dyDescent="0.25">
      <c r="A1629" t="s">
        <v>3951</v>
      </c>
      <c r="B1629">
        <v>36.200000000000003</v>
      </c>
      <c r="C1629">
        <v>0.03</v>
      </c>
    </row>
    <row r="1630" spans="1:3" ht="15" customHeight="1" x14ac:dyDescent="0.25">
      <c r="A1630" t="s">
        <v>3952</v>
      </c>
      <c r="B1630">
        <v>36.200000000000003</v>
      </c>
      <c r="C1630">
        <v>0.2</v>
      </c>
    </row>
    <row r="1631" spans="1:3" ht="15" customHeight="1" x14ac:dyDescent="0.25">
      <c r="A1631" t="s">
        <v>3953</v>
      </c>
      <c r="B1631">
        <v>41.7</v>
      </c>
      <c r="C1631">
        <v>0.03</v>
      </c>
    </row>
    <row r="1632" spans="1:3" ht="15" customHeight="1" x14ac:dyDescent="0.25">
      <c r="A1632" t="s">
        <v>3954</v>
      </c>
      <c r="B1632">
        <v>41.7</v>
      </c>
      <c r="C1632">
        <v>0.03</v>
      </c>
    </row>
    <row r="1633" spans="1:3" ht="15" customHeight="1" x14ac:dyDescent="0.25">
      <c r="A1633" t="s">
        <v>3955</v>
      </c>
      <c r="B1633">
        <v>41.7</v>
      </c>
      <c r="C1633">
        <v>0.03</v>
      </c>
    </row>
    <row r="1634" spans="1:3" ht="15" customHeight="1" x14ac:dyDescent="0.25">
      <c r="A1634" t="s">
        <v>3956</v>
      </c>
      <c r="B1634">
        <v>45.4</v>
      </c>
    </row>
    <row r="1635" spans="1:3" ht="15" customHeight="1" x14ac:dyDescent="0.25">
      <c r="A1635" t="s">
        <v>3957</v>
      </c>
      <c r="B1635">
        <v>45.4</v>
      </c>
    </row>
    <row r="1636" spans="1:3" ht="15" customHeight="1" x14ac:dyDescent="0.25">
      <c r="A1636" t="s">
        <v>3958</v>
      </c>
      <c r="B1636">
        <v>45.4</v>
      </c>
    </row>
    <row r="1637" spans="1:3" ht="15" customHeight="1" x14ac:dyDescent="0.25">
      <c r="A1637" t="s">
        <v>3959</v>
      </c>
      <c r="B1637">
        <v>45.4</v>
      </c>
    </row>
    <row r="1638" spans="1:3" ht="15" customHeight="1" x14ac:dyDescent="0.25">
      <c r="A1638" t="s">
        <v>3960</v>
      </c>
      <c r="B1638">
        <v>45.4</v>
      </c>
    </row>
    <row r="1639" spans="1:3" ht="15" customHeight="1" x14ac:dyDescent="0.25">
      <c r="A1639" t="s">
        <v>3961</v>
      </c>
      <c r="B1639">
        <v>45.4</v>
      </c>
      <c r="C1639">
        <v>0.3</v>
      </c>
    </row>
    <row r="1640" spans="1:3" ht="15" customHeight="1" x14ac:dyDescent="0.25">
      <c r="A1640" t="s">
        <v>3962</v>
      </c>
      <c r="B1640">
        <v>46.9</v>
      </c>
    </row>
    <row r="1641" spans="1:3" ht="15" customHeight="1" x14ac:dyDescent="0.25">
      <c r="A1641" t="s">
        <v>3963</v>
      </c>
      <c r="B1641">
        <v>46.9</v>
      </c>
    </row>
    <row r="1642" spans="1:3" ht="15" customHeight="1" x14ac:dyDescent="0.25">
      <c r="A1642" t="s">
        <v>3964</v>
      </c>
      <c r="B1642">
        <v>46.9</v>
      </c>
    </row>
    <row r="1643" spans="1:3" ht="15" customHeight="1" x14ac:dyDescent="0.25">
      <c r="A1643" t="s">
        <v>3965</v>
      </c>
      <c r="B1643">
        <v>37.1</v>
      </c>
    </row>
    <row r="1644" spans="1:3" ht="15" customHeight="1" x14ac:dyDescent="0.25">
      <c r="A1644" t="s">
        <v>3966</v>
      </c>
      <c r="B1644">
        <v>37.1</v>
      </c>
    </row>
    <row r="1645" spans="1:3" ht="15" customHeight="1" x14ac:dyDescent="0.25">
      <c r="A1645" t="s">
        <v>3967</v>
      </c>
      <c r="B1645">
        <v>37.1</v>
      </c>
      <c r="C1645">
        <v>0.5</v>
      </c>
    </row>
    <row r="1646" spans="1:3" ht="15" customHeight="1" x14ac:dyDescent="0.25">
      <c r="A1646" t="s">
        <v>3968</v>
      </c>
      <c r="B1646">
        <v>42.1</v>
      </c>
      <c r="C1646">
        <v>0.5</v>
      </c>
    </row>
    <row r="1647" spans="1:3" ht="15" customHeight="1" x14ac:dyDescent="0.25">
      <c r="A1647" t="s">
        <v>3969</v>
      </c>
      <c r="B1647">
        <v>36.200000000000003</v>
      </c>
      <c r="C1647">
        <v>0.2</v>
      </c>
    </row>
    <row r="1648" spans="1:3" ht="15" customHeight="1" x14ac:dyDescent="0.25">
      <c r="A1648" t="s">
        <v>3970</v>
      </c>
      <c r="B1648">
        <v>36.200000000000003</v>
      </c>
      <c r="C1648">
        <v>0.2</v>
      </c>
    </row>
    <row r="1649" spans="1:3" ht="15" customHeight="1" x14ac:dyDescent="0.25">
      <c r="A1649" t="s">
        <v>3971</v>
      </c>
      <c r="B1649">
        <v>36.200000000000003</v>
      </c>
      <c r="C1649">
        <v>0.2</v>
      </c>
    </row>
    <row r="1650" spans="1:3" ht="15" customHeight="1" x14ac:dyDescent="0.25">
      <c r="A1650" t="s">
        <v>3972</v>
      </c>
      <c r="B1650">
        <v>36.200000000000003</v>
      </c>
      <c r="C1650">
        <v>0.2</v>
      </c>
    </row>
    <row r="1651" spans="1:3" ht="15" customHeight="1" x14ac:dyDescent="0.25">
      <c r="A1651" t="s">
        <v>3973</v>
      </c>
      <c r="B1651">
        <v>36.200000000000003</v>
      </c>
      <c r="C1651">
        <v>0.2</v>
      </c>
    </row>
    <row r="1652" spans="1:3" ht="15" customHeight="1" x14ac:dyDescent="0.25">
      <c r="A1652" t="s">
        <v>3974</v>
      </c>
      <c r="B1652">
        <v>37.299999999999997</v>
      </c>
      <c r="C1652">
        <v>0.03</v>
      </c>
    </row>
    <row r="1653" spans="1:3" ht="15" customHeight="1" x14ac:dyDescent="0.25">
      <c r="A1653" t="s">
        <v>331</v>
      </c>
      <c r="B1653">
        <v>37.299999999999997</v>
      </c>
      <c r="C1653">
        <v>0.03</v>
      </c>
    </row>
    <row r="1654" spans="1:3" ht="15" customHeight="1" x14ac:dyDescent="0.25">
      <c r="A1654" t="s">
        <v>3975</v>
      </c>
      <c r="B1654">
        <v>37.299999999999997</v>
      </c>
      <c r="C1654">
        <v>0.03</v>
      </c>
    </row>
    <row r="1655" spans="1:3" ht="15" customHeight="1" x14ac:dyDescent="0.25">
      <c r="A1655" t="s">
        <v>3976</v>
      </c>
      <c r="B1655">
        <v>37.299999999999997</v>
      </c>
      <c r="C1655">
        <v>0.03</v>
      </c>
    </row>
    <row r="1656" spans="1:3" ht="15" customHeight="1" x14ac:dyDescent="0.25">
      <c r="A1656" t="s">
        <v>3977</v>
      </c>
      <c r="B1656">
        <v>37.299999999999997</v>
      </c>
      <c r="C1656">
        <v>0.03</v>
      </c>
    </row>
    <row r="1657" spans="1:3" ht="15" customHeight="1" x14ac:dyDescent="0.25">
      <c r="A1657" t="s">
        <v>3978</v>
      </c>
      <c r="B1657">
        <v>37.299999999999997</v>
      </c>
      <c r="C1657">
        <v>0.3</v>
      </c>
    </row>
    <row r="1658" spans="1:3" ht="15" customHeight="1" x14ac:dyDescent="0.25">
      <c r="A1658" t="s">
        <v>3979</v>
      </c>
      <c r="B1658">
        <v>37.299999999999997</v>
      </c>
      <c r="C1658">
        <v>0.03</v>
      </c>
    </row>
    <row r="1659" spans="1:3" ht="15" customHeight="1" x14ac:dyDescent="0.25">
      <c r="A1659" t="s">
        <v>3980</v>
      </c>
      <c r="B1659">
        <v>37.299999999999997</v>
      </c>
      <c r="C1659">
        <v>0.03</v>
      </c>
    </row>
    <row r="1660" spans="1:3" ht="15" customHeight="1" x14ac:dyDescent="0.25">
      <c r="A1660" t="s">
        <v>3981</v>
      </c>
      <c r="B1660">
        <v>37.299999999999997</v>
      </c>
      <c r="C1660">
        <v>0.03</v>
      </c>
    </row>
    <row r="1661" spans="1:3" ht="15" customHeight="1" x14ac:dyDescent="0.25">
      <c r="A1661" t="s">
        <v>3982</v>
      </c>
      <c r="B1661">
        <v>47</v>
      </c>
      <c r="C1661">
        <v>0.03</v>
      </c>
    </row>
    <row r="1662" spans="1:3" ht="15" customHeight="1" x14ac:dyDescent="0.25">
      <c r="A1662" t="s">
        <v>3983</v>
      </c>
      <c r="B1662">
        <v>47</v>
      </c>
      <c r="C1662">
        <v>0.03</v>
      </c>
    </row>
    <row r="1663" spans="1:3" ht="15" customHeight="1" x14ac:dyDescent="0.25">
      <c r="A1663" t="s">
        <v>3984</v>
      </c>
      <c r="B1663">
        <v>47</v>
      </c>
      <c r="C1663">
        <v>0.03</v>
      </c>
    </row>
    <row r="1664" spans="1:3" ht="15" customHeight="1" x14ac:dyDescent="0.25">
      <c r="A1664" t="s">
        <v>3985</v>
      </c>
      <c r="B1664">
        <v>47</v>
      </c>
      <c r="C1664">
        <v>0.03</v>
      </c>
    </row>
    <row r="1665" spans="1:3" ht="15" customHeight="1" x14ac:dyDescent="0.25">
      <c r="A1665" t="s">
        <v>1731</v>
      </c>
      <c r="B1665">
        <v>53.3</v>
      </c>
      <c r="C1665">
        <v>0.03</v>
      </c>
    </row>
    <row r="1666" spans="1:3" ht="15" customHeight="1" x14ac:dyDescent="0.25">
      <c r="A1666" t="s">
        <v>3986</v>
      </c>
      <c r="B1666">
        <v>53.3</v>
      </c>
      <c r="C1666">
        <v>0.03</v>
      </c>
    </row>
    <row r="1667" spans="1:3" ht="15" customHeight="1" x14ac:dyDescent="0.25">
      <c r="A1667" t="s">
        <v>3987</v>
      </c>
      <c r="B1667">
        <v>53.3</v>
      </c>
      <c r="C1667">
        <v>0.1</v>
      </c>
    </row>
    <row r="1668" spans="1:3" ht="15" customHeight="1" x14ac:dyDescent="0.25">
      <c r="A1668" t="s">
        <v>3988</v>
      </c>
      <c r="B1668">
        <v>53.3</v>
      </c>
    </row>
    <row r="1669" spans="1:3" ht="15" customHeight="1" x14ac:dyDescent="0.25">
      <c r="A1669" t="s">
        <v>3989</v>
      </c>
      <c r="B1669">
        <v>47</v>
      </c>
    </row>
    <row r="1670" spans="1:3" ht="15" customHeight="1" x14ac:dyDescent="0.25">
      <c r="A1670" t="s">
        <v>3990</v>
      </c>
      <c r="B1670">
        <v>40</v>
      </c>
    </row>
    <row r="1671" spans="1:3" ht="15" customHeight="1" x14ac:dyDescent="0.25">
      <c r="A1671" t="s">
        <v>3991</v>
      </c>
      <c r="B1671">
        <v>40</v>
      </c>
    </row>
    <row r="1672" spans="1:3" ht="15" customHeight="1" x14ac:dyDescent="0.25">
      <c r="A1672" t="s">
        <v>3992</v>
      </c>
      <c r="B1672">
        <v>40</v>
      </c>
    </row>
    <row r="1673" spans="1:3" ht="15" customHeight="1" x14ac:dyDescent="0.25">
      <c r="A1673" t="s">
        <v>3993</v>
      </c>
      <c r="B1673">
        <v>40</v>
      </c>
      <c r="C1673">
        <v>0.03</v>
      </c>
    </row>
    <row r="1674" spans="1:3" ht="15" customHeight="1" x14ac:dyDescent="0.25">
      <c r="A1674" t="s">
        <v>3994</v>
      </c>
      <c r="B1674">
        <v>47</v>
      </c>
      <c r="C1674">
        <v>0.03</v>
      </c>
    </row>
    <row r="1675" spans="1:3" ht="15" customHeight="1" x14ac:dyDescent="0.25">
      <c r="A1675" t="s">
        <v>3995</v>
      </c>
      <c r="B1675">
        <v>47</v>
      </c>
      <c r="C1675">
        <v>0.03</v>
      </c>
    </row>
    <row r="1676" spans="1:3" ht="15" customHeight="1" x14ac:dyDescent="0.25">
      <c r="A1676" t="s">
        <v>3996</v>
      </c>
      <c r="B1676">
        <v>47</v>
      </c>
      <c r="C1676">
        <v>0.1</v>
      </c>
    </row>
    <row r="1677" spans="1:3" ht="15" customHeight="1" x14ac:dyDescent="0.25">
      <c r="A1677" t="s">
        <v>3997</v>
      </c>
      <c r="B1677">
        <v>47</v>
      </c>
      <c r="C1677">
        <v>0.03</v>
      </c>
    </row>
    <row r="1678" spans="1:3" ht="15" customHeight="1" x14ac:dyDescent="0.25">
      <c r="A1678" t="s">
        <v>3998</v>
      </c>
      <c r="B1678">
        <v>47</v>
      </c>
      <c r="C1678">
        <v>0.03</v>
      </c>
    </row>
    <row r="1679" spans="1:3" ht="15" customHeight="1" x14ac:dyDescent="0.25">
      <c r="A1679" t="s">
        <v>3999</v>
      </c>
      <c r="B1679">
        <v>47</v>
      </c>
      <c r="C1679">
        <v>0.03</v>
      </c>
    </row>
    <row r="1680" spans="1:3" ht="15" customHeight="1" x14ac:dyDescent="0.25">
      <c r="A1680" t="s">
        <v>4000</v>
      </c>
      <c r="B1680">
        <v>47</v>
      </c>
      <c r="C1680">
        <v>0.03</v>
      </c>
    </row>
    <row r="1681" spans="1:3" ht="15" customHeight="1" x14ac:dyDescent="0.25">
      <c r="A1681" t="s">
        <v>4001</v>
      </c>
      <c r="B1681">
        <v>53.3</v>
      </c>
      <c r="C1681">
        <v>0.3</v>
      </c>
    </row>
    <row r="1682" spans="1:3" ht="15" customHeight="1" x14ac:dyDescent="0.25">
      <c r="A1682" t="s">
        <v>4002</v>
      </c>
      <c r="B1682">
        <v>53.3</v>
      </c>
      <c r="C1682">
        <v>0.1</v>
      </c>
    </row>
    <row r="1683" spans="1:3" ht="15" customHeight="1" x14ac:dyDescent="0.25">
      <c r="A1683" t="s">
        <v>4003</v>
      </c>
      <c r="B1683">
        <v>53.3</v>
      </c>
      <c r="C1683">
        <v>0.1</v>
      </c>
    </row>
    <row r="1684" spans="1:3" ht="15" customHeight="1" x14ac:dyDescent="0.25">
      <c r="A1684" t="s">
        <v>4004</v>
      </c>
      <c r="B1684">
        <v>53.3</v>
      </c>
      <c r="C1684">
        <v>0.03</v>
      </c>
    </row>
    <row r="1685" spans="1:3" ht="15" customHeight="1" x14ac:dyDescent="0.25">
      <c r="A1685" t="s">
        <v>4005</v>
      </c>
      <c r="B1685">
        <v>53.3</v>
      </c>
      <c r="C1685">
        <v>0.1</v>
      </c>
    </row>
    <row r="1686" spans="1:3" ht="15" customHeight="1" x14ac:dyDescent="0.25">
      <c r="A1686" t="s">
        <v>4006</v>
      </c>
      <c r="B1686">
        <v>53.3</v>
      </c>
      <c r="C1686">
        <v>0.1</v>
      </c>
    </row>
    <row r="1687" spans="1:3" ht="15" customHeight="1" x14ac:dyDescent="0.25">
      <c r="A1687" t="s">
        <v>4007</v>
      </c>
      <c r="B1687">
        <v>53.3</v>
      </c>
      <c r="C1687">
        <v>0.03</v>
      </c>
    </row>
    <row r="1688" spans="1:3" ht="15" customHeight="1" x14ac:dyDescent="0.25">
      <c r="A1688" t="s">
        <v>4008</v>
      </c>
      <c r="B1688">
        <v>53.3</v>
      </c>
      <c r="C1688">
        <v>0.03</v>
      </c>
    </row>
    <row r="1689" spans="1:3" ht="15" customHeight="1" x14ac:dyDescent="0.25">
      <c r="A1689" t="s">
        <v>4009</v>
      </c>
      <c r="B1689">
        <v>53.3</v>
      </c>
      <c r="C1689">
        <v>0.03</v>
      </c>
    </row>
    <row r="1690" spans="1:3" ht="15" customHeight="1" x14ac:dyDescent="0.25">
      <c r="A1690" t="s">
        <v>4010</v>
      </c>
      <c r="B1690">
        <v>53.3</v>
      </c>
      <c r="C1690">
        <v>0.03</v>
      </c>
    </row>
    <row r="1691" spans="1:3" ht="15" customHeight="1" x14ac:dyDescent="0.25">
      <c r="A1691" t="s">
        <v>4011</v>
      </c>
      <c r="B1691">
        <v>43.7</v>
      </c>
    </row>
    <row r="1692" spans="1:3" ht="15" customHeight="1" x14ac:dyDescent="0.25">
      <c r="A1692" t="s">
        <v>4012</v>
      </c>
      <c r="B1692">
        <v>43.7</v>
      </c>
    </row>
    <row r="1693" spans="1:3" ht="15" customHeight="1" x14ac:dyDescent="0.25">
      <c r="A1693" t="s">
        <v>4013</v>
      </c>
      <c r="B1693">
        <v>43.7</v>
      </c>
    </row>
    <row r="1694" spans="1:3" ht="15" customHeight="1" x14ac:dyDescent="0.25">
      <c r="A1694" t="s">
        <v>128</v>
      </c>
      <c r="B1694">
        <v>53.3</v>
      </c>
      <c r="C1694">
        <v>0.03</v>
      </c>
    </row>
    <row r="1695" spans="1:3" ht="15" customHeight="1" x14ac:dyDescent="0.25">
      <c r="A1695" t="s">
        <v>4014</v>
      </c>
      <c r="B1695">
        <v>53.3</v>
      </c>
      <c r="C1695">
        <v>0.03</v>
      </c>
    </row>
    <row r="1696" spans="1:3" ht="15" customHeight="1" x14ac:dyDescent="0.25">
      <c r="A1696" t="s">
        <v>4015</v>
      </c>
      <c r="B1696">
        <v>53.3</v>
      </c>
      <c r="C1696">
        <v>0.1</v>
      </c>
    </row>
    <row r="1697" spans="1:3" ht="15" customHeight="1" x14ac:dyDescent="0.25">
      <c r="A1697" t="s">
        <v>4016</v>
      </c>
      <c r="B1697">
        <v>60</v>
      </c>
      <c r="C1697">
        <v>0.03</v>
      </c>
    </row>
    <row r="1698" spans="1:3" ht="15" customHeight="1" x14ac:dyDescent="0.25">
      <c r="A1698" t="s">
        <v>4017</v>
      </c>
      <c r="B1698">
        <v>60</v>
      </c>
    </row>
    <row r="1699" spans="1:3" ht="15" customHeight="1" x14ac:dyDescent="0.25">
      <c r="A1699" t="s">
        <v>4018</v>
      </c>
      <c r="B1699">
        <v>60</v>
      </c>
      <c r="C1699">
        <v>0.1</v>
      </c>
    </row>
    <row r="1700" spans="1:3" ht="15" customHeight="1" x14ac:dyDescent="0.25">
      <c r="A1700" t="s">
        <v>4019</v>
      </c>
      <c r="B1700">
        <v>43.7</v>
      </c>
      <c r="C1700">
        <v>0.03</v>
      </c>
    </row>
    <row r="1701" spans="1:3" ht="15" customHeight="1" x14ac:dyDescent="0.25">
      <c r="A1701" t="s">
        <v>4020</v>
      </c>
      <c r="B1701">
        <v>43.7</v>
      </c>
      <c r="C1701">
        <v>0.03</v>
      </c>
    </row>
    <row r="1702" spans="1:3" ht="15" customHeight="1" x14ac:dyDescent="0.25">
      <c r="A1702" t="s">
        <v>4021</v>
      </c>
      <c r="B1702">
        <v>43.7</v>
      </c>
      <c r="C1702">
        <v>0.03</v>
      </c>
    </row>
    <row r="1703" spans="1:3" ht="15" customHeight="1" x14ac:dyDescent="0.25">
      <c r="A1703" t="s">
        <v>4022</v>
      </c>
      <c r="B1703">
        <v>59.2</v>
      </c>
      <c r="C1703">
        <v>0.03</v>
      </c>
    </row>
    <row r="1704" spans="1:3" ht="15" customHeight="1" x14ac:dyDescent="0.25">
      <c r="A1704" t="s">
        <v>4023</v>
      </c>
      <c r="B1704">
        <v>59.2</v>
      </c>
      <c r="C1704">
        <v>0.03</v>
      </c>
    </row>
    <row r="1705" spans="1:3" ht="15" customHeight="1" x14ac:dyDescent="0.25">
      <c r="A1705" t="s">
        <v>4024</v>
      </c>
      <c r="B1705">
        <v>59.2</v>
      </c>
      <c r="C1705">
        <v>0.03</v>
      </c>
    </row>
    <row r="1706" spans="1:3" ht="15" customHeight="1" x14ac:dyDescent="0.25">
      <c r="A1706" t="s">
        <v>4025</v>
      </c>
      <c r="B1706">
        <v>44.3</v>
      </c>
      <c r="C1706">
        <v>0.03</v>
      </c>
    </row>
    <row r="1707" spans="1:3" ht="15" customHeight="1" x14ac:dyDescent="0.25">
      <c r="A1707" t="s">
        <v>4026</v>
      </c>
      <c r="B1707">
        <v>44.3</v>
      </c>
      <c r="C1707">
        <v>0.1</v>
      </c>
    </row>
    <row r="1708" spans="1:3" ht="15" customHeight="1" x14ac:dyDescent="0.25">
      <c r="A1708" t="s">
        <v>4027</v>
      </c>
      <c r="B1708">
        <v>44.3</v>
      </c>
      <c r="C1708">
        <v>0.1</v>
      </c>
    </row>
    <row r="1709" spans="1:3" ht="15" customHeight="1" x14ac:dyDescent="0.25">
      <c r="A1709" t="s">
        <v>4028</v>
      </c>
      <c r="B1709">
        <v>44.3</v>
      </c>
      <c r="C1709">
        <v>0.03</v>
      </c>
    </row>
    <row r="1710" spans="1:3" ht="15" customHeight="1" x14ac:dyDescent="0.25">
      <c r="A1710" t="s">
        <v>4029</v>
      </c>
      <c r="B1710">
        <v>44.3</v>
      </c>
      <c r="C1710">
        <v>0.03</v>
      </c>
    </row>
    <row r="1711" spans="1:3" ht="15" customHeight="1" x14ac:dyDescent="0.25">
      <c r="A1711" t="s">
        <v>4030</v>
      </c>
      <c r="B1711">
        <v>44.3</v>
      </c>
      <c r="C1711">
        <v>0.03</v>
      </c>
    </row>
    <row r="1712" spans="1:3" ht="15" customHeight="1" x14ac:dyDescent="0.25">
      <c r="A1712" t="s">
        <v>4031</v>
      </c>
      <c r="B1712">
        <v>53.3</v>
      </c>
      <c r="C1712">
        <v>0.3</v>
      </c>
    </row>
    <row r="1713" spans="1:3" ht="15" customHeight="1" x14ac:dyDescent="0.25">
      <c r="A1713" t="s">
        <v>4032</v>
      </c>
      <c r="B1713">
        <v>53.3</v>
      </c>
    </row>
    <row r="1714" spans="1:3" ht="15" customHeight="1" x14ac:dyDescent="0.25">
      <c r="A1714" t="s">
        <v>4033</v>
      </c>
      <c r="B1714">
        <v>53.3</v>
      </c>
      <c r="C1714">
        <v>0.3</v>
      </c>
    </row>
    <row r="1715" spans="1:3" ht="15" customHeight="1" x14ac:dyDescent="0.25">
      <c r="A1715" t="s">
        <v>4034</v>
      </c>
      <c r="B1715">
        <v>47</v>
      </c>
      <c r="C1715">
        <v>0.03</v>
      </c>
    </row>
    <row r="1716" spans="1:3" ht="15" customHeight="1" x14ac:dyDescent="0.25">
      <c r="A1716" t="s">
        <v>4035</v>
      </c>
      <c r="B1716">
        <v>47</v>
      </c>
      <c r="C1716">
        <v>0.03</v>
      </c>
    </row>
    <row r="1717" spans="1:3" ht="15" customHeight="1" x14ac:dyDescent="0.25">
      <c r="A1717" t="s">
        <v>4036</v>
      </c>
      <c r="B1717">
        <v>47</v>
      </c>
      <c r="C1717">
        <v>0.03</v>
      </c>
    </row>
    <row r="1718" spans="1:3" ht="15" customHeight="1" x14ac:dyDescent="0.25">
      <c r="A1718" t="s">
        <v>4037</v>
      </c>
      <c r="B1718">
        <v>47</v>
      </c>
      <c r="C1718">
        <v>0.03</v>
      </c>
    </row>
    <row r="1719" spans="1:3" ht="15" customHeight="1" x14ac:dyDescent="0.25">
      <c r="A1719" t="s">
        <v>4038</v>
      </c>
      <c r="B1719">
        <v>47</v>
      </c>
      <c r="C1719">
        <v>0.1</v>
      </c>
    </row>
    <row r="1720" spans="1:3" ht="15" customHeight="1" x14ac:dyDescent="0.25">
      <c r="A1720" t="s">
        <v>4039</v>
      </c>
      <c r="B1720">
        <v>47</v>
      </c>
      <c r="C1720">
        <v>0.1</v>
      </c>
    </row>
    <row r="1721" spans="1:3" ht="15" customHeight="1" x14ac:dyDescent="0.25">
      <c r="A1721" t="s">
        <v>4040</v>
      </c>
      <c r="B1721">
        <v>318.2</v>
      </c>
      <c r="C1721">
        <v>0.02</v>
      </c>
    </row>
    <row r="1722" spans="1:3" ht="15" customHeight="1" x14ac:dyDescent="0.25">
      <c r="A1722" t="s">
        <v>4041</v>
      </c>
      <c r="B1722">
        <v>377.5</v>
      </c>
      <c r="C1722">
        <v>0.02</v>
      </c>
    </row>
    <row r="1723" spans="1:3" ht="15" customHeight="1" x14ac:dyDescent="0.25">
      <c r="A1723" t="s">
        <v>4042</v>
      </c>
      <c r="B1723">
        <v>318.2</v>
      </c>
    </row>
    <row r="1724" spans="1:3" ht="15" customHeight="1" x14ac:dyDescent="0.25">
      <c r="A1724" t="s">
        <v>4043</v>
      </c>
      <c r="B1724">
        <v>318.2</v>
      </c>
      <c r="C1724">
        <v>0.02</v>
      </c>
    </row>
    <row r="1725" spans="1:3" ht="15" customHeight="1" x14ac:dyDescent="0.25">
      <c r="A1725" t="s">
        <v>4044</v>
      </c>
      <c r="B1725">
        <v>377.5</v>
      </c>
      <c r="C1725">
        <v>0.02</v>
      </c>
    </row>
    <row r="1726" spans="1:3" ht="15" customHeight="1" x14ac:dyDescent="0.25">
      <c r="A1726" t="s">
        <v>4045</v>
      </c>
      <c r="B1726">
        <v>377.5</v>
      </c>
      <c r="C1726">
        <v>0.02</v>
      </c>
    </row>
    <row r="1727" spans="1:3" ht="15" customHeight="1" x14ac:dyDescent="0.25">
      <c r="A1727" t="s">
        <v>4046</v>
      </c>
      <c r="B1727">
        <v>377.5</v>
      </c>
    </row>
    <row r="1728" spans="1:3" ht="15" customHeight="1" x14ac:dyDescent="0.25">
      <c r="A1728" t="s">
        <v>4047</v>
      </c>
      <c r="B1728">
        <v>438.4</v>
      </c>
      <c r="C1728">
        <v>0.02</v>
      </c>
    </row>
    <row r="1729" spans="1:3" ht="15" customHeight="1" x14ac:dyDescent="0.25">
      <c r="A1729" t="s">
        <v>4048</v>
      </c>
      <c r="B1729">
        <v>318.2</v>
      </c>
      <c r="C1729">
        <v>0.02</v>
      </c>
    </row>
    <row r="1730" spans="1:3" ht="15" customHeight="1" x14ac:dyDescent="0.25">
      <c r="A1730" t="s">
        <v>4049</v>
      </c>
      <c r="B1730">
        <v>377.5</v>
      </c>
      <c r="C1730">
        <v>0.02</v>
      </c>
    </row>
    <row r="1731" spans="1:3" ht="15" customHeight="1" x14ac:dyDescent="0.25">
      <c r="A1731" t="s">
        <v>4050</v>
      </c>
      <c r="B1731">
        <v>413.8</v>
      </c>
      <c r="C1731">
        <v>0.02</v>
      </c>
    </row>
    <row r="1732" spans="1:3" ht="15" customHeight="1" x14ac:dyDescent="0.25">
      <c r="A1732" t="s">
        <v>4051</v>
      </c>
      <c r="B1732">
        <v>461.7</v>
      </c>
      <c r="C1732">
        <v>0.02</v>
      </c>
    </row>
    <row r="1733" spans="1:3" ht="15" customHeight="1" x14ac:dyDescent="0.25">
      <c r="A1733" t="s">
        <v>4052</v>
      </c>
      <c r="B1733">
        <v>413.8</v>
      </c>
      <c r="C1733">
        <v>0.02</v>
      </c>
    </row>
    <row r="1734" spans="1:3" ht="15" customHeight="1" x14ac:dyDescent="0.25">
      <c r="A1734" t="s">
        <v>4053</v>
      </c>
      <c r="B1734">
        <v>461.7</v>
      </c>
      <c r="C1734">
        <v>0.02</v>
      </c>
    </row>
    <row r="1735" spans="1:3" ht="15" customHeight="1" x14ac:dyDescent="0.25">
      <c r="A1735" t="s">
        <v>4054</v>
      </c>
      <c r="B1735">
        <v>413.8</v>
      </c>
      <c r="C1735">
        <v>0.02</v>
      </c>
    </row>
    <row r="1736" spans="1:3" ht="15" customHeight="1" x14ac:dyDescent="0.25">
      <c r="A1736" t="s">
        <v>4055</v>
      </c>
      <c r="B1736">
        <v>131.1</v>
      </c>
      <c r="C1736">
        <v>0.3</v>
      </c>
    </row>
    <row r="1737" spans="1:3" ht="15" customHeight="1" x14ac:dyDescent="0.25">
      <c r="A1737" t="s">
        <v>4056</v>
      </c>
      <c r="B1737">
        <v>37.299999999999997</v>
      </c>
    </row>
    <row r="1738" spans="1:3" ht="15" customHeight="1" x14ac:dyDescent="0.25">
      <c r="A1738" t="s">
        <v>4057</v>
      </c>
      <c r="B1738">
        <v>37.299999999999997</v>
      </c>
    </row>
    <row r="1739" spans="1:3" ht="15" customHeight="1" x14ac:dyDescent="0.25">
      <c r="A1739" t="s">
        <v>4058</v>
      </c>
      <c r="B1739">
        <v>37.299999999999997</v>
      </c>
    </row>
    <row r="1740" spans="1:3" ht="15" customHeight="1" x14ac:dyDescent="0.25">
      <c r="A1740" t="s">
        <v>4059</v>
      </c>
      <c r="B1740">
        <v>37.299999999999997</v>
      </c>
    </row>
    <row r="1741" spans="1:3" ht="15" customHeight="1" x14ac:dyDescent="0.25">
      <c r="A1741" t="s">
        <v>4060</v>
      </c>
      <c r="B1741">
        <v>37.299999999999997</v>
      </c>
    </row>
    <row r="1742" spans="1:3" ht="15" customHeight="1" x14ac:dyDescent="0.25">
      <c r="A1742" t="s">
        <v>4061</v>
      </c>
      <c r="B1742">
        <v>37.299999999999997</v>
      </c>
    </row>
    <row r="1743" spans="1:3" ht="15" customHeight="1" x14ac:dyDescent="0.25">
      <c r="A1743" t="s">
        <v>4062</v>
      </c>
      <c r="B1743">
        <v>37.299999999999997</v>
      </c>
    </row>
    <row r="1744" spans="1:3" ht="15" customHeight="1" x14ac:dyDescent="0.25">
      <c r="A1744" t="s">
        <v>4063</v>
      </c>
      <c r="B1744">
        <v>47.7</v>
      </c>
    </row>
    <row r="1745" spans="1:3" ht="15" customHeight="1" x14ac:dyDescent="0.25">
      <c r="A1745" t="s">
        <v>4064</v>
      </c>
      <c r="B1745">
        <v>47.7</v>
      </c>
    </row>
    <row r="1746" spans="1:3" ht="15" customHeight="1" x14ac:dyDescent="0.25">
      <c r="A1746" t="s">
        <v>4065</v>
      </c>
      <c r="B1746">
        <v>47.7</v>
      </c>
    </row>
    <row r="1747" spans="1:3" ht="15" customHeight="1" x14ac:dyDescent="0.25">
      <c r="A1747" t="s">
        <v>4066</v>
      </c>
      <c r="B1747">
        <v>47.7</v>
      </c>
    </row>
    <row r="1748" spans="1:3" ht="15" customHeight="1" x14ac:dyDescent="0.25">
      <c r="A1748" t="s">
        <v>4067</v>
      </c>
      <c r="B1748">
        <v>47.7</v>
      </c>
    </row>
    <row r="1749" spans="1:3" ht="15" customHeight="1" x14ac:dyDescent="0.25">
      <c r="A1749" t="s">
        <v>4068</v>
      </c>
      <c r="B1749">
        <v>37.299999999999997</v>
      </c>
    </row>
    <row r="1750" spans="1:3" ht="15" customHeight="1" x14ac:dyDescent="0.25">
      <c r="A1750" t="s">
        <v>4069</v>
      </c>
      <c r="B1750">
        <v>37</v>
      </c>
    </row>
    <row r="1751" spans="1:3" ht="15" customHeight="1" x14ac:dyDescent="0.25">
      <c r="A1751" t="s">
        <v>4070</v>
      </c>
      <c r="B1751">
        <v>37</v>
      </c>
    </row>
    <row r="1752" spans="1:3" ht="15" customHeight="1" x14ac:dyDescent="0.25">
      <c r="A1752" t="s">
        <v>4071</v>
      </c>
      <c r="B1752">
        <v>34.9</v>
      </c>
    </row>
    <row r="1753" spans="1:3" ht="15" customHeight="1" x14ac:dyDescent="0.25">
      <c r="A1753" t="s">
        <v>4072</v>
      </c>
      <c r="B1753">
        <v>34.9</v>
      </c>
    </row>
    <row r="1754" spans="1:3" ht="15" customHeight="1" x14ac:dyDescent="0.25">
      <c r="A1754" t="s">
        <v>4073</v>
      </c>
      <c r="B1754">
        <v>32.4</v>
      </c>
      <c r="C1754">
        <v>0.3</v>
      </c>
    </row>
    <row r="1755" spans="1:3" ht="15" customHeight="1" x14ac:dyDescent="0.25">
      <c r="A1755" t="s">
        <v>4074</v>
      </c>
      <c r="B1755">
        <v>32.4</v>
      </c>
      <c r="C1755">
        <v>0.3</v>
      </c>
    </row>
    <row r="1756" spans="1:3" ht="15" customHeight="1" x14ac:dyDescent="0.25">
      <c r="A1756" t="s">
        <v>4075</v>
      </c>
      <c r="B1756">
        <v>35.9</v>
      </c>
      <c r="C1756">
        <v>0.3</v>
      </c>
    </row>
    <row r="1757" spans="1:3" ht="15" customHeight="1" x14ac:dyDescent="0.25">
      <c r="A1757" t="s">
        <v>4076</v>
      </c>
      <c r="B1757">
        <v>35.9</v>
      </c>
      <c r="C1757">
        <v>0.3</v>
      </c>
    </row>
    <row r="1758" spans="1:3" ht="15" customHeight="1" x14ac:dyDescent="0.25">
      <c r="A1758" t="s">
        <v>4077</v>
      </c>
      <c r="B1758">
        <v>37</v>
      </c>
      <c r="C1758">
        <v>0.3</v>
      </c>
    </row>
    <row r="1759" spans="1:3" ht="15" customHeight="1" x14ac:dyDescent="0.25">
      <c r="A1759" t="s">
        <v>4078</v>
      </c>
      <c r="B1759">
        <v>37</v>
      </c>
      <c r="C1759">
        <v>0.3</v>
      </c>
    </row>
    <row r="1760" spans="1:3" ht="15" customHeight="1" x14ac:dyDescent="0.25">
      <c r="A1760" t="s">
        <v>4079</v>
      </c>
      <c r="B1760">
        <v>37</v>
      </c>
      <c r="C1760">
        <v>0.3</v>
      </c>
    </row>
    <row r="1761" spans="1:3" ht="15" customHeight="1" x14ac:dyDescent="0.25">
      <c r="A1761" t="s">
        <v>4080</v>
      </c>
      <c r="B1761">
        <v>37</v>
      </c>
      <c r="C1761">
        <v>0.3</v>
      </c>
    </row>
    <row r="1762" spans="1:3" ht="15" customHeight="1" x14ac:dyDescent="0.25">
      <c r="A1762" t="s">
        <v>4081</v>
      </c>
      <c r="B1762">
        <v>33.9</v>
      </c>
      <c r="C1762">
        <v>0.3</v>
      </c>
    </row>
    <row r="1763" spans="1:3" ht="15" customHeight="1" x14ac:dyDescent="0.25">
      <c r="A1763" t="s">
        <v>4082</v>
      </c>
      <c r="B1763">
        <v>33.9</v>
      </c>
      <c r="C1763">
        <v>0.3</v>
      </c>
    </row>
    <row r="1764" spans="1:3" ht="15" customHeight="1" x14ac:dyDescent="0.25">
      <c r="A1764" t="s">
        <v>4083</v>
      </c>
      <c r="B1764">
        <v>37</v>
      </c>
      <c r="C1764">
        <v>0.3</v>
      </c>
    </row>
    <row r="1765" spans="1:3" ht="15" customHeight="1" x14ac:dyDescent="0.25">
      <c r="A1765" t="s">
        <v>4084</v>
      </c>
      <c r="B1765">
        <v>37</v>
      </c>
      <c r="C1765">
        <v>0.3</v>
      </c>
    </row>
    <row r="1766" spans="1:3" ht="15" customHeight="1" x14ac:dyDescent="0.25">
      <c r="A1766" t="s">
        <v>4085</v>
      </c>
      <c r="B1766">
        <v>37</v>
      </c>
      <c r="C1766">
        <v>0.3</v>
      </c>
    </row>
    <row r="1767" spans="1:3" ht="15" customHeight="1" x14ac:dyDescent="0.25">
      <c r="A1767" t="s">
        <v>4086</v>
      </c>
      <c r="B1767">
        <v>37</v>
      </c>
    </row>
    <row r="1768" spans="1:3" ht="15" customHeight="1" x14ac:dyDescent="0.25">
      <c r="A1768" t="s">
        <v>4087</v>
      </c>
      <c r="B1768">
        <v>37</v>
      </c>
    </row>
    <row r="1769" spans="1:3" ht="15" customHeight="1" x14ac:dyDescent="0.25">
      <c r="A1769" t="s">
        <v>4088</v>
      </c>
      <c r="B1769">
        <v>37</v>
      </c>
    </row>
    <row r="1770" spans="1:3" ht="15" customHeight="1" x14ac:dyDescent="0.25">
      <c r="A1770" t="s">
        <v>4089</v>
      </c>
      <c r="B1770">
        <v>37</v>
      </c>
    </row>
    <row r="1771" spans="1:3" ht="15" customHeight="1" x14ac:dyDescent="0.25">
      <c r="A1771" t="s">
        <v>4090</v>
      </c>
      <c r="B1771">
        <v>39.5</v>
      </c>
      <c r="C1771">
        <v>0.03</v>
      </c>
    </row>
    <row r="1772" spans="1:3" ht="15" customHeight="1" x14ac:dyDescent="0.25">
      <c r="A1772" t="s">
        <v>4091</v>
      </c>
      <c r="B1772">
        <v>39.5</v>
      </c>
      <c r="C1772">
        <v>0.03</v>
      </c>
    </row>
    <row r="1773" spans="1:3" ht="15" customHeight="1" x14ac:dyDescent="0.25">
      <c r="A1773" t="s">
        <v>4092</v>
      </c>
      <c r="B1773">
        <v>39.5</v>
      </c>
      <c r="C1773">
        <v>0.03</v>
      </c>
    </row>
    <row r="1774" spans="1:3" ht="15" customHeight="1" x14ac:dyDescent="0.25">
      <c r="A1774" t="s">
        <v>1631</v>
      </c>
      <c r="B1774">
        <v>39.5</v>
      </c>
      <c r="C1774">
        <v>0.03</v>
      </c>
    </row>
    <row r="1775" spans="1:3" ht="15" customHeight="1" x14ac:dyDescent="0.25">
      <c r="A1775" t="s">
        <v>4093</v>
      </c>
      <c r="B1775">
        <v>36.4</v>
      </c>
      <c r="C1775">
        <v>0.03</v>
      </c>
    </row>
    <row r="1776" spans="1:3" ht="15" customHeight="1" x14ac:dyDescent="0.25">
      <c r="A1776" t="s">
        <v>4094</v>
      </c>
      <c r="B1776">
        <v>36.4</v>
      </c>
      <c r="C1776">
        <v>0.03</v>
      </c>
    </row>
    <row r="1777" spans="1:3" ht="15" customHeight="1" x14ac:dyDescent="0.25">
      <c r="A1777" t="s">
        <v>4095</v>
      </c>
      <c r="B1777">
        <v>35.9</v>
      </c>
      <c r="C1777">
        <v>0.03</v>
      </c>
    </row>
    <row r="1778" spans="1:3" ht="15" customHeight="1" x14ac:dyDescent="0.25">
      <c r="A1778" t="s">
        <v>4096</v>
      </c>
      <c r="B1778">
        <v>35.9</v>
      </c>
      <c r="C1778">
        <v>0.03</v>
      </c>
    </row>
    <row r="1779" spans="1:3" ht="15" customHeight="1" x14ac:dyDescent="0.25">
      <c r="A1779" t="s">
        <v>4097</v>
      </c>
      <c r="B1779">
        <v>36.4</v>
      </c>
      <c r="C1779">
        <v>0.15</v>
      </c>
    </row>
    <row r="1780" spans="1:3" ht="15" customHeight="1" x14ac:dyDescent="0.25">
      <c r="A1780" t="s">
        <v>4098</v>
      </c>
      <c r="B1780">
        <v>36.4</v>
      </c>
      <c r="C1780">
        <v>0.15</v>
      </c>
    </row>
    <row r="1781" spans="1:3" ht="15" customHeight="1" x14ac:dyDescent="0.25">
      <c r="A1781" t="s">
        <v>4099</v>
      </c>
      <c r="B1781">
        <v>39.5</v>
      </c>
      <c r="C1781">
        <v>0.15</v>
      </c>
    </row>
    <row r="1782" spans="1:3" ht="15" customHeight="1" x14ac:dyDescent="0.25">
      <c r="A1782" t="s">
        <v>4100</v>
      </c>
      <c r="B1782">
        <v>39.5</v>
      </c>
      <c r="C1782">
        <v>0.15</v>
      </c>
    </row>
    <row r="1783" spans="1:3" ht="15" customHeight="1" x14ac:dyDescent="0.25">
      <c r="A1783" t="s">
        <v>4101</v>
      </c>
      <c r="B1783">
        <v>39.5</v>
      </c>
      <c r="C1783">
        <v>0.03</v>
      </c>
    </row>
    <row r="1784" spans="1:3" ht="15" customHeight="1" x14ac:dyDescent="0.25">
      <c r="A1784" t="s">
        <v>4102</v>
      </c>
      <c r="B1784">
        <v>39.5</v>
      </c>
      <c r="C1784">
        <v>0.03</v>
      </c>
    </row>
    <row r="1785" spans="1:3" ht="15" customHeight="1" x14ac:dyDescent="0.25">
      <c r="A1785" t="s">
        <v>4103</v>
      </c>
      <c r="B1785">
        <v>39.5</v>
      </c>
      <c r="C1785">
        <v>0.03</v>
      </c>
    </row>
    <row r="1786" spans="1:3" ht="15" customHeight="1" x14ac:dyDescent="0.25">
      <c r="A1786" t="s">
        <v>4104</v>
      </c>
      <c r="B1786">
        <v>39.5</v>
      </c>
      <c r="C1786">
        <v>0.03</v>
      </c>
    </row>
    <row r="1787" spans="1:3" ht="15" customHeight="1" x14ac:dyDescent="0.25">
      <c r="A1787" t="s">
        <v>4105</v>
      </c>
      <c r="B1787">
        <v>39.5</v>
      </c>
      <c r="C1787">
        <v>0.15</v>
      </c>
    </row>
    <row r="1788" spans="1:3" ht="15" customHeight="1" x14ac:dyDescent="0.25">
      <c r="A1788" t="s">
        <v>4106</v>
      </c>
      <c r="B1788">
        <v>39.5</v>
      </c>
      <c r="C1788">
        <v>0.15</v>
      </c>
    </row>
    <row r="1789" spans="1:3" ht="15" customHeight="1" x14ac:dyDescent="0.25">
      <c r="A1789" t="s">
        <v>803</v>
      </c>
      <c r="B1789">
        <v>39.5</v>
      </c>
      <c r="C1789">
        <v>0.03</v>
      </c>
    </row>
    <row r="1790" spans="1:3" ht="15" customHeight="1" x14ac:dyDescent="0.25">
      <c r="A1790" t="s">
        <v>642</v>
      </c>
      <c r="B1790">
        <v>39.5</v>
      </c>
      <c r="C1790">
        <v>0.03</v>
      </c>
    </row>
    <row r="1791" spans="1:3" ht="15" customHeight="1" x14ac:dyDescent="0.25">
      <c r="A1791" t="s">
        <v>602</v>
      </c>
      <c r="B1791">
        <v>39.5</v>
      </c>
      <c r="C1791">
        <v>0.03</v>
      </c>
    </row>
    <row r="1792" spans="1:3" ht="15" customHeight="1" x14ac:dyDescent="0.25">
      <c r="A1792" t="s">
        <v>4107</v>
      </c>
      <c r="B1792">
        <v>39.5</v>
      </c>
      <c r="C1792">
        <v>0.03</v>
      </c>
    </row>
    <row r="1793" spans="1:3" ht="15" customHeight="1" x14ac:dyDescent="0.25">
      <c r="A1793" t="s">
        <v>4108</v>
      </c>
      <c r="B1793">
        <v>128.80000000000001</v>
      </c>
      <c r="C1793">
        <v>0.1</v>
      </c>
    </row>
    <row r="1794" spans="1:3" ht="15" customHeight="1" x14ac:dyDescent="0.25">
      <c r="A1794" t="s">
        <v>4109</v>
      </c>
      <c r="B1794">
        <v>156.1</v>
      </c>
      <c r="C1794">
        <v>0.1</v>
      </c>
    </row>
    <row r="1795" spans="1:3" ht="15" customHeight="1" x14ac:dyDescent="0.25">
      <c r="A1795" t="s">
        <v>4110</v>
      </c>
      <c r="B1795">
        <v>128.80000000000001</v>
      </c>
      <c r="C1795">
        <v>0.1</v>
      </c>
    </row>
    <row r="1796" spans="1:3" ht="15" customHeight="1" x14ac:dyDescent="0.25">
      <c r="A1796" t="s">
        <v>4111</v>
      </c>
      <c r="B1796">
        <v>128.80000000000001</v>
      </c>
      <c r="C1796">
        <v>0.1</v>
      </c>
    </row>
    <row r="1797" spans="1:3" ht="15" customHeight="1" x14ac:dyDescent="0.25">
      <c r="A1797" t="s">
        <v>4112</v>
      </c>
      <c r="B1797">
        <v>156.1</v>
      </c>
      <c r="C1797">
        <v>0.1</v>
      </c>
    </row>
    <row r="1798" spans="1:3" ht="15" customHeight="1" x14ac:dyDescent="0.25">
      <c r="A1798" t="s">
        <v>4113</v>
      </c>
      <c r="B1798">
        <v>76.3</v>
      </c>
      <c r="C1798">
        <v>0.05</v>
      </c>
    </row>
    <row r="1799" spans="1:3" ht="15" customHeight="1" x14ac:dyDescent="0.25">
      <c r="A1799" t="s">
        <v>4114</v>
      </c>
      <c r="B1799">
        <v>116.8</v>
      </c>
      <c r="C1799">
        <v>0.05</v>
      </c>
    </row>
    <row r="1800" spans="1:3" ht="15" customHeight="1" x14ac:dyDescent="0.25">
      <c r="A1800" t="s">
        <v>4115</v>
      </c>
      <c r="B1800">
        <v>116.8</v>
      </c>
      <c r="C1800">
        <v>0.1</v>
      </c>
    </row>
    <row r="1801" spans="1:3" ht="15" customHeight="1" x14ac:dyDescent="0.25">
      <c r="A1801" t="s">
        <v>4116</v>
      </c>
      <c r="B1801">
        <v>116.8</v>
      </c>
      <c r="C1801">
        <v>0.1</v>
      </c>
    </row>
    <row r="1802" spans="1:3" ht="15" customHeight="1" x14ac:dyDescent="0.25">
      <c r="A1802" t="s">
        <v>4117</v>
      </c>
      <c r="B1802">
        <v>161.5</v>
      </c>
      <c r="C1802">
        <v>0.05</v>
      </c>
    </row>
    <row r="1803" spans="1:3" ht="15" customHeight="1" x14ac:dyDescent="0.25">
      <c r="A1803" t="s">
        <v>4118</v>
      </c>
      <c r="B1803">
        <v>168.8</v>
      </c>
      <c r="C1803">
        <v>0.05</v>
      </c>
    </row>
    <row r="1804" spans="1:3" ht="15" customHeight="1" x14ac:dyDescent="0.25">
      <c r="A1804" t="s">
        <v>4119</v>
      </c>
      <c r="B1804">
        <v>121.5</v>
      </c>
      <c r="C1804">
        <v>0.03</v>
      </c>
    </row>
    <row r="1805" spans="1:3" ht="15" customHeight="1" x14ac:dyDescent="0.25">
      <c r="A1805" t="s">
        <v>4120</v>
      </c>
      <c r="B1805">
        <v>116.8</v>
      </c>
      <c r="C1805">
        <v>0.05</v>
      </c>
    </row>
    <row r="1806" spans="1:3" ht="15" customHeight="1" x14ac:dyDescent="0.25">
      <c r="A1806" t="s">
        <v>4121</v>
      </c>
      <c r="B1806">
        <v>122.8</v>
      </c>
      <c r="C1806">
        <v>0.1</v>
      </c>
    </row>
    <row r="1807" spans="1:3" ht="15" customHeight="1" x14ac:dyDescent="0.25">
      <c r="A1807" t="s">
        <v>4122</v>
      </c>
      <c r="B1807">
        <v>161.5</v>
      </c>
      <c r="C1807">
        <v>0.05</v>
      </c>
    </row>
    <row r="1808" spans="1:3" ht="15" customHeight="1" x14ac:dyDescent="0.25">
      <c r="A1808" t="s">
        <v>4123</v>
      </c>
      <c r="B1808">
        <v>122.8</v>
      </c>
      <c r="C1808">
        <v>0.05</v>
      </c>
    </row>
    <row r="1809" spans="1:3" ht="15" customHeight="1" x14ac:dyDescent="0.25">
      <c r="A1809" t="s">
        <v>4124</v>
      </c>
      <c r="B1809">
        <v>161.5</v>
      </c>
    </row>
    <row r="1810" spans="1:3" ht="15" customHeight="1" x14ac:dyDescent="0.25">
      <c r="A1810" t="s">
        <v>4125</v>
      </c>
      <c r="B1810">
        <v>168.8</v>
      </c>
    </row>
    <row r="1811" spans="1:3" ht="15" customHeight="1" x14ac:dyDescent="0.25">
      <c r="A1811" t="s">
        <v>4126</v>
      </c>
      <c r="B1811">
        <v>128.80000000000001</v>
      </c>
      <c r="C1811">
        <v>0.1</v>
      </c>
    </row>
    <row r="1812" spans="1:3" ht="15" customHeight="1" x14ac:dyDescent="0.25">
      <c r="A1812" t="s">
        <v>4127</v>
      </c>
      <c r="B1812">
        <v>128.80000000000001</v>
      </c>
      <c r="C1812">
        <v>0.1</v>
      </c>
    </row>
    <row r="1813" spans="1:3" ht="15" customHeight="1" x14ac:dyDescent="0.25">
      <c r="A1813" t="s">
        <v>4128</v>
      </c>
      <c r="B1813">
        <v>128.80000000000001</v>
      </c>
      <c r="C1813">
        <v>0.1</v>
      </c>
    </row>
    <row r="1814" spans="1:3" ht="15" customHeight="1" x14ac:dyDescent="0.25">
      <c r="A1814" t="s">
        <v>4129</v>
      </c>
      <c r="B1814">
        <v>51</v>
      </c>
      <c r="C1814">
        <v>0.05</v>
      </c>
    </row>
    <row r="1815" spans="1:3" ht="15" customHeight="1" x14ac:dyDescent="0.25">
      <c r="A1815" t="s">
        <v>4130</v>
      </c>
      <c r="B1815">
        <v>51</v>
      </c>
      <c r="C1815">
        <v>0.1</v>
      </c>
    </row>
    <row r="1816" spans="1:3" ht="15" customHeight="1" x14ac:dyDescent="0.25">
      <c r="A1816" t="s">
        <v>4131</v>
      </c>
      <c r="B1816">
        <v>51</v>
      </c>
      <c r="C1816">
        <v>0.2</v>
      </c>
    </row>
    <row r="1817" spans="1:3" ht="15" customHeight="1" x14ac:dyDescent="0.25">
      <c r="A1817" t="s">
        <v>4132</v>
      </c>
      <c r="B1817">
        <v>43.4</v>
      </c>
      <c r="C1817">
        <v>0.05</v>
      </c>
    </row>
    <row r="1818" spans="1:3" ht="15" customHeight="1" x14ac:dyDescent="0.25">
      <c r="A1818" t="s">
        <v>4133</v>
      </c>
      <c r="B1818">
        <v>43.4</v>
      </c>
      <c r="C1818">
        <v>0.05</v>
      </c>
    </row>
    <row r="1819" spans="1:3" ht="15" customHeight="1" x14ac:dyDescent="0.25">
      <c r="A1819" t="s">
        <v>4134</v>
      </c>
      <c r="B1819">
        <v>43.4</v>
      </c>
      <c r="C1819">
        <v>0.1</v>
      </c>
    </row>
    <row r="1820" spans="1:3" ht="15" customHeight="1" x14ac:dyDescent="0.25">
      <c r="A1820" t="s">
        <v>4135</v>
      </c>
      <c r="B1820">
        <v>42.1</v>
      </c>
    </row>
    <row r="1821" spans="1:3" ht="15" customHeight="1" x14ac:dyDescent="0.25">
      <c r="A1821" t="s">
        <v>4136</v>
      </c>
      <c r="B1821">
        <v>37.299999999999997</v>
      </c>
    </row>
    <row r="1822" spans="1:3" ht="15" customHeight="1" x14ac:dyDescent="0.25">
      <c r="A1822" t="s">
        <v>4137</v>
      </c>
      <c r="B1822">
        <v>37.299999999999997</v>
      </c>
      <c r="C1822">
        <v>0.3</v>
      </c>
    </row>
    <row r="1823" spans="1:3" ht="15" customHeight="1" x14ac:dyDescent="0.25">
      <c r="A1823" t="s">
        <v>4138</v>
      </c>
      <c r="B1823">
        <v>37.299999999999997</v>
      </c>
      <c r="C1823">
        <v>0.3</v>
      </c>
    </row>
    <row r="1824" spans="1:3" ht="15" customHeight="1" x14ac:dyDescent="0.25">
      <c r="A1824" t="s">
        <v>4139</v>
      </c>
      <c r="B1824">
        <v>37.299999999999997</v>
      </c>
      <c r="C1824">
        <v>0.3</v>
      </c>
    </row>
    <row r="1825" spans="1:3" ht="15" customHeight="1" x14ac:dyDescent="0.25">
      <c r="A1825" t="s">
        <v>4140</v>
      </c>
      <c r="B1825">
        <v>42.1</v>
      </c>
    </row>
    <row r="1826" spans="1:3" ht="15" customHeight="1" x14ac:dyDescent="0.25">
      <c r="A1826" t="s">
        <v>4141</v>
      </c>
      <c r="B1826">
        <v>42.1</v>
      </c>
    </row>
    <row r="1827" spans="1:3" ht="15" customHeight="1" x14ac:dyDescent="0.25">
      <c r="A1827" t="s">
        <v>4142</v>
      </c>
      <c r="B1827">
        <v>42.1</v>
      </c>
    </row>
    <row r="1828" spans="1:3" ht="15" customHeight="1" x14ac:dyDescent="0.25">
      <c r="A1828" t="s">
        <v>4143</v>
      </c>
      <c r="B1828">
        <v>42.1</v>
      </c>
    </row>
    <row r="1829" spans="1:3" ht="15" customHeight="1" x14ac:dyDescent="0.25">
      <c r="A1829" t="s">
        <v>4144</v>
      </c>
      <c r="B1829">
        <v>41.5</v>
      </c>
      <c r="C1829">
        <v>0.5</v>
      </c>
    </row>
    <row r="1830" spans="1:3" ht="15" customHeight="1" x14ac:dyDescent="0.25">
      <c r="A1830" t="s">
        <v>4145</v>
      </c>
      <c r="B1830">
        <v>43.4</v>
      </c>
      <c r="C1830">
        <v>0.5</v>
      </c>
    </row>
    <row r="1831" spans="1:3" ht="15" customHeight="1" x14ac:dyDescent="0.25">
      <c r="A1831" t="s">
        <v>4146</v>
      </c>
      <c r="B1831">
        <v>43.4</v>
      </c>
      <c r="C1831">
        <v>0.5</v>
      </c>
    </row>
    <row r="1832" spans="1:3" ht="15" customHeight="1" x14ac:dyDescent="0.25">
      <c r="A1832" t="s">
        <v>4147</v>
      </c>
      <c r="B1832">
        <v>43.4</v>
      </c>
      <c r="C1832">
        <v>0.3</v>
      </c>
    </row>
    <row r="1833" spans="1:3" ht="15" customHeight="1" x14ac:dyDescent="0.25">
      <c r="A1833" t="s">
        <v>4148</v>
      </c>
      <c r="B1833">
        <v>43.4</v>
      </c>
      <c r="C1833">
        <v>0.5</v>
      </c>
    </row>
    <row r="1834" spans="1:3" ht="15" customHeight="1" x14ac:dyDescent="0.25">
      <c r="A1834" t="s">
        <v>4149</v>
      </c>
      <c r="B1834">
        <v>43.4</v>
      </c>
      <c r="C1834">
        <v>0.1</v>
      </c>
    </row>
    <row r="1835" spans="1:3" ht="15" customHeight="1" x14ac:dyDescent="0.25">
      <c r="A1835" t="s">
        <v>4150</v>
      </c>
      <c r="B1835">
        <v>43.4</v>
      </c>
      <c r="C1835">
        <v>0.1</v>
      </c>
    </row>
    <row r="1836" spans="1:3" ht="15" customHeight="1" x14ac:dyDescent="0.25">
      <c r="A1836" t="s">
        <v>4151</v>
      </c>
      <c r="B1836">
        <v>43.4</v>
      </c>
      <c r="C1836">
        <v>0.2</v>
      </c>
    </row>
    <row r="1837" spans="1:3" ht="15" customHeight="1" x14ac:dyDescent="0.25">
      <c r="A1837" t="s">
        <v>4152</v>
      </c>
      <c r="B1837">
        <v>51</v>
      </c>
      <c r="C1837">
        <v>0.35</v>
      </c>
    </row>
    <row r="1838" spans="1:3" ht="15" customHeight="1" x14ac:dyDescent="0.25">
      <c r="A1838" t="s">
        <v>4153</v>
      </c>
      <c r="B1838">
        <v>51</v>
      </c>
      <c r="C1838">
        <v>0.35</v>
      </c>
    </row>
    <row r="1839" spans="1:3" ht="15" customHeight="1" x14ac:dyDescent="0.25">
      <c r="A1839" t="s">
        <v>4154</v>
      </c>
      <c r="B1839">
        <v>51</v>
      </c>
    </row>
    <row r="1840" spans="1:3" ht="15" customHeight="1" x14ac:dyDescent="0.25">
      <c r="A1840" t="s">
        <v>4155</v>
      </c>
      <c r="B1840">
        <v>51</v>
      </c>
      <c r="C1840">
        <v>0.1</v>
      </c>
    </row>
    <row r="1841" spans="1:3" ht="15" customHeight="1" x14ac:dyDescent="0.25">
      <c r="A1841" t="s">
        <v>4156</v>
      </c>
      <c r="B1841">
        <v>51</v>
      </c>
      <c r="C1841">
        <v>0.1</v>
      </c>
    </row>
    <row r="1842" spans="1:3" ht="15" customHeight="1" x14ac:dyDescent="0.25">
      <c r="A1842" t="s">
        <v>4157</v>
      </c>
      <c r="B1842">
        <v>51</v>
      </c>
      <c r="C1842">
        <v>0.2</v>
      </c>
    </row>
    <row r="1843" spans="1:3" ht="15" customHeight="1" x14ac:dyDescent="0.25">
      <c r="A1843" t="s">
        <v>4158</v>
      </c>
      <c r="B1843">
        <v>41.5</v>
      </c>
    </row>
    <row r="1844" spans="1:3" ht="15" customHeight="1" x14ac:dyDescent="0.25">
      <c r="A1844" t="s">
        <v>4159</v>
      </c>
      <c r="B1844">
        <v>41.5</v>
      </c>
    </row>
    <row r="1845" spans="1:3" ht="15" customHeight="1" x14ac:dyDescent="0.25">
      <c r="A1845" t="s">
        <v>4160</v>
      </c>
      <c r="B1845">
        <v>40</v>
      </c>
    </row>
    <row r="1846" spans="1:3" ht="15" customHeight="1" x14ac:dyDescent="0.25">
      <c r="A1846" t="s">
        <v>4161</v>
      </c>
      <c r="B1846">
        <v>41.5</v>
      </c>
      <c r="C1846">
        <v>0.5</v>
      </c>
    </row>
    <row r="1847" spans="1:3" ht="15" customHeight="1" x14ac:dyDescent="0.25">
      <c r="A1847" t="s">
        <v>4162</v>
      </c>
      <c r="B1847">
        <v>33.4</v>
      </c>
      <c r="C1847">
        <v>0.03</v>
      </c>
    </row>
    <row r="1848" spans="1:3" ht="15" customHeight="1" x14ac:dyDescent="0.25">
      <c r="A1848" t="s">
        <v>4163</v>
      </c>
      <c r="B1848">
        <v>33.4</v>
      </c>
      <c r="C1848">
        <v>0.03</v>
      </c>
    </row>
    <row r="1849" spans="1:3" ht="15" customHeight="1" x14ac:dyDescent="0.25">
      <c r="A1849" t="s">
        <v>4164</v>
      </c>
      <c r="B1849">
        <v>33.4</v>
      </c>
      <c r="C1849">
        <v>0.03</v>
      </c>
    </row>
    <row r="1850" spans="1:3" ht="15" customHeight="1" x14ac:dyDescent="0.25">
      <c r="A1850" t="s">
        <v>4165</v>
      </c>
      <c r="B1850">
        <v>33.9</v>
      </c>
      <c r="C1850">
        <v>0.1</v>
      </c>
    </row>
    <row r="1851" spans="1:3" ht="15" customHeight="1" x14ac:dyDescent="0.25">
      <c r="A1851" t="s">
        <v>4166</v>
      </c>
      <c r="B1851">
        <v>33.9</v>
      </c>
      <c r="C1851">
        <v>0.2</v>
      </c>
    </row>
    <row r="1852" spans="1:3" ht="15" customHeight="1" x14ac:dyDescent="0.25">
      <c r="A1852" t="s">
        <v>4167</v>
      </c>
      <c r="B1852">
        <v>33.9</v>
      </c>
      <c r="C1852">
        <v>0.2</v>
      </c>
    </row>
    <row r="1853" spans="1:3" ht="15" customHeight="1" x14ac:dyDescent="0.25">
      <c r="A1853" t="s">
        <v>4168</v>
      </c>
      <c r="B1853">
        <v>42.3</v>
      </c>
      <c r="C1853">
        <v>0.2</v>
      </c>
    </row>
    <row r="1854" spans="1:3" ht="15" customHeight="1" x14ac:dyDescent="0.25">
      <c r="A1854" t="s">
        <v>4169</v>
      </c>
      <c r="B1854">
        <v>42.3</v>
      </c>
      <c r="C1854">
        <v>0.2</v>
      </c>
    </row>
    <row r="1855" spans="1:3" ht="15" customHeight="1" x14ac:dyDescent="0.25">
      <c r="A1855" t="s">
        <v>4170</v>
      </c>
      <c r="B1855">
        <v>42.3</v>
      </c>
      <c r="C1855">
        <v>0.2</v>
      </c>
    </row>
    <row r="1856" spans="1:3" ht="15" customHeight="1" x14ac:dyDescent="0.25">
      <c r="A1856" t="s">
        <v>4171</v>
      </c>
      <c r="B1856">
        <v>41.5</v>
      </c>
      <c r="C1856">
        <v>0.5</v>
      </c>
    </row>
    <row r="1857" spans="1:3" ht="15" customHeight="1" x14ac:dyDescent="0.25">
      <c r="A1857" t="s">
        <v>4172</v>
      </c>
      <c r="B1857">
        <v>41.5</v>
      </c>
      <c r="C1857">
        <v>0.5</v>
      </c>
    </row>
    <row r="1858" spans="1:3" ht="15" customHeight="1" x14ac:dyDescent="0.25">
      <c r="A1858" t="s">
        <v>4173</v>
      </c>
      <c r="B1858">
        <v>41.5</v>
      </c>
      <c r="C1858">
        <v>0.5</v>
      </c>
    </row>
    <row r="1859" spans="1:3" ht="15" customHeight="1" x14ac:dyDescent="0.25">
      <c r="A1859" t="s">
        <v>4174</v>
      </c>
      <c r="B1859">
        <v>41.5</v>
      </c>
      <c r="C1859">
        <v>0.5</v>
      </c>
    </row>
    <row r="1860" spans="1:3" ht="15" customHeight="1" x14ac:dyDescent="0.25">
      <c r="A1860" t="s">
        <v>4175</v>
      </c>
      <c r="B1860">
        <v>37.299999999999997</v>
      </c>
    </row>
    <row r="1861" spans="1:3" ht="15" customHeight="1" x14ac:dyDescent="0.25">
      <c r="A1861" t="s">
        <v>4176</v>
      </c>
      <c r="B1861">
        <v>37.299999999999997</v>
      </c>
    </row>
    <row r="1862" spans="1:3" ht="15" customHeight="1" x14ac:dyDescent="0.25">
      <c r="A1862" t="s">
        <v>4177</v>
      </c>
      <c r="B1862">
        <v>37.299999999999997</v>
      </c>
      <c r="C1862">
        <v>0.3</v>
      </c>
    </row>
    <row r="1863" spans="1:3" ht="15" customHeight="1" x14ac:dyDescent="0.25">
      <c r="A1863" t="s">
        <v>4178</v>
      </c>
      <c r="B1863">
        <v>37.299999999999997</v>
      </c>
    </row>
    <row r="1864" spans="1:3" ht="15" customHeight="1" x14ac:dyDescent="0.25">
      <c r="A1864" t="s">
        <v>4179</v>
      </c>
      <c r="B1864">
        <v>38.799999999999997</v>
      </c>
    </row>
    <row r="1865" spans="1:3" ht="15" customHeight="1" x14ac:dyDescent="0.25">
      <c r="A1865" t="s">
        <v>4180</v>
      </c>
      <c r="B1865">
        <v>38.799999999999997</v>
      </c>
      <c r="C1865">
        <v>0.3</v>
      </c>
    </row>
    <row r="1866" spans="1:3" ht="15" customHeight="1" x14ac:dyDescent="0.25">
      <c r="A1866" t="s">
        <v>4181</v>
      </c>
      <c r="B1866">
        <v>38.799999999999997</v>
      </c>
      <c r="C1866">
        <v>0.3</v>
      </c>
    </row>
    <row r="1867" spans="1:3" ht="15" customHeight="1" x14ac:dyDescent="0.25">
      <c r="A1867" t="s">
        <v>4182</v>
      </c>
      <c r="B1867">
        <v>38.799999999999997</v>
      </c>
    </row>
    <row r="1868" spans="1:3" ht="15" customHeight="1" x14ac:dyDescent="0.25">
      <c r="A1868" t="s">
        <v>1542</v>
      </c>
      <c r="B1868">
        <v>51</v>
      </c>
      <c r="C1868">
        <v>0.1</v>
      </c>
    </row>
    <row r="1869" spans="1:3" ht="15" customHeight="1" x14ac:dyDescent="0.25">
      <c r="A1869" t="s">
        <v>4183</v>
      </c>
      <c r="B1869">
        <v>51</v>
      </c>
      <c r="C1869">
        <v>0.1</v>
      </c>
    </row>
    <row r="1870" spans="1:3" ht="15" customHeight="1" x14ac:dyDescent="0.25">
      <c r="A1870" t="s">
        <v>4184</v>
      </c>
      <c r="B1870">
        <v>51</v>
      </c>
      <c r="C1870">
        <v>0.1</v>
      </c>
    </row>
    <row r="1871" spans="1:3" ht="15" customHeight="1" x14ac:dyDescent="0.25">
      <c r="A1871" t="s">
        <v>4185</v>
      </c>
      <c r="B1871">
        <v>41.7</v>
      </c>
    </row>
    <row r="1872" spans="1:3" ht="15" customHeight="1" x14ac:dyDescent="0.25">
      <c r="A1872" t="s">
        <v>4186</v>
      </c>
      <c r="B1872">
        <v>41.7</v>
      </c>
    </row>
    <row r="1873" spans="1:3" ht="15" customHeight="1" x14ac:dyDescent="0.25">
      <c r="A1873" t="s">
        <v>4187</v>
      </c>
      <c r="B1873">
        <v>41.7</v>
      </c>
    </row>
    <row r="1874" spans="1:3" ht="15" customHeight="1" x14ac:dyDescent="0.25">
      <c r="A1874" t="s">
        <v>4188</v>
      </c>
      <c r="B1874">
        <v>49.9</v>
      </c>
      <c r="C1874">
        <v>0.05</v>
      </c>
    </row>
    <row r="1875" spans="1:3" ht="15" customHeight="1" x14ac:dyDescent="0.25">
      <c r="A1875" t="s">
        <v>4189</v>
      </c>
      <c r="B1875">
        <v>49.9</v>
      </c>
      <c r="C1875">
        <v>0.1</v>
      </c>
    </row>
    <row r="1876" spans="1:3" ht="15" customHeight="1" x14ac:dyDescent="0.25">
      <c r="A1876" t="s">
        <v>4190</v>
      </c>
      <c r="B1876">
        <v>49.9</v>
      </c>
      <c r="C1876">
        <v>0.1</v>
      </c>
    </row>
    <row r="1877" spans="1:3" ht="15" customHeight="1" x14ac:dyDescent="0.25">
      <c r="A1877" t="s">
        <v>1064</v>
      </c>
      <c r="B1877">
        <v>52.2</v>
      </c>
      <c r="C1877">
        <v>0.05</v>
      </c>
    </row>
    <row r="1878" spans="1:3" ht="15" customHeight="1" x14ac:dyDescent="0.25">
      <c r="A1878" t="s">
        <v>4191</v>
      </c>
      <c r="B1878">
        <v>52.2</v>
      </c>
      <c r="C1878">
        <v>0.1</v>
      </c>
    </row>
    <row r="1879" spans="1:3" ht="15" customHeight="1" x14ac:dyDescent="0.25">
      <c r="A1879" t="s">
        <v>4192</v>
      </c>
      <c r="B1879">
        <v>52.2</v>
      </c>
      <c r="C1879">
        <v>0.2</v>
      </c>
    </row>
    <row r="1880" spans="1:3" ht="15" customHeight="1" x14ac:dyDescent="0.25">
      <c r="A1880" t="s">
        <v>4193</v>
      </c>
      <c r="B1880">
        <v>41.7</v>
      </c>
      <c r="C1880">
        <v>0.05</v>
      </c>
    </row>
    <row r="1881" spans="1:3" ht="15" customHeight="1" x14ac:dyDescent="0.25">
      <c r="A1881" t="s">
        <v>4194</v>
      </c>
      <c r="B1881">
        <v>41.7</v>
      </c>
      <c r="C1881">
        <v>0.05</v>
      </c>
    </row>
    <row r="1882" spans="1:3" ht="15" customHeight="1" x14ac:dyDescent="0.25">
      <c r="A1882" t="s">
        <v>4195</v>
      </c>
      <c r="B1882">
        <v>41.7</v>
      </c>
      <c r="C1882">
        <v>0.05</v>
      </c>
    </row>
    <row r="1883" spans="1:3" ht="15" customHeight="1" x14ac:dyDescent="0.25">
      <c r="A1883" t="s">
        <v>4196</v>
      </c>
      <c r="B1883">
        <v>51.5</v>
      </c>
    </row>
    <row r="1884" spans="1:3" ht="15" customHeight="1" x14ac:dyDescent="0.25">
      <c r="A1884" t="s">
        <v>4197</v>
      </c>
      <c r="B1884">
        <v>51.5</v>
      </c>
    </row>
    <row r="1885" spans="1:3" ht="15" customHeight="1" x14ac:dyDescent="0.25">
      <c r="A1885" t="s">
        <v>4198</v>
      </c>
      <c r="B1885">
        <v>51.5</v>
      </c>
    </row>
    <row r="1886" spans="1:3" ht="15" customHeight="1" x14ac:dyDescent="0.25">
      <c r="A1886" t="s">
        <v>4199</v>
      </c>
      <c r="B1886">
        <v>42.3</v>
      </c>
      <c r="C1886">
        <v>0.1</v>
      </c>
    </row>
    <row r="1887" spans="1:3" ht="15" customHeight="1" x14ac:dyDescent="0.25">
      <c r="A1887" t="s">
        <v>4200</v>
      </c>
      <c r="B1887">
        <v>42.3</v>
      </c>
    </row>
    <row r="1888" spans="1:3" ht="15" customHeight="1" x14ac:dyDescent="0.25">
      <c r="A1888" t="s">
        <v>4201</v>
      </c>
      <c r="B1888">
        <v>42.3</v>
      </c>
    </row>
    <row r="1889" spans="1:3" ht="15" customHeight="1" x14ac:dyDescent="0.25">
      <c r="A1889" t="s">
        <v>4202</v>
      </c>
      <c r="B1889">
        <v>42.3</v>
      </c>
    </row>
    <row r="1890" spans="1:3" ht="15" customHeight="1" x14ac:dyDescent="0.25">
      <c r="A1890" t="s">
        <v>4203</v>
      </c>
      <c r="B1890">
        <v>42.3</v>
      </c>
      <c r="C1890">
        <v>0.3</v>
      </c>
    </row>
    <row r="1891" spans="1:3" ht="15" customHeight="1" x14ac:dyDescent="0.25">
      <c r="A1891" t="s">
        <v>4204</v>
      </c>
      <c r="B1891">
        <v>42.3</v>
      </c>
      <c r="C1891">
        <v>0.3</v>
      </c>
    </row>
    <row r="1892" spans="1:3" ht="15" customHeight="1" x14ac:dyDescent="0.25">
      <c r="A1892" t="s">
        <v>4205</v>
      </c>
      <c r="B1892">
        <v>49.9</v>
      </c>
    </row>
    <row r="1893" spans="1:3" ht="15" customHeight="1" x14ac:dyDescent="0.25">
      <c r="A1893" t="s">
        <v>4206</v>
      </c>
      <c r="B1893">
        <v>49.9</v>
      </c>
    </row>
    <row r="1894" spans="1:3" ht="15" customHeight="1" x14ac:dyDescent="0.25">
      <c r="A1894" t="s">
        <v>4207</v>
      </c>
      <c r="B1894">
        <v>49.9</v>
      </c>
    </row>
    <row r="1895" spans="1:3" ht="15" customHeight="1" x14ac:dyDescent="0.25">
      <c r="A1895" t="s">
        <v>4208</v>
      </c>
      <c r="B1895">
        <v>52.2</v>
      </c>
    </row>
    <row r="1896" spans="1:3" ht="15" customHeight="1" x14ac:dyDescent="0.25">
      <c r="A1896" t="s">
        <v>4209</v>
      </c>
      <c r="B1896">
        <v>52.2</v>
      </c>
      <c r="C1896">
        <v>0.3</v>
      </c>
    </row>
    <row r="1897" spans="1:3" ht="15" customHeight="1" x14ac:dyDescent="0.25">
      <c r="A1897" t="s">
        <v>4210</v>
      </c>
      <c r="B1897">
        <v>52.2</v>
      </c>
      <c r="C1897">
        <v>0.3</v>
      </c>
    </row>
    <row r="1898" spans="1:3" ht="15" customHeight="1" x14ac:dyDescent="0.25">
      <c r="A1898" t="s">
        <v>4211</v>
      </c>
      <c r="B1898">
        <v>42.3</v>
      </c>
      <c r="C1898">
        <v>0.3</v>
      </c>
    </row>
    <row r="1899" spans="1:3" ht="15" customHeight="1" x14ac:dyDescent="0.25">
      <c r="A1899" t="s">
        <v>4212</v>
      </c>
      <c r="B1899">
        <v>42.3</v>
      </c>
    </row>
    <row r="1900" spans="1:3" ht="15" customHeight="1" x14ac:dyDescent="0.25">
      <c r="A1900" t="s">
        <v>4213</v>
      </c>
      <c r="B1900">
        <v>42.3</v>
      </c>
      <c r="C1900">
        <v>0.3</v>
      </c>
    </row>
    <row r="1901" spans="1:3" ht="15" customHeight="1" x14ac:dyDescent="0.25">
      <c r="A1901" t="s">
        <v>719</v>
      </c>
      <c r="B1901">
        <v>42.3</v>
      </c>
      <c r="C1901">
        <v>0.1</v>
      </c>
    </row>
    <row r="1902" spans="1:3" ht="15" customHeight="1" x14ac:dyDescent="0.25">
      <c r="A1902" t="s">
        <v>4214</v>
      </c>
      <c r="B1902">
        <v>42.3</v>
      </c>
      <c r="C1902">
        <v>0.1</v>
      </c>
    </row>
    <row r="1903" spans="1:3" ht="15" customHeight="1" x14ac:dyDescent="0.25">
      <c r="A1903" t="s">
        <v>4215</v>
      </c>
      <c r="B1903">
        <v>42.3</v>
      </c>
      <c r="C1903">
        <v>0.1</v>
      </c>
    </row>
    <row r="1904" spans="1:3" ht="15" customHeight="1" x14ac:dyDescent="0.25">
      <c r="A1904" t="s">
        <v>4216</v>
      </c>
      <c r="B1904">
        <v>51</v>
      </c>
    </row>
    <row r="1905" spans="1:3" ht="15" customHeight="1" x14ac:dyDescent="0.25">
      <c r="A1905" t="s">
        <v>4217</v>
      </c>
      <c r="B1905">
        <v>51</v>
      </c>
    </row>
    <row r="1906" spans="1:3" ht="15" customHeight="1" x14ac:dyDescent="0.25">
      <c r="A1906" t="s">
        <v>4218</v>
      </c>
      <c r="B1906">
        <v>51</v>
      </c>
      <c r="C1906">
        <v>0.3</v>
      </c>
    </row>
    <row r="1907" spans="1:3" ht="15" customHeight="1" x14ac:dyDescent="0.25">
      <c r="A1907" t="s">
        <v>649</v>
      </c>
      <c r="B1907">
        <v>49.9</v>
      </c>
      <c r="C1907">
        <v>0.3</v>
      </c>
    </row>
    <row r="1908" spans="1:3" ht="15" customHeight="1" x14ac:dyDescent="0.25">
      <c r="A1908" t="s">
        <v>4219</v>
      </c>
      <c r="B1908">
        <v>49.9</v>
      </c>
      <c r="C1908">
        <v>0.3</v>
      </c>
    </row>
    <row r="1909" spans="1:3" ht="15" customHeight="1" x14ac:dyDescent="0.25">
      <c r="A1909" t="s">
        <v>4220</v>
      </c>
      <c r="B1909">
        <v>49.9</v>
      </c>
      <c r="C1909">
        <v>0.3</v>
      </c>
    </row>
    <row r="1910" spans="1:3" ht="15" customHeight="1" x14ac:dyDescent="0.25">
      <c r="A1910" t="s">
        <v>4221</v>
      </c>
      <c r="B1910">
        <v>52.2</v>
      </c>
    </row>
    <row r="1911" spans="1:3" ht="15" customHeight="1" x14ac:dyDescent="0.25">
      <c r="A1911" t="s">
        <v>4222</v>
      </c>
      <c r="B1911">
        <v>52.2</v>
      </c>
    </row>
    <row r="1912" spans="1:3" ht="15" customHeight="1" x14ac:dyDescent="0.25">
      <c r="A1912" t="s">
        <v>4223</v>
      </c>
      <c r="B1912">
        <v>52.2</v>
      </c>
      <c r="C1912">
        <v>0.3</v>
      </c>
    </row>
    <row r="1913" spans="1:3" ht="15" customHeight="1" x14ac:dyDescent="0.25">
      <c r="A1913" t="s">
        <v>4224</v>
      </c>
      <c r="B1913">
        <v>41.5</v>
      </c>
    </row>
    <row r="1914" spans="1:3" ht="15" customHeight="1" x14ac:dyDescent="0.25">
      <c r="A1914" t="s">
        <v>4225</v>
      </c>
      <c r="B1914">
        <v>41.5</v>
      </c>
    </row>
    <row r="1915" spans="1:3" ht="15" customHeight="1" x14ac:dyDescent="0.25">
      <c r="A1915" t="s">
        <v>4226</v>
      </c>
      <c r="B1915">
        <v>41.5</v>
      </c>
      <c r="C1915">
        <v>0.5</v>
      </c>
    </row>
    <row r="1916" spans="1:3" ht="15" customHeight="1" x14ac:dyDescent="0.25">
      <c r="A1916" t="s">
        <v>4227</v>
      </c>
      <c r="B1916">
        <v>40.6</v>
      </c>
    </row>
    <row r="1917" spans="1:3" ht="15" customHeight="1" x14ac:dyDescent="0.25">
      <c r="A1917" t="s">
        <v>4228</v>
      </c>
      <c r="B1917">
        <v>40.6</v>
      </c>
      <c r="C1917">
        <v>0.2</v>
      </c>
    </row>
    <row r="1918" spans="1:3" ht="15" customHeight="1" x14ac:dyDescent="0.25">
      <c r="A1918" t="s">
        <v>4229</v>
      </c>
      <c r="B1918">
        <v>40.6</v>
      </c>
      <c r="C1918">
        <v>0.2</v>
      </c>
    </row>
    <row r="1919" spans="1:3" ht="15" customHeight="1" x14ac:dyDescent="0.25">
      <c r="A1919" t="s">
        <v>4230</v>
      </c>
      <c r="B1919">
        <v>40.6</v>
      </c>
      <c r="C1919">
        <v>0.2</v>
      </c>
    </row>
    <row r="1920" spans="1:3" ht="15" customHeight="1" x14ac:dyDescent="0.25">
      <c r="A1920" t="s">
        <v>4231</v>
      </c>
      <c r="B1920">
        <v>40.6</v>
      </c>
      <c r="C1920">
        <v>0.2</v>
      </c>
    </row>
    <row r="1921" spans="1:3" ht="15" customHeight="1" x14ac:dyDescent="0.25">
      <c r="A1921" t="s">
        <v>4232</v>
      </c>
      <c r="B1921">
        <v>43.4</v>
      </c>
      <c r="C1921">
        <v>0.05</v>
      </c>
    </row>
    <row r="1922" spans="1:3" ht="15" customHeight="1" x14ac:dyDescent="0.25">
      <c r="A1922" t="s">
        <v>4233</v>
      </c>
      <c r="B1922">
        <v>43.4</v>
      </c>
      <c r="C1922">
        <v>0.1</v>
      </c>
    </row>
    <row r="1923" spans="1:3" ht="15" customHeight="1" x14ac:dyDescent="0.25">
      <c r="A1923" t="s">
        <v>4234</v>
      </c>
      <c r="B1923">
        <v>43.4</v>
      </c>
      <c r="C1923">
        <v>0.3</v>
      </c>
    </row>
    <row r="1924" spans="1:3" ht="15" customHeight="1" x14ac:dyDescent="0.25">
      <c r="A1924" t="s">
        <v>4235</v>
      </c>
      <c r="B1924">
        <v>43.4</v>
      </c>
      <c r="C1924">
        <v>0.1</v>
      </c>
    </row>
    <row r="1925" spans="1:3" ht="15" customHeight="1" x14ac:dyDescent="0.25">
      <c r="A1925" t="s">
        <v>4236</v>
      </c>
      <c r="B1925">
        <v>43.4</v>
      </c>
      <c r="C1925">
        <v>0.1</v>
      </c>
    </row>
    <row r="1926" spans="1:3" ht="15" customHeight="1" x14ac:dyDescent="0.25">
      <c r="A1926" t="s">
        <v>4237</v>
      </c>
      <c r="B1926">
        <v>43.4</v>
      </c>
      <c r="C1926">
        <v>0.3</v>
      </c>
    </row>
    <row r="1927" spans="1:3" ht="15" customHeight="1" x14ac:dyDescent="0.25">
      <c r="A1927" t="s">
        <v>4238</v>
      </c>
      <c r="B1927">
        <v>43.4</v>
      </c>
    </row>
    <row r="1928" spans="1:3" ht="15" customHeight="1" x14ac:dyDescent="0.25">
      <c r="A1928" t="s">
        <v>4239</v>
      </c>
      <c r="B1928">
        <v>43.4</v>
      </c>
    </row>
    <row r="1929" spans="1:3" ht="15" customHeight="1" x14ac:dyDescent="0.25">
      <c r="A1929" t="s">
        <v>4240</v>
      </c>
      <c r="B1929">
        <v>43.4</v>
      </c>
    </row>
    <row r="1930" spans="1:3" ht="15" customHeight="1" x14ac:dyDescent="0.25">
      <c r="A1930" t="s">
        <v>4241</v>
      </c>
      <c r="B1930">
        <v>43.4</v>
      </c>
      <c r="C1930">
        <v>0.3</v>
      </c>
    </row>
    <row r="1931" spans="1:3" ht="15" customHeight="1" x14ac:dyDescent="0.25">
      <c r="A1931" t="s">
        <v>4242</v>
      </c>
      <c r="B1931">
        <v>33.9</v>
      </c>
      <c r="C1931">
        <v>0.2</v>
      </c>
    </row>
    <row r="1932" spans="1:3" ht="15" customHeight="1" x14ac:dyDescent="0.25">
      <c r="A1932" t="s">
        <v>4243</v>
      </c>
      <c r="B1932">
        <v>33.9</v>
      </c>
      <c r="C1932">
        <v>0.2</v>
      </c>
    </row>
    <row r="1933" spans="1:3" ht="15" customHeight="1" x14ac:dyDescent="0.25">
      <c r="A1933" t="s">
        <v>4244</v>
      </c>
      <c r="B1933">
        <v>33.9</v>
      </c>
      <c r="C1933">
        <v>0.2</v>
      </c>
    </row>
    <row r="1934" spans="1:3" ht="15" customHeight="1" x14ac:dyDescent="0.25">
      <c r="A1934" t="s">
        <v>4245</v>
      </c>
      <c r="B1934">
        <v>33.9</v>
      </c>
      <c r="C1934">
        <v>0.2</v>
      </c>
    </row>
    <row r="1935" spans="1:3" ht="15" customHeight="1" x14ac:dyDescent="0.25">
      <c r="A1935" t="s">
        <v>4246</v>
      </c>
      <c r="B1935">
        <v>33.9</v>
      </c>
      <c r="C1935">
        <v>0.2</v>
      </c>
    </row>
    <row r="1936" spans="1:3" ht="15" customHeight="1" x14ac:dyDescent="0.25">
      <c r="A1936" t="s">
        <v>4247</v>
      </c>
      <c r="B1936">
        <v>44</v>
      </c>
      <c r="C1936">
        <v>0.2</v>
      </c>
    </row>
    <row r="1937" spans="1:3" ht="15" customHeight="1" x14ac:dyDescent="0.25">
      <c r="A1937" t="s">
        <v>4248</v>
      </c>
      <c r="B1937">
        <v>44</v>
      </c>
      <c r="C1937">
        <v>0.2</v>
      </c>
    </row>
    <row r="1938" spans="1:3" ht="15" customHeight="1" x14ac:dyDescent="0.25">
      <c r="A1938" t="s">
        <v>4249</v>
      </c>
      <c r="B1938">
        <v>44</v>
      </c>
      <c r="C1938">
        <v>0.2</v>
      </c>
    </row>
    <row r="1939" spans="1:3" ht="15" customHeight="1" x14ac:dyDescent="0.25">
      <c r="A1939" t="s">
        <v>4250</v>
      </c>
      <c r="B1939">
        <v>44</v>
      </c>
      <c r="C1939">
        <v>0.2</v>
      </c>
    </row>
    <row r="1940" spans="1:3" ht="15" customHeight="1" x14ac:dyDescent="0.25">
      <c r="A1940" t="s">
        <v>4251</v>
      </c>
      <c r="B1940">
        <v>44</v>
      </c>
      <c r="C1940">
        <v>0.2</v>
      </c>
    </row>
    <row r="1941" spans="1:3" ht="15" customHeight="1" x14ac:dyDescent="0.25">
      <c r="A1941" t="s">
        <v>4252</v>
      </c>
      <c r="B1941">
        <v>33.9</v>
      </c>
      <c r="C1941">
        <v>0.2</v>
      </c>
    </row>
    <row r="1942" spans="1:3" ht="15" customHeight="1" x14ac:dyDescent="0.25">
      <c r="A1942" t="s">
        <v>4253</v>
      </c>
      <c r="B1942">
        <v>33.9</v>
      </c>
      <c r="C1942">
        <v>0.2</v>
      </c>
    </row>
    <row r="1943" spans="1:3" ht="15" customHeight="1" x14ac:dyDescent="0.25">
      <c r="A1943" t="s">
        <v>4254</v>
      </c>
      <c r="B1943">
        <v>33.9</v>
      </c>
      <c r="C1943">
        <v>0.2</v>
      </c>
    </row>
    <row r="1944" spans="1:3" ht="15" customHeight="1" x14ac:dyDescent="0.25">
      <c r="A1944" t="s">
        <v>4255</v>
      </c>
      <c r="B1944">
        <v>33.9</v>
      </c>
      <c r="C1944">
        <v>0.2</v>
      </c>
    </row>
    <row r="1945" spans="1:3" ht="15" customHeight="1" x14ac:dyDescent="0.25">
      <c r="A1945" t="s">
        <v>4256</v>
      </c>
      <c r="B1945">
        <v>33.9</v>
      </c>
      <c r="C1945">
        <v>0.2</v>
      </c>
    </row>
    <row r="1946" spans="1:3" ht="15" customHeight="1" x14ac:dyDescent="0.25">
      <c r="A1946" t="s">
        <v>4257</v>
      </c>
      <c r="B1946">
        <v>44</v>
      </c>
      <c r="C1946">
        <v>0.2</v>
      </c>
    </row>
    <row r="1947" spans="1:3" ht="15" customHeight="1" x14ac:dyDescent="0.25">
      <c r="A1947" t="s">
        <v>4258</v>
      </c>
      <c r="B1947">
        <v>44</v>
      </c>
      <c r="C1947">
        <v>0.2</v>
      </c>
    </row>
    <row r="1948" spans="1:3" ht="15" customHeight="1" x14ac:dyDescent="0.25">
      <c r="A1948" t="s">
        <v>4259</v>
      </c>
      <c r="B1948">
        <v>44</v>
      </c>
      <c r="C1948">
        <v>0.2</v>
      </c>
    </row>
    <row r="1949" spans="1:3" ht="15" customHeight="1" x14ac:dyDescent="0.25">
      <c r="A1949" t="s">
        <v>4260</v>
      </c>
      <c r="B1949">
        <v>44</v>
      </c>
      <c r="C1949">
        <v>0.2</v>
      </c>
    </row>
    <row r="1950" spans="1:3" ht="15" customHeight="1" x14ac:dyDescent="0.25">
      <c r="A1950" t="s">
        <v>4261</v>
      </c>
      <c r="B1950">
        <v>44</v>
      </c>
      <c r="C1950">
        <v>0.2</v>
      </c>
    </row>
    <row r="1951" spans="1:3" ht="15" customHeight="1" x14ac:dyDescent="0.25">
      <c r="A1951" t="s">
        <v>4262</v>
      </c>
      <c r="B1951">
        <v>27.6</v>
      </c>
      <c r="C1951">
        <v>0.2</v>
      </c>
    </row>
    <row r="1952" spans="1:3" ht="15" customHeight="1" x14ac:dyDescent="0.25">
      <c r="A1952" t="s">
        <v>4263</v>
      </c>
      <c r="B1952">
        <v>27.6</v>
      </c>
      <c r="C1952">
        <v>0.2</v>
      </c>
    </row>
    <row r="1953" spans="1:3" ht="15" customHeight="1" x14ac:dyDescent="0.25">
      <c r="A1953" t="s">
        <v>4264</v>
      </c>
      <c r="B1953">
        <v>27.6</v>
      </c>
      <c r="C1953">
        <v>0.2</v>
      </c>
    </row>
    <row r="1954" spans="1:3" ht="15" customHeight="1" x14ac:dyDescent="0.25">
      <c r="A1954" t="s">
        <v>4265</v>
      </c>
      <c r="B1954">
        <v>27.6</v>
      </c>
      <c r="C1954">
        <v>0.2</v>
      </c>
    </row>
    <row r="1955" spans="1:3" ht="15" customHeight="1" x14ac:dyDescent="0.25">
      <c r="A1955" t="s">
        <v>4266</v>
      </c>
      <c r="B1955">
        <v>27.6</v>
      </c>
      <c r="C1955">
        <v>0.2</v>
      </c>
    </row>
    <row r="1956" spans="1:3" ht="15" customHeight="1" x14ac:dyDescent="0.25">
      <c r="A1956" t="s">
        <v>4267</v>
      </c>
      <c r="B1956">
        <v>29.5</v>
      </c>
      <c r="C1956">
        <v>0.2</v>
      </c>
    </row>
    <row r="1957" spans="1:3" ht="15" customHeight="1" x14ac:dyDescent="0.25">
      <c r="A1957" t="s">
        <v>4268</v>
      </c>
      <c r="B1957">
        <v>29.5</v>
      </c>
      <c r="C1957">
        <v>0.2</v>
      </c>
    </row>
    <row r="1958" spans="1:3" ht="15" customHeight="1" x14ac:dyDescent="0.25">
      <c r="A1958" t="s">
        <v>4269</v>
      </c>
      <c r="B1958">
        <v>29.5</v>
      </c>
      <c r="C1958">
        <v>0.2</v>
      </c>
    </row>
    <row r="1959" spans="1:3" ht="15" customHeight="1" x14ac:dyDescent="0.25">
      <c r="A1959" t="s">
        <v>4270</v>
      </c>
      <c r="B1959">
        <v>29.5</v>
      </c>
      <c r="C1959">
        <v>0.2</v>
      </c>
    </row>
    <row r="1960" spans="1:3" ht="15" customHeight="1" x14ac:dyDescent="0.25">
      <c r="A1960" t="s">
        <v>4271</v>
      </c>
      <c r="B1960">
        <v>29.5</v>
      </c>
      <c r="C1960">
        <v>0.2</v>
      </c>
    </row>
    <row r="1961" spans="1:3" ht="15" customHeight="1" x14ac:dyDescent="0.25">
      <c r="A1961" t="s">
        <v>4272</v>
      </c>
      <c r="B1961">
        <v>44</v>
      </c>
      <c r="C1961">
        <v>0.2</v>
      </c>
    </row>
    <row r="1962" spans="1:3" ht="15" customHeight="1" x14ac:dyDescent="0.25">
      <c r="A1962" t="s">
        <v>4273</v>
      </c>
      <c r="B1962">
        <v>44</v>
      </c>
      <c r="C1962">
        <v>0.2</v>
      </c>
    </row>
    <row r="1963" spans="1:3" ht="15" customHeight="1" x14ac:dyDescent="0.25">
      <c r="A1963" t="s">
        <v>4274</v>
      </c>
      <c r="B1963">
        <v>44</v>
      </c>
      <c r="C1963">
        <v>0.2</v>
      </c>
    </row>
    <row r="1964" spans="1:3" ht="15" customHeight="1" x14ac:dyDescent="0.25">
      <c r="A1964" t="s">
        <v>4275</v>
      </c>
      <c r="B1964">
        <v>44</v>
      </c>
      <c r="C1964">
        <v>0.2</v>
      </c>
    </row>
    <row r="1965" spans="1:3" ht="15" customHeight="1" x14ac:dyDescent="0.25">
      <c r="A1965" t="s">
        <v>4276</v>
      </c>
      <c r="B1965">
        <v>44</v>
      </c>
      <c r="C1965">
        <v>0.2</v>
      </c>
    </row>
    <row r="1966" spans="1:3" ht="15" customHeight="1" x14ac:dyDescent="0.25">
      <c r="A1966" t="s">
        <v>4277</v>
      </c>
      <c r="B1966">
        <v>52.1</v>
      </c>
      <c r="C1966">
        <v>0.2</v>
      </c>
    </row>
    <row r="1967" spans="1:3" ht="15" customHeight="1" x14ac:dyDescent="0.25">
      <c r="A1967" t="s">
        <v>4278</v>
      </c>
      <c r="B1967">
        <v>52.1</v>
      </c>
      <c r="C1967">
        <v>0.2</v>
      </c>
    </row>
    <row r="1968" spans="1:3" ht="15" customHeight="1" x14ac:dyDescent="0.25">
      <c r="A1968" t="s">
        <v>4279</v>
      </c>
      <c r="B1968">
        <v>52.1</v>
      </c>
      <c r="C1968">
        <v>0.2</v>
      </c>
    </row>
    <row r="1969" spans="1:3" ht="15" customHeight="1" x14ac:dyDescent="0.25">
      <c r="A1969" t="s">
        <v>4280</v>
      </c>
      <c r="B1969">
        <v>52.1</v>
      </c>
      <c r="C1969">
        <v>0.2</v>
      </c>
    </row>
    <row r="1970" spans="1:3" ht="15" customHeight="1" x14ac:dyDescent="0.25">
      <c r="A1970" t="s">
        <v>4281</v>
      </c>
      <c r="B1970">
        <v>52.1</v>
      </c>
      <c r="C1970">
        <v>0.2</v>
      </c>
    </row>
    <row r="1971" spans="1:3" ht="15" customHeight="1" x14ac:dyDescent="0.25">
      <c r="A1971" t="s">
        <v>4282</v>
      </c>
      <c r="B1971">
        <v>33.9</v>
      </c>
      <c r="C1971">
        <v>0.2</v>
      </c>
    </row>
    <row r="1972" spans="1:3" ht="15" customHeight="1" x14ac:dyDescent="0.25">
      <c r="A1972" t="s">
        <v>4283</v>
      </c>
      <c r="B1972">
        <v>33.9</v>
      </c>
      <c r="C1972">
        <v>0.2</v>
      </c>
    </row>
    <row r="1973" spans="1:3" ht="15" customHeight="1" x14ac:dyDescent="0.25">
      <c r="A1973" t="s">
        <v>4284</v>
      </c>
      <c r="B1973">
        <v>33.9</v>
      </c>
      <c r="C1973">
        <v>0.2</v>
      </c>
    </row>
    <row r="1974" spans="1:3" ht="15" customHeight="1" x14ac:dyDescent="0.25">
      <c r="A1974" t="s">
        <v>4285</v>
      </c>
      <c r="B1974">
        <v>33.9</v>
      </c>
      <c r="C1974">
        <v>0.2</v>
      </c>
    </row>
    <row r="1975" spans="1:3" ht="15" customHeight="1" x14ac:dyDescent="0.25">
      <c r="A1975" t="s">
        <v>4286</v>
      </c>
      <c r="B1975">
        <v>33.9</v>
      </c>
      <c r="C1975">
        <v>0.2</v>
      </c>
    </row>
    <row r="1976" spans="1:3" ht="15" customHeight="1" x14ac:dyDescent="0.25">
      <c r="A1976" t="s">
        <v>4287</v>
      </c>
      <c r="B1976">
        <v>33.9</v>
      </c>
      <c r="C1976">
        <v>0.2</v>
      </c>
    </row>
    <row r="1977" spans="1:3" ht="15" customHeight="1" x14ac:dyDescent="0.25">
      <c r="A1977" t="s">
        <v>4288</v>
      </c>
      <c r="B1977">
        <v>33.9</v>
      </c>
      <c r="C1977">
        <v>0.2</v>
      </c>
    </row>
    <row r="1978" spans="1:3" ht="15" customHeight="1" x14ac:dyDescent="0.25">
      <c r="A1978" t="s">
        <v>4289</v>
      </c>
      <c r="B1978">
        <v>33.9</v>
      </c>
      <c r="C1978">
        <v>0.2</v>
      </c>
    </row>
    <row r="1979" spans="1:3" ht="15" customHeight="1" x14ac:dyDescent="0.25">
      <c r="A1979" t="s">
        <v>4290</v>
      </c>
      <c r="B1979">
        <v>33.9</v>
      </c>
      <c r="C1979">
        <v>0.2</v>
      </c>
    </row>
    <row r="1980" spans="1:3" ht="15" customHeight="1" x14ac:dyDescent="0.25">
      <c r="A1980" t="s">
        <v>4291</v>
      </c>
      <c r="B1980">
        <v>33.9</v>
      </c>
      <c r="C1980">
        <v>0.2</v>
      </c>
    </row>
    <row r="1981" spans="1:3" ht="15" customHeight="1" x14ac:dyDescent="0.25">
      <c r="A1981" t="s">
        <v>4292</v>
      </c>
      <c r="B1981">
        <v>44</v>
      </c>
    </row>
    <row r="1982" spans="1:3" ht="15" customHeight="1" x14ac:dyDescent="0.25">
      <c r="A1982" t="s">
        <v>4293</v>
      </c>
      <c r="B1982">
        <v>44</v>
      </c>
    </row>
    <row r="1983" spans="1:3" ht="15" customHeight="1" x14ac:dyDescent="0.25">
      <c r="A1983" t="s">
        <v>4294</v>
      </c>
      <c r="B1983">
        <v>44</v>
      </c>
    </row>
    <row r="1984" spans="1:3" ht="15" customHeight="1" x14ac:dyDescent="0.25">
      <c r="A1984" t="s">
        <v>4295</v>
      </c>
      <c r="B1984">
        <v>44</v>
      </c>
    </row>
    <row r="1985" spans="1:3" ht="15" customHeight="1" x14ac:dyDescent="0.25">
      <c r="A1985" t="s">
        <v>4296</v>
      </c>
      <c r="B1985">
        <v>33.9</v>
      </c>
      <c r="C1985">
        <v>0.2</v>
      </c>
    </row>
    <row r="1986" spans="1:3" ht="15" customHeight="1" x14ac:dyDescent="0.25">
      <c r="A1986" t="s">
        <v>4297</v>
      </c>
      <c r="B1986">
        <v>33.9</v>
      </c>
      <c r="C1986">
        <v>0.2</v>
      </c>
    </row>
    <row r="1987" spans="1:3" ht="15" customHeight="1" x14ac:dyDescent="0.25">
      <c r="A1987" t="s">
        <v>4298</v>
      </c>
      <c r="B1987">
        <v>33.9</v>
      </c>
      <c r="C1987">
        <v>0.2</v>
      </c>
    </row>
    <row r="1988" spans="1:3" ht="15" customHeight="1" x14ac:dyDescent="0.25">
      <c r="A1988" t="s">
        <v>4299</v>
      </c>
      <c r="B1988">
        <v>33.9</v>
      </c>
      <c r="C1988">
        <v>0.2</v>
      </c>
    </row>
    <row r="1989" spans="1:3" ht="15" customHeight="1" x14ac:dyDescent="0.25">
      <c r="A1989" t="s">
        <v>4300</v>
      </c>
      <c r="B1989">
        <v>33.9</v>
      </c>
      <c r="C1989">
        <v>0.2</v>
      </c>
    </row>
    <row r="1990" spans="1:3" ht="15" customHeight="1" x14ac:dyDescent="0.25">
      <c r="A1990" t="s">
        <v>4301</v>
      </c>
      <c r="B1990">
        <v>33.9</v>
      </c>
      <c r="C1990">
        <v>0.2</v>
      </c>
    </row>
    <row r="1991" spans="1:3" ht="15" customHeight="1" x14ac:dyDescent="0.25">
      <c r="A1991" t="s">
        <v>4302</v>
      </c>
      <c r="B1991">
        <v>33.9</v>
      </c>
      <c r="C1991">
        <v>0.2</v>
      </c>
    </row>
    <row r="1992" spans="1:3" ht="15" customHeight="1" x14ac:dyDescent="0.25">
      <c r="A1992" t="s">
        <v>4303</v>
      </c>
      <c r="B1992">
        <v>33.9</v>
      </c>
      <c r="C1992">
        <v>0.2</v>
      </c>
    </row>
    <row r="1993" spans="1:3" ht="15" customHeight="1" x14ac:dyDescent="0.25">
      <c r="A1993" t="s">
        <v>4304</v>
      </c>
      <c r="B1993">
        <v>33.9</v>
      </c>
      <c r="C1993">
        <v>0.2</v>
      </c>
    </row>
    <row r="1994" spans="1:3" ht="15" customHeight="1" x14ac:dyDescent="0.25">
      <c r="A1994" t="s">
        <v>4305</v>
      </c>
      <c r="B1994">
        <v>33.9</v>
      </c>
      <c r="C1994">
        <v>0.2</v>
      </c>
    </row>
    <row r="1995" spans="1:3" ht="15" customHeight="1" x14ac:dyDescent="0.25">
      <c r="A1995" t="s">
        <v>4306</v>
      </c>
      <c r="B1995">
        <v>33.9</v>
      </c>
      <c r="C1995">
        <v>0.2</v>
      </c>
    </row>
    <row r="1996" spans="1:3" ht="15" customHeight="1" x14ac:dyDescent="0.25">
      <c r="A1996" t="s">
        <v>4307</v>
      </c>
      <c r="B1996">
        <v>33.9</v>
      </c>
      <c r="C1996">
        <v>0.2</v>
      </c>
    </row>
    <row r="1997" spans="1:3" ht="15" customHeight="1" x14ac:dyDescent="0.25">
      <c r="A1997" t="s">
        <v>4308</v>
      </c>
      <c r="B1997">
        <v>33.9</v>
      </c>
      <c r="C1997">
        <v>0.2</v>
      </c>
    </row>
    <row r="1998" spans="1:3" ht="15" customHeight="1" x14ac:dyDescent="0.25">
      <c r="A1998" t="s">
        <v>4309</v>
      </c>
      <c r="B1998">
        <v>33.9</v>
      </c>
      <c r="C1998">
        <v>0.2</v>
      </c>
    </row>
    <row r="1999" spans="1:3" ht="15" customHeight="1" x14ac:dyDescent="0.25">
      <c r="A1999" t="s">
        <v>4310</v>
      </c>
      <c r="B1999">
        <v>33.9</v>
      </c>
      <c r="C1999">
        <v>0.2</v>
      </c>
    </row>
    <row r="2000" spans="1:3" ht="15" customHeight="1" x14ac:dyDescent="0.25">
      <c r="A2000" t="s">
        <v>4311</v>
      </c>
      <c r="B2000">
        <v>47</v>
      </c>
      <c r="C2000">
        <v>0.02</v>
      </c>
    </row>
    <row r="2001" spans="1:3" ht="15" customHeight="1" x14ac:dyDescent="0.25">
      <c r="A2001" t="s">
        <v>4312</v>
      </c>
      <c r="B2001">
        <v>47</v>
      </c>
      <c r="C2001">
        <v>0.02</v>
      </c>
    </row>
    <row r="2002" spans="1:3" ht="15" customHeight="1" x14ac:dyDescent="0.25">
      <c r="A2002" t="s">
        <v>4313</v>
      </c>
      <c r="B2002">
        <v>55.3</v>
      </c>
      <c r="C2002">
        <v>0.02</v>
      </c>
    </row>
    <row r="2003" spans="1:3" ht="15" customHeight="1" x14ac:dyDescent="0.25">
      <c r="A2003" t="s">
        <v>4314</v>
      </c>
      <c r="B2003">
        <v>55.3</v>
      </c>
      <c r="C2003">
        <v>0.02</v>
      </c>
    </row>
    <row r="2004" spans="1:3" ht="15" customHeight="1" x14ac:dyDescent="0.25">
      <c r="A2004" t="s">
        <v>4315</v>
      </c>
      <c r="B2004">
        <v>47</v>
      </c>
      <c r="C2004">
        <v>0.02</v>
      </c>
    </row>
    <row r="2005" spans="1:3" ht="15" customHeight="1" x14ac:dyDescent="0.25">
      <c r="A2005" t="s">
        <v>4316</v>
      </c>
      <c r="B2005">
        <v>47</v>
      </c>
      <c r="C2005">
        <v>0.02</v>
      </c>
    </row>
    <row r="2006" spans="1:3" ht="15" customHeight="1" x14ac:dyDescent="0.25">
      <c r="A2006" t="s">
        <v>4317</v>
      </c>
      <c r="B2006">
        <v>55.3</v>
      </c>
      <c r="C2006">
        <v>0.02</v>
      </c>
    </row>
    <row r="2007" spans="1:3" ht="15" customHeight="1" x14ac:dyDescent="0.25">
      <c r="A2007" t="s">
        <v>4318</v>
      </c>
      <c r="B2007">
        <v>55.3</v>
      </c>
      <c r="C2007">
        <v>0.02</v>
      </c>
    </row>
    <row r="2008" spans="1:3" ht="15" customHeight="1" x14ac:dyDescent="0.25">
      <c r="A2008" t="s">
        <v>4319</v>
      </c>
      <c r="B2008">
        <v>47</v>
      </c>
      <c r="C2008">
        <v>0.02</v>
      </c>
    </row>
    <row r="2009" spans="1:3" ht="15" customHeight="1" x14ac:dyDescent="0.25">
      <c r="A2009" t="s">
        <v>4320</v>
      </c>
      <c r="B2009">
        <v>47</v>
      </c>
      <c r="C2009">
        <v>0.02</v>
      </c>
    </row>
    <row r="2010" spans="1:3" ht="15" customHeight="1" x14ac:dyDescent="0.25">
      <c r="A2010" t="s">
        <v>731</v>
      </c>
      <c r="B2010">
        <v>47</v>
      </c>
      <c r="C2010">
        <v>0.02</v>
      </c>
    </row>
    <row r="2011" spans="1:3" ht="15" customHeight="1" x14ac:dyDescent="0.25">
      <c r="A2011" t="s">
        <v>4321</v>
      </c>
      <c r="B2011">
        <v>47</v>
      </c>
      <c r="C2011">
        <v>0.02</v>
      </c>
    </row>
    <row r="2012" spans="1:3" ht="15" customHeight="1" x14ac:dyDescent="0.25">
      <c r="A2012" t="s">
        <v>4322</v>
      </c>
      <c r="B2012">
        <v>55.3</v>
      </c>
      <c r="C2012">
        <v>0.02</v>
      </c>
    </row>
    <row r="2013" spans="1:3" ht="15" customHeight="1" x14ac:dyDescent="0.25">
      <c r="A2013" t="s">
        <v>4323</v>
      </c>
      <c r="B2013">
        <v>55.3</v>
      </c>
      <c r="C2013">
        <v>0.02</v>
      </c>
    </row>
    <row r="2014" spans="1:3" ht="15" customHeight="1" x14ac:dyDescent="0.25">
      <c r="A2014" t="s">
        <v>4324</v>
      </c>
      <c r="B2014">
        <v>55.3</v>
      </c>
      <c r="C2014">
        <v>0.02</v>
      </c>
    </row>
    <row r="2015" spans="1:3" ht="15" customHeight="1" x14ac:dyDescent="0.25">
      <c r="A2015" t="s">
        <v>4325</v>
      </c>
      <c r="B2015">
        <v>55.3</v>
      </c>
      <c r="C2015">
        <v>0.02</v>
      </c>
    </row>
    <row r="2016" spans="1:3" ht="15" customHeight="1" x14ac:dyDescent="0.25">
      <c r="A2016" t="s">
        <v>4326</v>
      </c>
      <c r="B2016">
        <v>47</v>
      </c>
      <c r="C2016">
        <v>0.02</v>
      </c>
    </row>
    <row r="2017" spans="1:3" ht="15" customHeight="1" x14ac:dyDescent="0.25">
      <c r="A2017" t="s">
        <v>4327</v>
      </c>
      <c r="B2017">
        <v>47</v>
      </c>
      <c r="C2017">
        <v>0.02</v>
      </c>
    </row>
    <row r="2018" spans="1:3" ht="15" customHeight="1" x14ac:dyDescent="0.25">
      <c r="A2018" t="s">
        <v>4328</v>
      </c>
      <c r="B2018">
        <v>59.2</v>
      </c>
      <c r="C2018">
        <v>0.02</v>
      </c>
    </row>
    <row r="2019" spans="1:3" ht="15" customHeight="1" x14ac:dyDescent="0.25">
      <c r="A2019" t="s">
        <v>4329</v>
      </c>
      <c r="B2019">
        <v>59.2</v>
      </c>
      <c r="C2019">
        <v>0.02</v>
      </c>
    </row>
    <row r="2020" spans="1:3" ht="15" customHeight="1" x14ac:dyDescent="0.25">
      <c r="A2020" t="s">
        <v>4330</v>
      </c>
      <c r="B2020">
        <v>47</v>
      </c>
      <c r="C2020">
        <v>0.02</v>
      </c>
    </row>
    <row r="2021" spans="1:3" ht="15" customHeight="1" x14ac:dyDescent="0.25">
      <c r="A2021" t="s">
        <v>4331</v>
      </c>
      <c r="B2021">
        <v>47</v>
      </c>
      <c r="C2021">
        <v>0.02</v>
      </c>
    </row>
    <row r="2022" spans="1:3" ht="15" customHeight="1" x14ac:dyDescent="0.25">
      <c r="A2022" t="s">
        <v>4332</v>
      </c>
      <c r="B2022">
        <v>47</v>
      </c>
      <c r="C2022">
        <v>0.02</v>
      </c>
    </row>
    <row r="2023" spans="1:3" ht="15" customHeight="1" x14ac:dyDescent="0.25">
      <c r="A2023" t="s">
        <v>4333</v>
      </c>
      <c r="B2023">
        <v>47</v>
      </c>
      <c r="C2023">
        <v>0.02</v>
      </c>
    </row>
    <row r="2024" spans="1:3" ht="15" customHeight="1" x14ac:dyDescent="0.25">
      <c r="A2024" t="s">
        <v>4334</v>
      </c>
      <c r="B2024">
        <v>203.8</v>
      </c>
      <c r="C2024">
        <v>0.02</v>
      </c>
    </row>
    <row r="2025" spans="1:3" ht="15" customHeight="1" x14ac:dyDescent="0.25">
      <c r="A2025" t="s">
        <v>4335</v>
      </c>
      <c r="B2025">
        <v>203.8</v>
      </c>
      <c r="C2025">
        <v>0.02</v>
      </c>
    </row>
    <row r="2026" spans="1:3" ht="15" customHeight="1" x14ac:dyDescent="0.25">
      <c r="A2026" t="s">
        <v>4336</v>
      </c>
      <c r="B2026">
        <v>203.8</v>
      </c>
      <c r="C2026">
        <v>0.02</v>
      </c>
    </row>
    <row r="2027" spans="1:3" ht="15" customHeight="1" x14ac:dyDescent="0.25">
      <c r="A2027" t="s">
        <v>4337</v>
      </c>
      <c r="B2027">
        <v>203.8</v>
      </c>
      <c r="C2027">
        <v>0.02</v>
      </c>
    </row>
    <row r="2028" spans="1:3" ht="15" customHeight="1" x14ac:dyDescent="0.25">
      <c r="A2028" t="s">
        <v>4338</v>
      </c>
      <c r="B2028">
        <v>166.7</v>
      </c>
      <c r="C2028">
        <v>0.05</v>
      </c>
    </row>
    <row r="2029" spans="1:3" ht="15" customHeight="1" x14ac:dyDescent="0.25">
      <c r="A2029" t="s">
        <v>4339</v>
      </c>
      <c r="B2029">
        <v>166.7</v>
      </c>
      <c r="C2029">
        <v>0.05</v>
      </c>
    </row>
    <row r="2030" spans="1:3" ht="15" customHeight="1" x14ac:dyDescent="0.25">
      <c r="A2030" t="s">
        <v>4340</v>
      </c>
      <c r="B2030">
        <v>28.2</v>
      </c>
      <c r="C2030">
        <v>0.2</v>
      </c>
    </row>
    <row r="2031" spans="1:3" ht="15" customHeight="1" x14ac:dyDescent="0.25">
      <c r="A2031" t="s">
        <v>4341</v>
      </c>
      <c r="B2031">
        <v>28.2</v>
      </c>
      <c r="C2031">
        <v>0.2</v>
      </c>
    </row>
    <row r="2032" spans="1:3" ht="15" customHeight="1" x14ac:dyDescent="0.25">
      <c r="A2032" t="s">
        <v>4342</v>
      </c>
      <c r="B2032">
        <v>28.2</v>
      </c>
      <c r="C2032">
        <v>0.2</v>
      </c>
    </row>
    <row r="2033" spans="1:3" ht="15" customHeight="1" x14ac:dyDescent="0.25">
      <c r="A2033" t="s">
        <v>4343</v>
      </c>
      <c r="B2033">
        <v>28.2</v>
      </c>
      <c r="C2033">
        <v>0.2</v>
      </c>
    </row>
    <row r="2034" spans="1:3" ht="15" customHeight="1" x14ac:dyDescent="0.25">
      <c r="A2034" t="s">
        <v>4344</v>
      </c>
      <c r="B2034">
        <v>28.2</v>
      </c>
      <c r="C2034">
        <v>0.2</v>
      </c>
    </row>
    <row r="2035" spans="1:3" ht="15" customHeight="1" x14ac:dyDescent="0.25">
      <c r="A2035" t="s">
        <v>4345</v>
      </c>
      <c r="B2035">
        <v>26.6</v>
      </c>
      <c r="C2035">
        <v>0.2</v>
      </c>
    </row>
    <row r="2036" spans="1:3" ht="15" customHeight="1" x14ac:dyDescent="0.25">
      <c r="A2036" t="s">
        <v>4346</v>
      </c>
      <c r="B2036">
        <v>26.6</v>
      </c>
      <c r="C2036">
        <v>0.2</v>
      </c>
    </row>
    <row r="2037" spans="1:3" ht="15" customHeight="1" x14ac:dyDescent="0.25">
      <c r="A2037" t="s">
        <v>4347</v>
      </c>
      <c r="B2037">
        <v>26.6</v>
      </c>
      <c r="C2037">
        <v>0.2</v>
      </c>
    </row>
    <row r="2038" spans="1:3" ht="15" customHeight="1" x14ac:dyDescent="0.25">
      <c r="A2038" t="s">
        <v>4348</v>
      </c>
      <c r="B2038">
        <v>26.6</v>
      </c>
      <c r="C2038">
        <v>0.2</v>
      </c>
    </row>
    <row r="2039" spans="1:3" ht="15" customHeight="1" x14ac:dyDescent="0.25">
      <c r="A2039" t="s">
        <v>4349</v>
      </c>
      <c r="B2039">
        <v>26.6</v>
      </c>
      <c r="C2039">
        <v>0.2</v>
      </c>
    </row>
    <row r="2040" spans="1:3" ht="15" customHeight="1" x14ac:dyDescent="0.25">
      <c r="A2040" t="s">
        <v>4350</v>
      </c>
      <c r="B2040">
        <v>26.6</v>
      </c>
      <c r="C2040">
        <v>0.2</v>
      </c>
    </row>
    <row r="2041" spans="1:3" ht="15" customHeight="1" x14ac:dyDescent="0.25">
      <c r="A2041" t="s">
        <v>4351</v>
      </c>
      <c r="B2041">
        <v>28.2</v>
      </c>
      <c r="C2041">
        <v>0.2</v>
      </c>
    </row>
    <row r="2042" spans="1:3" ht="15" customHeight="1" x14ac:dyDescent="0.25">
      <c r="A2042" t="s">
        <v>4352</v>
      </c>
      <c r="B2042">
        <v>28.2</v>
      </c>
      <c r="C2042">
        <v>0.2</v>
      </c>
    </row>
    <row r="2043" spans="1:3" ht="15" customHeight="1" x14ac:dyDescent="0.25">
      <c r="A2043" t="s">
        <v>4353</v>
      </c>
      <c r="B2043">
        <v>28.2</v>
      </c>
      <c r="C2043">
        <v>0.2</v>
      </c>
    </row>
    <row r="2044" spans="1:3" ht="15" customHeight="1" x14ac:dyDescent="0.25">
      <c r="A2044" t="s">
        <v>4354</v>
      </c>
      <c r="B2044">
        <v>26.6</v>
      </c>
      <c r="C2044">
        <v>0.2</v>
      </c>
    </row>
    <row r="2045" spans="1:3" ht="15" customHeight="1" x14ac:dyDescent="0.25">
      <c r="A2045" t="s">
        <v>4355</v>
      </c>
      <c r="B2045">
        <v>26.6</v>
      </c>
      <c r="C2045">
        <v>0.2</v>
      </c>
    </row>
    <row r="2046" spans="1:3" ht="15" customHeight="1" x14ac:dyDescent="0.25">
      <c r="A2046" t="s">
        <v>4356</v>
      </c>
      <c r="B2046">
        <v>26.6</v>
      </c>
      <c r="C2046">
        <v>0.2</v>
      </c>
    </row>
    <row r="2047" spans="1:3" ht="15" customHeight="1" x14ac:dyDescent="0.25">
      <c r="A2047" t="s">
        <v>4357</v>
      </c>
      <c r="B2047">
        <v>18.100000000000001</v>
      </c>
      <c r="C2047">
        <v>0.2</v>
      </c>
    </row>
    <row r="2048" spans="1:3" ht="15" customHeight="1" x14ac:dyDescent="0.25">
      <c r="A2048" t="s">
        <v>4358</v>
      </c>
      <c r="B2048">
        <v>18.100000000000001</v>
      </c>
      <c r="C2048">
        <v>0.2</v>
      </c>
    </row>
    <row r="2049" spans="1:3" ht="15" customHeight="1" x14ac:dyDescent="0.25">
      <c r="A2049" t="s">
        <v>4359</v>
      </c>
      <c r="B2049">
        <v>18.100000000000001</v>
      </c>
      <c r="C2049">
        <v>0.2</v>
      </c>
    </row>
    <row r="2050" spans="1:3" ht="15" customHeight="1" x14ac:dyDescent="0.25">
      <c r="A2050" t="s">
        <v>4360</v>
      </c>
      <c r="B2050">
        <v>18.100000000000001</v>
      </c>
      <c r="C2050">
        <v>0.2</v>
      </c>
    </row>
    <row r="2051" spans="1:3" ht="15" customHeight="1" x14ac:dyDescent="0.25">
      <c r="A2051" t="s">
        <v>4361</v>
      </c>
      <c r="B2051">
        <v>18.100000000000001</v>
      </c>
      <c r="C2051">
        <v>0.2</v>
      </c>
    </row>
    <row r="2052" spans="1:3" ht="15" customHeight="1" x14ac:dyDescent="0.25">
      <c r="A2052" t="s">
        <v>4362</v>
      </c>
      <c r="B2052">
        <v>18.100000000000001</v>
      </c>
      <c r="C2052">
        <v>0.2</v>
      </c>
    </row>
    <row r="2053" spans="1:3" ht="15" customHeight="1" x14ac:dyDescent="0.25">
      <c r="A2053" t="s">
        <v>4363</v>
      </c>
      <c r="B2053">
        <v>18.100000000000001</v>
      </c>
      <c r="C2053">
        <v>0.2</v>
      </c>
    </row>
    <row r="2054" spans="1:3" ht="15" customHeight="1" x14ac:dyDescent="0.25">
      <c r="A2054" t="s">
        <v>4364</v>
      </c>
      <c r="B2054">
        <v>18.100000000000001</v>
      </c>
      <c r="C2054">
        <v>0.2</v>
      </c>
    </row>
    <row r="2055" spans="1:3" ht="15" customHeight="1" x14ac:dyDescent="0.25">
      <c r="A2055" t="s">
        <v>4365</v>
      </c>
      <c r="B2055">
        <v>68.400000000000006</v>
      </c>
      <c r="C2055">
        <v>0.15</v>
      </c>
    </row>
    <row r="2056" spans="1:3" ht="15" customHeight="1" x14ac:dyDescent="0.25">
      <c r="A2056" t="s">
        <v>4366</v>
      </c>
      <c r="B2056">
        <v>68.400000000000006</v>
      </c>
      <c r="C2056">
        <v>0.15</v>
      </c>
    </row>
    <row r="2057" spans="1:3" ht="15" customHeight="1" x14ac:dyDescent="0.25">
      <c r="A2057" t="s">
        <v>4367</v>
      </c>
      <c r="B2057">
        <v>68.400000000000006</v>
      </c>
      <c r="C2057">
        <v>0.15</v>
      </c>
    </row>
    <row r="2058" spans="1:3" ht="15" customHeight="1" x14ac:dyDescent="0.25">
      <c r="A2058" t="s">
        <v>4368</v>
      </c>
      <c r="B2058">
        <v>68.400000000000006</v>
      </c>
      <c r="C2058">
        <v>0.15</v>
      </c>
    </row>
    <row r="2059" spans="1:3" ht="15" customHeight="1" x14ac:dyDescent="0.25">
      <c r="A2059" t="s">
        <v>4369</v>
      </c>
      <c r="B2059">
        <v>71</v>
      </c>
      <c r="C2059">
        <v>0.15</v>
      </c>
    </row>
    <row r="2060" spans="1:3" ht="15" customHeight="1" x14ac:dyDescent="0.25">
      <c r="A2060" t="s">
        <v>4370</v>
      </c>
      <c r="B2060">
        <v>71</v>
      </c>
      <c r="C2060">
        <v>0.15</v>
      </c>
    </row>
    <row r="2061" spans="1:3" ht="15" customHeight="1" x14ac:dyDescent="0.25">
      <c r="A2061" t="s">
        <v>4371</v>
      </c>
      <c r="B2061">
        <v>68.400000000000006</v>
      </c>
      <c r="C2061">
        <v>0.15</v>
      </c>
    </row>
    <row r="2062" spans="1:3" ht="15" customHeight="1" x14ac:dyDescent="0.25">
      <c r="A2062" t="s">
        <v>4372</v>
      </c>
      <c r="B2062">
        <v>68.400000000000006</v>
      </c>
      <c r="C2062">
        <v>0.15</v>
      </c>
    </row>
    <row r="2063" spans="1:3" ht="15" customHeight="1" x14ac:dyDescent="0.25">
      <c r="A2063" t="s">
        <v>4373</v>
      </c>
      <c r="B2063">
        <v>68.400000000000006</v>
      </c>
      <c r="C2063">
        <v>0.15</v>
      </c>
    </row>
    <row r="2064" spans="1:3" ht="15" customHeight="1" x14ac:dyDescent="0.25">
      <c r="A2064" t="s">
        <v>4374</v>
      </c>
      <c r="B2064">
        <v>68.400000000000006</v>
      </c>
      <c r="C2064">
        <v>0.15</v>
      </c>
    </row>
    <row r="2065" spans="1:3" ht="15" customHeight="1" x14ac:dyDescent="0.25">
      <c r="A2065" t="s">
        <v>4375</v>
      </c>
      <c r="B2065">
        <v>68.400000000000006</v>
      </c>
      <c r="C2065">
        <v>0.15</v>
      </c>
    </row>
    <row r="2066" spans="1:3" ht="15" customHeight="1" x14ac:dyDescent="0.25">
      <c r="A2066" t="s">
        <v>4376</v>
      </c>
      <c r="B2066">
        <v>68.400000000000006</v>
      </c>
      <c r="C2066">
        <v>0.15</v>
      </c>
    </row>
    <row r="2067" spans="1:3" ht="15" customHeight="1" x14ac:dyDescent="0.25">
      <c r="A2067" t="s">
        <v>4377</v>
      </c>
      <c r="B2067">
        <v>68.400000000000006</v>
      </c>
      <c r="C2067">
        <v>0.15</v>
      </c>
    </row>
    <row r="2068" spans="1:3" ht="15" customHeight="1" x14ac:dyDescent="0.25">
      <c r="A2068" t="s">
        <v>4378</v>
      </c>
      <c r="B2068">
        <v>68.400000000000006</v>
      </c>
      <c r="C2068">
        <v>0.15</v>
      </c>
    </row>
    <row r="2069" spans="1:3" ht="15" customHeight="1" x14ac:dyDescent="0.25">
      <c r="A2069" t="s">
        <v>4379</v>
      </c>
      <c r="B2069">
        <v>68.400000000000006</v>
      </c>
      <c r="C2069">
        <v>0.15</v>
      </c>
    </row>
    <row r="2070" spans="1:3" ht="15" customHeight="1" x14ac:dyDescent="0.25">
      <c r="A2070" t="s">
        <v>4380</v>
      </c>
      <c r="B2070">
        <v>68.400000000000006</v>
      </c>
      <c r="C2070">
        <v>0.15</v>
      </c>
    </row>
    <row r="2071" spans="1:3" ht="15" customHeight="1" x14ac:dyDescent="0.25">
      <c r="A2071" t="s">
        <v>4381</v>
      </c>
      <c r="B2071">
        <v>71</v>
      </c>
      <c r="C2071">
        <v>0.15</v>
      </c>
    </row>
    <row r="2072" spans="1:3" ht="15" customHeight="1" x14ac:dyDescent="0.25">
      <c r="A2072" t="s">
        <v>4382</v>
      </c>
      <c r="B2072">
        <v>71</v>
      </c>
      <c r="C2072">
        <v>0.15</v>
      </c>
    </row>
    <row r="2073" spans="1:3" ht="15" customHeight="1" x14ac:dyDescent="0.25">
      <c r="A2073" t="s">
        <v>4383</v>
      </c>
      <c r="B2073">
        <v>71</v>
      </c>
      <c r="C2073">
        <v>0.15</v>
      </c>
    </row>
    <row r="2074" spans="1:3" ht="15" customHeight="1" x14ac:dyDescent="0.25">
      <c r="A2074" t="s">
        <v>4384</v>
      </c>
      <c r="B2074">
        <v>68.400000000000006</v>
      </c>
      <c r="C2074">
        <v>0.15</v>
      </c>
    </row>
    <row r="2075" spans="1:3" ht="15" customHeight="1" x14ac:dyDescent="0.25">
      <c r="A2075" t="s">
        <v>4385</v>
      </c>
      <c r="B2075">
        <v>68.400000000000006</v>
      </c>
      <c r="C2075">
        <v>0.15</v>
      </c>
    </row>
    <row r="2076" spans="1:3" ht="15" customHeight="1" x14ac:dyDescent="0.25">
      <c r="A2076" t="s">
        <v>4386</v>
      </c>
      <c r="B2076">
        <v>68.400000000000006</v>
      </c>
      <c r="C2076">
        <v>0.15</v>
      </c>
    </row>
    <row r="2077" spans="1:3" ht="15" customHeight="1" x14ac:dyDescent="0.25">
      <c r="A2077" t="s">
        <v>4387</v>
      </c>
      <c r="B2077">
        <v>68.400000000000006</v>
      </c>
      <c r="C2077">
        <v>0.15</v>
      </c>
    </row>
    <row r="2078" spans="1:3" ht="15" customHeight="1" x14ac:dyDescent="0.25">
      <c r="A2078" t="s">
        <v>4388</v>
      </c>
      <c r="B2078">
        <v>68.400000000000006</v>
      </c>
      <c r="C2078">
        <v>0.15</v>
      </c>
    </row>
    <row r="2079" spans="1:3" ht="15" customHeight="1" x14ac:dyDescent="0.25">
      <c r="A2079" t="s">
        <v>4389</v>
      </c>
      <c r="B2079">
        <v>68.400000000000006</v>
      </c>
      <c r="C2079">
        <v>0.15</v>
      </c>
    </row>
    <row r="2080" spans="1:3" ht="15" customHeight="1" x14ac:dyDescent="0.25">
      <c r="A2080" t="s">
        <v>4390</v>
      </c>
      <c r="B2080">
        <v>29.9</v>
      </c>
    </row>
    <row r="2081" spans="1:3" ht="15" customHeight="1" x14ac:dyDescent="0.25">
      <c r="A2081" t="s">
        <v>4391</v>
      </c>
      <c r="B2081">
        <v>29.9</v>
      </c>
    </row>
    <row r="2082" spans="1:3" ht="15" customHeight="1" x14ac:dyDescent="0.25">
      <c r="A2082" t="s">
        <v>4392</v>
      </c>
      <c r="B2082">
        <v>34.200000000000003</v>
      </c>
      <c r="C2082">
        <v>0.3</v>
      </c>
    </row>
    <row r="2083" spans="1:3" ht="15" customHeight="1" x14ac:dyDescent="0.25">
      <c r="A2083" t="s">
        <v>4393</v>
      </c>
      <c r="B2083">
        <v>34.200000000000003</v>
      </c>
      <c r="C2083">
        <v>0.3</v>
      </c>
    </row>
    <row r="2084" spans="1:3" ht="15" customHeight="1" x14ac:dyDescent="0.25">
      <c r="A2084" t="s">
        <v>4394</v>
      </c>
      <c r="B2084">
        <v>55.1</v>
      </c>
    </row>
    <row r="2085" spans="1:3" ht="15" customHeight="1" x14ac:dyDescent="0.25">
      <c r="A2085" t="s">
        <v>4395</v>
      </c>
      <c r="B2085">
        <v>55.1</v>
      </c>
    </row>
    <row r="2086" spans="1:3" ht="15" customHeight="1" x14ac:dyDescent="0.25">
      <c r="A2086" t="s">
        <v>4396</v>
      </c>
      <c r="B2086">
        <v>33.6</v>
      </c>
      <c r="C2086">
        <v>0.05</v>
      </c>
    </row>
    <row r="2087" spans="1:3" ht="15" customHeight="1" x14ac:dyDescent="0.25">
      <c r="A2087" t="s">
        <v>4397</v>
      </c>
      <c r="B2087">
        <v>26.3</v>
      </c>
      <c r="C2087">
        <v>0.3</v>
      </c>
    </row>
    <row r="2088" spans="1:3" ht="15" customHeight="1" x14ac:dyDescent="0.25">
      <c r="A2088" t="s">
        <v>4398</v>
      </c>
      <c r="B2088">
        <v>26.3</v>
      </c>
      <c r="C2088">
        <v>0.3</v>
      </c>
    </row>
    <row r="2089" spans="1:3" ht="15" customHeight="1" x14ac:dyDescent="0.25">
      <c r="A2089" t="s">
        <v>4399</v>
      </c>
      <c r="B2089">
        <v>32</v>
      </c>
      <c r="C2089">
        <v>0.3</v>
      </c>
    </row>
    <row r="2090" spans="1:3" ht="15" customHeight="1" x14ac:dyDescent="0.25">
      <c r="A2090" t="s">
        <v>4400</v>
      </c>
      <c r="B2090">
        <v>28.8</v>
      </c>
      <c r="C2090">
        <v>0.3</v>
      </c>
    </row>
    <row r="2091" spans="1:3" ht="15" customHeight="1" x14ac:dyDescent="0.25">
      <c r="A2091" t="s">
        <v>4401</v>
      </c>
      <c r="B2091">
        <v>26.3</v>
      </c>
      <c r="C2091">
        <v>0.3</v>
      </c>
    </row>
    <row r="2092" spans="1:3" ht="15" customHeight="1" x14ac:dyDescent="0.25">
      <c r="A2092" t="s">
        <v>4402</v>
      </c>
      <c r="B2092">
        <v>26.3</v>
      </c>
      <c r="C2092">
        <v>0.3</v>
      </c>
    </row>
    <row r="2093" spans="1:3" ht="15" customHeight="1" x14ac:dyDescent="0.25">
      <c r="A2093" t="s">
        <v>4403</v>
      </c>
      <c r="B2093">
        <v>26.3</v>
      </c>
      <c r="C2093">
        <v>0.3</v>
      </c>
    </row>
    <row r="2094" spans="1:3" ht="15" customHeight="1" x14ac:dyDescent="0.25">
      <c r="A2094" t="s">
        <v>4404</v>
      </c>
      <c r="B2094">
        <v>28.8</v>
      </c>
      <c r="C2094">
        <v>0.3</v>
      </c>
    </row>
    <row r="2095" spans="1:3" ht="15" customHeight="1" x14ac:dyDescent="0.25">
      <c r="A2095" t="s">
        <v>4405</v>
      </c>
      <c r="B2095">
        <v>28.8</v>
      </c>
      <c r="C2095">
        <v>0.3</v>
      </c>
    </row>
    <row r="2096" spans="1:3" ht="15" customHeight="1" x14ac:dyDescent="0.25">
      <c r="A2096" t="s">
        <v>4406</v>
      </c>
      <c r="B2096">
        <v>28.8</v>
      </c>
      <c r="C2096">
        <v>0.3</v>
      </c>
    </row>
    <row r="2097" spans="1:3" ht="15" customHeight="1" x14ac:dyDescent="0.25">
      <c r="A2097" t="s">
        <v>4407</v>
      </c>
      <c r="B2097">
        <v>28.8</v>
      </c>
    </row>
    <row r="2098" spans="1:3" ht="15" customHeight="1" x14ac:dyDescent="0.25">
      <c r="A2098" t="s">
        <v>4408</v>
      </c>
      <c r="B2098">
        <v>26.3</v>
      </c>
    </row>
    <row r="2099" spans="1:3" ht="15" customHeight="1" x14ac:dyDescent="0.25">
      <c r="A2099" t="s">
        <v>4409</v>
      </c>
      <c r="B2099">
        <v>28.8</v>
      </c>
    </row>
    <row r="2100" spans="1:3" ht="15" customHeight="1" x14ac:dyDescent="0.25">
      <c r="A2100" t="s">
        <v>4410</v>
      </c>
      <c r="B2100">
        <v>28.8</v>
      </c>
    </row>
    <row r="2101" spans="1:3" ht="15" customHeight="1" x14ac:dyDescent="0.25">
      <c r="A2101" t="s">
        <v>4411</v>
      </c>
      <c r="B2101">
        <v>28.8</v>
      </c>
    </row>
    <row r="2102" spans="1:3" ht="15" customHeight="1" x14ac:dyDescent="0.25">
      <c r="A2102" t="s">
        <v>4412</v>
      </c>
      <c r="B2102">
        <v>26.3</v>
      </c>
      <c r="C2102">
        <v>0.2</v>
      </c>
    </row>
    <row r="2103" spans="1:3" ht="15" customHeight="1" x14ac:dyDescent="0.25">
      <c r="A2103" t="s">
        <v>4413</v>
      </c>
      <c r="B2103">
        <v>28.8</v>
      </c>
    </row>
    <row r="2104" spans="1:3" ht="15" customHeight="1" x14ac:dyDescent="0.25">
      <c r="A2104" t="s">
        <v>4414</v>
      </c>
      <c r="B2104">
        <v>28.8</v>
      </c>
      <c r="C2104">
        <v>0.2</v>
      </c>
    </row>
    <row r="2105" spans="1:3" ht="15" customHeight="1" x14ac:dyDescent="0.25">
      <c r="A2105" t="s">
        <v>781</v>
      </c>
      <c r="B2105">
        <v>23.8</v>
      </c>
      <c r="C2105">
        <v>0.1</v>
      </c>
    </row>
    <row r="2106" spans="1:3" ht="15" customHeight="1" x14ac:dyDescent="0.25">
      <c r="A2106" t="s">
        <v>4415</v>
      </c>
      <c r="B2106">
        <v>28.8</v>
      </c>
      <c r="C2106">
        <v>0.3</v>
      </c>
    </row>
    <row r="2107" spans="1:3" ht="15" customHeight="1" x14ac:dyDescent="0.25">
      <c r="A2107" t="s">
        <v>4416</v>
      </c>
      <c r="B2107">
        <v>28.9</v>
      </c>
    </row>
    <row r="2108" spans="1:3" ht="15" customHeight="1" x14ac:dyDescent="0.25">
      <c r="A2108" t="s">
        <v>4417</v>
      </c>
      <c r="B2108">
        <v>28.9</v>
      </c>
      <c r="C2108">
        <v>0.2</v>
      </c>
    </row>
    <row r="2109" spans="1:3" ht="15" customHeight="1" x14ac:dyDescent="0.25">
      <c r="A2109" t="s">
        <v>4418</v>
      </c>
      <c r="B2109">
        <v>29.1</v>
      </c>
      <c r="C2109">
        <v>0.06</v>
      </c>
    </row>
    <row r="2110" spans="1:3" ht="15" customHeight="1" x14ac:dyDescent="0.25">
      <c r="A2110" t="s">
        <v>4419</v>
      </c>
      <c r="B2110">
        <v>32</v>
      </c>
    </row>
    <row r="2111" spans="1:3" ht="15" customHeight="1" x14ac:dyDescent="0.25">
      <c r="A2111" t="s">
        <v>4420</v>
      </c>
      <c r="B2111">
        <v>32</v>
      </c>
      <c r="C2111">
        <v>0.2</v>
      </c>
    </row>
    <row r="2112" spans="1:3" ht="15" customHeight="1" x14ac:dyDescent="0.25">
      <c r="A2112" t="s">
        <v>4421</v>
      </c>
      <c r="B2112">
        <v>30.9</v>
      </c>
      <c r="C2112">
        <v>0.2</v>
      </c>
    </row>
    <row r="2113" spans="1:3" ht="15" customHeight="1" x14ac:dyDescent="0.25">
      <c r="A2113" t="s">
        <v>4422</v>
      </c>
      <c r="B2113">
        <v>32</v>
      </c>
      <c r="C2113">
        <v>0.2</v>
      </c>
    </row>
    <row r="2114" spans="1:3" ht="15" customHeight="1" x14ac:dyDescent="0.25">
      <c r="A2114" t="s">
        <v>4423</v>
      </c>
      <c r="B2114">
        <v>28.8</v>
      </c>
      <c r="C2114">
        <v>0.3</v>
      </c>
    </row>
    <row r="2115" spans="1:3" ht="15" customHeight="1" x14ac:dyDescent="0.25">
      <c r="A2115" t="s">
        <v>4424</v>
      </c>
      <c r="B2115">
        <v>28.8</v>
      </c>
      <c r="C2115">
        <v>0.3</v>
      </c>
    </row>
    <row r="2116" spans="1:3" ht="15" customHeight="1" x14ac:dyDescent="0.25">
      <c r="A2116" t="s">
        <v>4425</v>
      </c>
      <c r="B2116">
        <v>28.8</v>
      </c>
      <c r="C2116">
        <v>0.3</v>
      </c>
    </row>
    <row r="2117" spans="1:3" ht="15" customHeight="1" x14ac:dyDescent="0.25">
      <c r="A2117" t="s">
        <v>4426</v>
      </c>
      <c r="B2117">
        <v>28.8</v>
      </c>
      <c r="C2117">
        <v>0.3</v>
      </c>
    </row>
    <row r="2118" spans="1:3" ht="15" customHeight="1" x14ac:dyDescent="0.25">
      <c r="A2118" t="s">
        <v>4427</v>
      </c>
      <c r="B2118">
        <v>28.8</v>
      </c>
      <c r="C2118">
        <v>0.3</v>
      </c>
    </row>
    <row r="2119" spans="1:3" ht="15" customHeight="1" x14ac:dyDescent="0.25">
      <c r="A2119" t="s">
        <v>4428</v>
      </c>
      <c r="B2119">
        <v>28.8</v>
      </c>
      <c r="C2119">
        <v>0.3</v>
      </c>
    </row>
    <row r="2120" spans="1:3" ht="15" customHeight="1" x14ac:dyDescent="0.25">
      <c r="A2120" t="s">
        <v>4429</v>
      </c>
      <c r="B2120">
        <v>28.8</v>
      </c>
    </row>
    <row r="2121" spans="1:3" ht="15" customHeight="1" x14ac:dyDescent="0.25">
      <c r="A2121" t="s">
        <v>4430</v>
      </c>
      <c r="B2121">
        <v>28.8</v>
      </c>
      <c r="C2121">
        <v>0.3</v>
      </c>
    </row>
    <row r="2122" spans="1:3" ht="15" customHeight="1" x14ac:dyDescent="0.25">
      <c r="A2122" t="s">
        <v>4431</v>
      </c>
      <c r="B2122">
        <v>28.8</v>
      </c>
      <c r="C2122">
        <v>0.3</v>
      </c>
    </row>
    <row r="2123" spans="1:3" ht="15" customHeight="1" x14ac:dyDescent="0.25">
      <c r="A2123" t="s">
        <v>4432</v>
      </c>
      <c r="B2123">
        <v>28.8</v>
      </c>
      <c r="C2123">
        <v>0.3</v>
      </c>
    </row>
    <row r="2124" spans="1:3" ht="15" customHeight="1" x14ac:dyDescent="0.25">
      <c r="A2124" t="s">
        <v>4433</v>
      </c>
      <c r="B2124">
        <v>28.8</v>
      </c>
      <c r="C2124">
        <v>0.3</v>
      </c>
    </row>
    <row r="2125" spans="1:3" ht="15" customHeight="1" x14ac:dyDescent="0.25">
      <c r="A2125" t="s">
        <v>4434</v>
      </c>
      <c r="B2125">
        <v>28.8</v>
      </c>
      <c r="C2125">
        <v>0.3</v>
      </c>
    </row>
    <row r="2126" spans="1:3" ht="15" customHeight="1" x14ac:dyDescent="0.25">
      <c r="A2126" t="s">
        <v>4435</v>
      </c>
      <c r="B2126">
        <v>28.8</v>
      </c>
      <c r="C2126">
        <v>0.3</v>
      </c>
    </row>
    <row r="2127" spans="1:3" ht="15" customHeight="1" x14ac:dyDescent="0.25">
      <c r="A2127" t="s">
        <v>4436</v>
      </c>
      <c r="B2127">
        <v>28.8</v>
      </c>
      <c r="C2127">
        <v>0.3</v>
      </c>
    </row>
    <row r="2128" spans="1:3" ht="15" customHeight="1" x14ac:dyDescent="0.25">
      <c r="A2128" t="s">
        <v>4437</v>
      </c>
      <c r="B2128">
        <v>28.8</v>
      </c>
      <c r="C2128">
        <v>0.3</v>
      </c>
    </row>
    <row r="2129" spans="1:3" ht="15" customHeight="1" x14ac:dyDescent="0.25">
      <c r="A2129" t="s">
        <v>4438</v>
      </c>
      <c r="B2129">
        <v>28.8</v>
      </c>
      <c r="C2129">
        <v>0.3</v>
      </c>
    </row>
    <row r="2130" spans="1:3" ht="15" customHeight="1" x14ac:dyDescent="0.25">
      <c r="A2130" t="s">
        <v>4439</v>
      </c>
      <c r="B2130">
        <v>28.8</v>
      </c>
      <c r="C2130">
        <v>0.3</v>
      </c>
    </row>
    <row r="2131" spans="1:3" ht="15" customHeight="1" x14ac:dyDescent="0.25">
      <c r="A2131" t="s">
        <v>4440</v>
      </c>
      <c r="B2131">
        <v>28.8</v>
      </c>
      <c r="C2131">
        <v>0.3</v>
      </c>
    </row>
    <row r="2132" spans="1:3" ht="15" customHeight="1" x14ac:dyDescent="0.25">
      <c r="A2132" t="s">
        <v>4441</v>
      </c>
      <c r="B2132">
        <v>28.8</v>
      </c>
      <c r="C2132">
        <v>0.3</v>
      </c>
    </row>
    <row r="2133" spans="1:3" ht="15" customHeight="1" x14ac:dyDescent="0.25">
      <c r="A2133" t="s">
        <v>4442</v>
      </c>
      <c r="B2133">
        <v>25.9</v>
      </c>
      <c r="C2133">
        <v>0.2</v>
      </c>
    </row>
    <row r="2134" spans="1:3" ht="15" customHeight="1" x14ac:dyDescent="0.25">
      <c r="A2134" t="s">
        <v>4443</v>
      </c>
      <c r="B2134">
        <v>25.9</v>
      </c>
      <c r="C2134">
        <v>0.2</v>
      </c>
    </row>
    <row r="2135" spans="1:3" ht="15" customHeight="1" x14ac:dyDescent="0.25">
      <c r="A2135" t="s">
        <v>4444</v>
      </c>
      <c r="B2135">
        <v>25.9</v>
      </c>
      <c r="C2135">
        <v>0.2</v>
      </c>
    </row>
    <row r="2136" spans="1:3" ht="15" customHeight="1" x14ac:dyDescent="0.25">
      <c r="A2136" t="s">
        <v>4445</v>
      </c>
      <c r="B2136">
        <v>25.9</v>
      </c>
      <c r="C2136">
        <v>0.2</v>
      </c>
    </row>
    <row r="2137" spans="1:3" ht="15" customHeight="1" x14ac:dyDescent="0.25">
      <c r="A2137" t="s">
        <v>4446</v>
      </c>
      <c r="B2137">
        <v>26.6</v>
      </c>
      <c r="C2137">
        <v>0.2</v>
      </c>
    </row>
    <row r="2138" spans="1:3" ht="15" customHeight="1" x14ac:dyDescent="0.25">
      <c r="A2138" t="s">
        <v>4447</v>
      </c>
      <c r="B2138">
        <v>26.6</v>
      </c>
    </row>
    <row r="2139" spans="1:3" ht="15" customHeight="1" x14ac:dyDescent="0.25">
      <c r="A2139" t="s">
        <v>4448</v>
      </c>
      <c r="B2139">
        <v>26.6</v>
      </c>
      <c r="C2139">
        <v>0.2</v>
      </c>
    </row>
    <row r="2140" spans="1:3" ht="15" customHeight="1" x14ac:dyDescent="0.25">
      <c r="A2140" t="s">
        <v>4449</v>
      </c>
      <c r="B2140">
        <v>26.6</v>
      </c>
      <c r="C2140">
        <v>0.2</v>
      </c>
    </row>
    <row r="2141" spans="1:3" ht="15" customHeight="1" x14ac:dyDescent="0.25">
      <c r="A2141" t="s">
        <v>4450</v>
      </c>
      <c r="B2141">
        <v>26.6</v>
      </c>
      <c r="C2141">
        <v>0.2</v>
      </c>
    </row>
    <row r="2142" spans="1:3" ht="15" customHeight="1" x14ac:dyDescent="0.25">
      <c r="A2142" t="s">
        <v>4451</v>
      </c>
      <c r="B2142">
        <v>26.6</v>
      </c>
      <c r="C2142">
        <v>0.2</v>
      </c>
    </row>
    <row r="2143" spans="1:3" ht="15" customHeight="1" x14ac:dyDescent="0.25">
      <c r="A2143" t="s">
        <v>4452</v>
      </c>
      <c r="B2143">
        <v>26.6</v>
      </c>
      <c r="C2143">
        <v>0.1</v>
      </c>
    </row>
    <row r="2144" spans="1:3" ht="15" customHeight="1" x14ac:dyDescent="0.25">
      <c r="A2144" t="s">
        <v>4453</v>
      </c>
      <c r="B2144">
        <v>29.1</v>
      </c>
      <c r="C2144">
        <v>0.3</v>
      </c>
    </row>
    <row r="2145" spans="1:3" ht="15" customHeight="1" x14ac:dyDescent="0.25">
      <c r="A2145" t="s">
        <v>4454</v>
      </c>
      <c r="B2145">
        <v>29.1</v>
      </c>
      <c r="C2145">
        <v>0.3</v>
      </c>
    </row>
    <row r="2146" spans="1:3" ht="15" customHeight="1" x14ac:dyDescent="0.25">
      <c r="A2146" t="s">
        <v>4455</v>
      </c>
      <c r="B2146">
        <v>29.1</v>
      </c>
      <c r="C2146">
        <v>0.3</v>
      </c>
    </row>
    <row r="2147" spans="1:3" ht="15" customHeight="1" x14ac:dyDescent="0.25">
      <c r="A2147" t="s">
        <v>4456</v>
      </c>
      <c r="B2147">
        <v>29.1</v>
      </c>
      <c r="C2147">
        <v>0.3</v>
      </c>
    </row>
    <row r="2148" spans="1:3" ht="15" customHeight="1" x14ac:dyDescent="0.25">
      <c r="A2148" t="s">
        <v>4457</v>
      </c>
      <c r="B2148">
        <v>15.8</v>
      </c>
    </row>
    <row r="2149" spans="1:3" ht="15" customHeight="1" x14ac:dyDescent="0.25">
      <c r="A2149" t="s">
        <v>4458</v>
      </c>
      <c r="B2149">
        <v>15.8</v>
      </c>
      <c r="C2149">
        <v>0.2</v>
      </c>
    </row>
    <row r="2150" spans="1:3" ht="15" customHeight="1" x14ac:dyDescent="0.25">
      <c r="A2150" t="s">
        <v>4459</v>
      </c>
      <c r="B2150">
        <v>15.8</v>
      </c>
    </row>
    <row r="2151" spans="1:3" ht="15" customHeight="1" x14ac:dyDescent="0.25">
      <c r="A2151" t="s">
        <v>4460</v>
      </c>
      <c r="B2151">
        <v>15.8</v>
      </c>
    </row>
    <row r="2152" spans="1:3" ht="15" customHeight="1" x14ac:dyDescent="0.25">
      <c r="A2152" t="s">
        <v>4461</v>
      </c>
      <c r="B2152">
        <v>15.8</v>
      </c>
      <c r="C2152">
        <v>0.2</v>
      </c>
    </row>
    <row r="2153" spans="1:3" ht="15" customHeight="1" x14ac:dyDescent="0.25">
      <c r="A2153" t="s">
        <v>4462</v>
      </c>
      <c r="B2153">
        <v>15.8</v>
      </c>
    </row>
    <row r="2154" spans="1:3" ht="15" customHeight="1" x14ac:dyDescent="0.25">
      <c r="A2154" t="s">
        <v>4463</v>
      </c>
      <c r="B2154">
        <v>15.8</v>
      </c>
    </row>
    <row r="2155" spans="1:3" ht="15" customHeight="1" x14ac:dyDescent="0.25">
      <c r="A2155" t="s">
        <v>4464</v>
      </c>
      <c r="B2155">
        <v>15.8</v>
      </c>
    </row>
    <row r="2156" spans="1:3" ht="15" customHeight="1" x14ac:dyDescent="0.25">
      <c r="A2156" t="s">
        <v>4465</v>
      </c>
      <c r="B2156">
        <v>15.8</v>
      </c>
      <c r="C2156">
        <v>0.1</v>
      </c>
    </row>
    <row r="2157" spans="1:3" ht="15" customHeight="1" x14ac:dyDescent="0.25">
      <c r="A2157" t="s">
        <v>4466</v>
      </c>
      <c r="B2157">
        <v>15.8</v>
      </c>
      <c r="C2157">
        <v>0.3</v>
      </c>
    </row>
    <row r="2158" spans="1:3" ht="15" customHeight="1" x14ac:dyDescent="0.25">
      <c r="A2158" t="s">
        <v>4467</v>
      </c>
      <c r="B2158">
        <v>15.8</v>
      </c>
      <c r="C2158">
        <v>0.3</v>
      </c>
    </row>
    <row r="2159" spans="1:3" ht="15" customHeight="1" x14ac:dyDescent="0.25">
      <c r="A2159" t="s">
        <v>4468</v>
      </c>
      <c r="B2159">
        <v>24.4</v>
      </c>
      <c r="C2159">
        <v>0.3</v>
      </c>
    </row>
    <row r="2160" spans="1:3" ht="15" customHeight="1" x14ac:dyDescent="0.25">
      <c r="A2160" t="s">
        <v>4469</v>
      </c>
      <c r="B2160">
        <v>15.8</v>
      </c>
      <c r="C2160">
        <v>0.3</v>
      </c>
    </row>
    <row r="2161" spans="1:3" ht="15" customHeight="1" x14ac:dyDescent="0.25">
      <c r="A2161" t="s">
        <v>4470</v>
      </c>
      <c r="B2161">
        <v>15.8</v>
      </c>
      <c r="C2161">
        <v>0.1</v>
      </c>
    </row>
    <row r="2162" spans="1:3" ht="15" customHeight="1" x14ac:dyDescent="0.25">
      <c r="A2162" t="s">
        <v>4471</v>
      </c>
      <c r="B2162">
        <v>15.8</v>
      </c>
      <c r="C2162">
        <v>0.1</v>
      </c>
    </row>
    <row r="2163" spans="1:3" ht="15" customHeight="1" x14ac:dyDescent="0.25">
      <c r="A2163" t="s">
        <v>4472</v>
      </c>
      <c r="B2163">
        <v>15.8</v>
      </c>
      <c r="C2163">
        <v>0.2</v>
      </c>
    </row>
    <row r="2164" spans="1:3" ht="15" customHeight="1" x14ac:dyDescent="0.25">
      <c r="A2164" t="s">
        <v>4473</v>
      </c>
      <c r="B2164">
        <v>15.8</v>
      </c>
      <c r="C2164">
        <v>0.2</v>
      </c>
    </row>
    <row r="2165" spans="1:3" ht="15" customHeight="1" x14ac:dyDescent="0.25">
      <c r="A2165" t="s">
        <v>4474</v>
      </c>
      <c r="B2165">
        <v>15.8</v>
      </c>
      <c r="C2165">
        <v>0.2</v>
      </c>
    </row>
    <row r="2166" spans="1:3" ht="15" customHeight="1" x14ac:dyDescent="0.25">
      <c r="A2166" t="s">
        <v>4475</v>
      </c>
      <c r="B2166">
        <v>15.8</v>
      </c>
      <c r="C2166">
        <v>0.2</v>
      </c>
    </row>
    <row r="2167" spans="1:3" ht="15" customHeight="1" x14ac:dyDescent="0.25">
      <c r="A2167" t="s">
        <v>4476</v>
      </c>
      <c r="B2167">
        <v>15.6</v>
      </c>
      <c r="C2167">
        <v>0.1</v>
      </c>
    </row>
    <row r="2168" spans="1:3" ht="15" customHeight="1" x14ac:dyDescent="0.25">
      <c r="A2168" t="s">
        <v>828</v>
      </c>
      <c r="B2168">
        <v>15.6</v>
      </c>
      <c r="C2168">
        <v>0.1</v>
      </c>
    </row>
    <row r="2169" spans="1:3" ht="15" customHeight="1" x14ac:dyDescent="0.25">
      <c r="A2169" t="s">
        <v>4477</v>
      </c>
      <c r="B2169">
        <v>15.8</v>
      </c>
      <c r="C2169">
        <v>0.2</v>
      </c>
    </row>
    <row r="2170" spans="1:3" ht="15" customHeight="1" x14ac:dyDescent="0.25">
      <c r="A2170" t="s">
        <v>4478</v>
      </c>
      <c r="B2170">
        <v>15.8</v>
      </c>
    </row>
    <row r="2171" spans="1:3" ht="15" customHeight="1" x14ac:dyDescent="0.25">
      <c r="A2171" t="s">
        <v>4479</v>
      </c>
      <c r="B2171">
        <v>15.8</v>
      </c>
    </row>
    <row r="2172" spans="1:3" ht="15" customHeight="1" x14ac:dyDescent="0.25">
      <c r="A2172" t="s">
        <v>4480</v>
      </c>
      <c r="B2172">
        <v>15.8</v>
      </c>
    </row>
    <row r="2173" spans="1:3" ht="15" customHeight="1" x14ac:dyDescent="0.25">
      <c r="A2173" t="s">
        <v>4481</v>
      </c>
      <c r="B2173">
        <v>15.8</v>
      </c>
    </row>
    <row r="2174" spans="1:3" ht="15" customHeight="1" x14ac:dyDescent="0.25">
      <c r="A2174" t="s">
        <v>4482</v>
      </c>
      <c r="B2174">
        <v>15.8</v>
      </c>
    </row>
    <row r="2175" spans="1:3" ht="15" customHeight="1" x14ac:dyDescent="0.25">
      <c r="A2175" t="s">
        <v>4483</v>
      </c>
      <c r="B2175">
        <v>15.8</v>
      </c>
      <c r="C2175">
        <v>0.2</v>
      </c>
    </row>
    <row r="2176" spans="1:3" ht="15" customHeight="1" x14ac:dyDescent="0.25">
      <c r="A2176" t="s">
        <v>345</v>
      </c>
      <c r="B2176">
        <v>15.8</v>
      </c>
      <c r="C2176">
        <v>0.1</v>
      </c>
    </row>
    <row r="2177" spans="1:3" ht="15" customHeight="1" x14ac:dyDescent="0.25">
      <c r="A2177" t="s">
        <v>2035</v>
      </c>
      <c r="B2177">
        <v>15.6</v>
      </c>
      <c r="C2177">
        <v>0.1</v>
      </c>
    </row>
    <row r="2178" spans="1:3" ht="15" customHeight="1" x14ac:dyDescent="0.25">
      <c r="A2178" t="s">
        <v>4484</v>
      </c>
      <c r="B2178">
        <v>24.4</v>
      </c>
    </row>
    <row r="2179" spans="1:3" ht="15" customHeight="1" x14ac:dyDescent="0.25">
      <c r="A2179" t="s">
        <v>4485</v>
      </c>
      <c r="B2179">
        <v>24.1</v>
      </c>
      <c r="C2179">
        <v>0.3</v>
      </c>
    </row>
    <row r="2180" spans="1:3" ht="15" customHeight="1" x14ac:dyDescent="0.25">
      <c r="A2180" t="s">
        <v>133</v>
      </c>
      <c r="B2180">
        <v>15.8</v>
      </c>
      <c r="C2180">
        <v>0.2</v>
      </c>
    </row>
    <row r="2181" spans="1:3" ht="15" customHeight="1" x14ac:dyDescent="0.25">
      <c r="A2181" t="s">
        <v>4486</v>
      </c>
      <c r="B2181">
        <v>15.8</v>
      </c>
      <c r="C2181">
        <v>0.2</v>
      </c>
    </row>
    <row r="2182" spans="1:3" ht="15" customHeight="1" x14ac:dyDescent="0.25">
      <c r="A2182" t="s">
        <v>4487</v>
      </c>
      <c r="B2182">
        <v>15.6</v>
      </c>
      <c r="C2182">
        <v>0.1</v>
      </c>
    </row>
    <row r="2183" spans="1:3" ht="15" customHeight="1" x14ac:dyDescent="0.25">
      <c r="A2183" t="s">
        <v>4488</v>
      </c>
      <c r="B2183">
        <v>15.6</v>
      </c>
      <c r="C2183">
        <v>0.1</v>
      </c>
    </row>
    <row r="2184" spans="1:3" ht="15" customHeight="1" x14ac:dyDescent="0.25">
      <c r="A2184" t="s">
        <v>4489</v>
      </c>
      <c r="B2184">
        <v>15.8</v>
      </c>
      <c r="C2184">
        <v>0.1</v>
      </c>
    </row>
    <row r="2185" spans="1:3" ht="15" customHeight="1" x14ac:dyDescent="0.25">
      <c r="A2185" t="s">
        <v>4490</v>
      </c>
      <c r="B2185">
        <v>15.8</v>
      </c>
      <c r="C2185">
        <v>0.1</v>
      </c>
    </row>
    <row r="2186" spans="1:3" ht="15" customHeight="1" x14ac:dyDescent="0.25">
      <c r="A2186" t="s">
        <v>4491</v>
      </c>
      <c r="B2186">
        <v>15.8</v>
      </c>
    </row>
    <row r="2187" spans="1:3" ht="15" customHeight="1" x14ac:dyDescent="0.25">
      <c r="A2187" t="s">
        <v>4492</v>
      </c>
      <c r="B2187">
        <v>15.8</v>
      </c>
      <c r="C2187">
        <v>0.1</v>
      </c>
    </row>
    <row r="2188" spans="1:3" ht="15" customHeight="1" x14ac:dyDescent="0.25">
      <c r="A2188" t="s">
        <v>4493</v>
      </c>
      <c r="B2188">
        <v>15.6</v>
      </c>
      <c r="C2188">
        <v>0.1</v>
      </c>
    </row>
    <row r="2189" spans="1:3" ht="15" customHeight="1" x14ac:dyDescent="0.25">
      <c r="A2189" t="s">
        <v>4494</v>
      </c>
      <c r="B2189">
        <v>15.8</v>
      </c>
      <c r="C2189">
        <v>0.2</v>
      </c>
    </row>
    <row r="2190" spans="1:3" ht="15" customHeight="1" x14ac:dyDescent="0.25">
      <c r="A2190" t="s">
        <v>4495</v>
      </c>
      <c r="B2190">
        <v>15.8</v>
      </c>
      <c r="C2190">
        <v>0.1</v>
      </c>
    </row>
    <row r="2191" spans="1:3" ht="15" customHeight="1" x14ac:dyDescent="0.25">
      <c r="A2191" t="s">
        <v>4496</v>
      </c>
      <c r="B2191">
        <v>15.8</v>
      </c>
      <c r="C2191">
        <v>0.3</v>
      </c>
    </row>
    <row r="2192" spans="1:3" ht="15" customHeight="1" x14ac:dyDescent="0.25">
      <c r="A2192" t="s">
        <v>4497</v>
      </c>
      <c r="B2192">
        <v>15.6</v>
      </c>
      <c r="C2192">
        <v>0.1</v>
      </c>
    </row>
    <row r="2193" spans="1:3" ht="15" customHeight="1" x14ac:dyDescent="0.25">
      <c r="A2193" t="s">
        <v>4498</v>
      </c>
      <c r="B2193">
        <v>15.6</v>
      </c>
      <c r="C2193">
        <v>0.1</v>
      </c>
    </row>
    <row r="2194" spans="1:3" ht="15" customHeight="1" x14ac:dyDescent="0.25">
      <c r="A2194" t="s">
        <v>4499</v>
      </c>
      <c r="B2194">
        <v>15.8</v>
      </c>
    </row>
    <row r="2195" spans="1:3" ht="15" customHeight="1" x14ac:dyDescent="0.25">
      <c r="A2195" t="s">
        <v>4500</v>
      </c>
      <c r="B2195">
        <v>15.8</v>
      </c>
      <c r="C2195">
        <v>0.2</v>
      </c>
    </row>
    <row r="2196" spans="1:3" ht="15" customHeight="1" x14ac:dyDescent="0.25">
      <c r="A2196" t="s">
        <v>4501</v>
      </c>
      <c r="B2196">
        <v>15.8</v>
      </c>
      <c r="C2196">
        <v>0.2</v>
      </c>
    </row>
    <row r="2197" spans="1:3" ht="15" customHeight="1" x14ac:dyDescent="0.25">
      <c r="A2197" t="s">
        <v>4502</v>
      </c>
      <c r="B2197">
        <v>15.8</v>
      </c>
      <c r="C2197">
        <v>0.2</v>
      </c>
    </row>
    <row r="2198" spans="1:3" ht="15" customHeight="1" x14ac:dyDescent="0.25">
      <c r="A2198" t="s">
        <v>4503</v>
      </c>
      <c r="B2198">
        <v>15.8</v>
      </c>
      <c r="C2198">
        <v>0.2</v>
      </c>
    </row>
    <row r="2199" spans="1:3" ht="15" customHeight="1" x14ac:dyDescent="0.25">
      <c r="A2199" t="s">
        <v>4504</v>
      </c>
      <c r="B2199">
        <v>15.8</v>
      </c>
      <c r="C2199">
        <v>0.2</v>
      </c>
    </row>
    <row r="2200" spans="1:3" ht="15" customHeight="1" x14ac:dyDescent="0.25">
      <c r="A2200" t="s">
        <v>4505</v>
      </c>
      <c r="B2200">
        <v>15.8</v>
      </c>
    </row>
    <row r="2201" spans="1:3" ht="15" customHeight="1" x14ac:dyDescent="0.25">
      <c r="A2201" t="s">
        <v>4506</v>
      </c>
      <c r="B2201">
        <v>15.8</v>
      </c>
      <c r="C2201">
        <v>0.3</v>
      </c>
    </row>
    <row r="2202" spans="1:3" ht="15" customHeight="1" x14ac:dyDescent="0.25">
      <c r="A2202" t="s">
        <v>4507</v>
      </c>
      <c r="B2202">
        <v>15.8</v>
      </c>
      <c r="C2202">
        <v>0.3</v>
      </c>
    </row>
    <row r="2203" spans="1:3" ht="15" customHeight="1" x14ac:dyDescent="0.25">
      <c r="A2203" t="s">
        <v>4508</v>
      </c>
      <c r="B2203">
        <v>15.8</v>
      </c>
      <c r="C2203">
        <v>0.3</v>
      </c>
    </row>
    <row r="2204" spans="1:3" ht="15" customHeight="1" x14ac:dyDescent="0.25">
      <c r="A2204" t="s">
        <v>4509</v>
      </c>
      <c r="B2204">
        <v>15.8</v>
      </c>
      <c r="C2204">
        <v>0.3</v>
      </c>
    </row>
    <row r="2205" spans="1:3" ht="15" customHeight="1" x14ac:dyDescent="0.25">
      <c r="A2205" t="s">
        <v>4510</v>
      </c>
      <c r="B2205">
        <v>15.8</v>
      </c>
      <c r="C2205">
        <v>0.2</v>
      </c>
    </row>
    <row r="2206" spans="1:3" ht="15" customHeight="1" x14ac:dyDescent="0.25">
      <c r="A2206" t="s">
        <v>4511</v>
      </c>
      <c r="B2206">
        <v>15.8</v>
      </c>
    </row>
    <row r="2207" spans="1:3" ht="15" customHeight="1" x14ac:dyDescent="0.25">
      <c r="A2207" t="s">
        <v>4512</v>
      </c>
      <c r="B2207">
        <v>15.8</v>
      </c>
      <c r="C2207">
        <v>0.2</v>
      </c>
    </row>
    <row r="2208" spans="1:3" ht="15" customHeight="1" x14ac:dyDescent="0.25">
      <c r="A2208" t="s">
        <v>4513</v>
      </c>
      <c r="B2208">
        <v>15.8</v>
      </c>
    </row>
    <row r="2209" spans="1:3" ht="15" customHeight="1" x14ac:dyDescent="0.25">
      <c r="A2209" t="s">
        <v>4514</v>
      </c>
      <c r="B2209">
        <v>15.8</v>
      </c>
      <c r="C2209">
        <v>0.2</v>
      </c>
    </row>
    <row r="2210" spans="1:3" ht="15" customHeight="1" x14ac:dyDescent="0.25">
      <c r="A2210" t="s">
        <v>4515</v>
      </c>
      <c r="B2210">
        <v>15.8</v>
      </c>
    </row>
    <row r="2211" spans="1:3" ht="15" customHeight="1" x14ac:dyDescent="0.25">
      <c r="A2211" t="s">
        <v>4516</v>
      </c>
      <c r="B2211">
        <v>15.8</v>
      </c>
    </row>
    <row r="2212" spans="1:3" ht="15" customHeight="1" x14ac:dyDescent="0.25">
      <c r="A2212" t="s">
        <v>4517</v>
      </c>
      <c r="B2212">
        <v>15.8</v>
      </c>
      <c r="C2212">
        <v>0.2</v>
      </c>
    </row>
    <row r="2213" spans="1:3" ht="15" customHeight="1" x14ac:dyDescent="0.25">
      <c r="A2213" t="s">
        <v>4518</v>
      </c>
      <c r="B2213">
        <v>15.8</v>
      </c>
      <c r="C2213">
        <v>0.2</v>
      </c>
    </row>
    <row r="2214" spans="1:3" ht="15" customHeight="1" x14ac:dyDescent="0.25">
      <c r="A2214" t="s">
        <v>4519</v>
      </c>
      <c r="B2214">
        <v>15.8</v>
      </c>
      <c r="C2214">
        <v>0.2</v>
      </c>
    </row>
    <row r="2215" spans="1:3" ht="15" customHeight="1" x14ac:dyDescent="0.25">
      <c r="A2215" t="s">
        <v>4520</v>
      </c>
      <c r="B2215">
        <v>15.8</v>
      </c>
    </row>
    <row r="2216" spans="1:3" ht="15" customHeight="1" x14ac:dyDescent="0.25">
      <c r="A2216" t="s">
        <v>4521</v>
      </c>
      <c r="B2216">
        <v>15.8</v>
      </c>
    </row>
    <row r="2217" spans="1:3" ht="15" customHeight="1" x14ac:dyDescent="0.25">
      <c r="A2217" t="s">
        <v>4522</v>
      </c>
      <c r="B2217">
        <v>15.8</v>
      </c>
    </row>
    <row r="2218" spans="1:3" ht="15" customHeight="1" x14ac:dyDescent="0.25">
      <c r="A2218" t="s">
        <v>4523</v>
      </c>
      <c r="B2218">
        <v>15.8</v>
      </c>
    </row>
    <row r="2219" spans="1:3" ht="15" customHeight="1" x14ac:dyDescent="0.25">
      <c r="A2219" t="s">
        <v>4524</v>
      </c>
      <c r="B2219">
        <v>15.8</v>
      </c>
    </row>
    <row r="2220" spans="1:3" ht="15" customHeight="1" x14ac:dyDescent="0.25">
      <c r="A2220" t="s">
        <v>4525</v>
      </c>
      <c r="B2220">
        <v>15.8</v>
      </c>
    </row>
    <row r="2221" spans="1:3" ht="15" customHeight="1" x14ac:dyDescent="0.25">
      <c r="A2221" t="s">
        <v>4526</v>
      </c>
      <c r="B2221">
        <v>15.8</v>
      </c>
      <c r="C2221">
        <v>0.2</v>
      </c>
    </row>
    <row r="2222" spans="1:3" ht="15" customHeight="1" x14ac:dyDescent="0.25">
      <c r="A2222" t="s">
        <v>4527</v>
      </c>
      <c r="B2222">
        <v>15.8</v>
      </c>
      <c r="C2222">
        <v>0.1</v>
      </c>
    </row>
    <row r="2223" spans="1:3" ht="15" customHeight="1" x14ac:dyDescent="0.25">
      <c r="A2223" t="s">
        <v>4528</v>
      </c>
      <c r="B2223">
        <v>15.8</v>
      </c>
      <c r="C2223">
        <v>0.2</v>
      </c>
    </row>
    <row r="2224" spans="1:3" ht="15" customHeight="1" x14ac:dyDescent="0.25">
      <c r="A2224" t="s">
        <v>4529</v>
      </c>
      <c r="B2224">
        <v>15.8</v>
      </c>
    </row>
    <row r="2225" spans="1:3" ht="15" customHeight="1" x14ac:dyDescent="0.25">
      <c r="A2225" t="s">
        <v>4530</v>
      </c>
      <c r="B2225">
        <v>15.8</v>
      </c>
    </row>
    <row r="2226" spans="1:3" ht="15" customHeight="1" x14ac:dyDescent="0.25">
      <c r="A2226" t="s">
        <v>4531</v>
      </c>
      <c r="B2226">
        <v>15.8</v>
      </c>
      <c r="C2226">
        <v>0.1</v>
      </c>
    </row>
    <row r="2227" spans="1:3" ht="15" customHeight="1" x14ac:dyDescent="0.25">
      <c r="A2227" t="s">
        <v>4532</v>
      </c>
      <c r="B2227">
        <v>15.8</v>
      </c>
      <c r="C2227">
        <v>0.3</v>
      </c>
    </row>
    <row r="2228" spans="1:3" ht="15" customHeight="1" x14ac:dyDescent="0.25">
      <c r="A2228" t="s">
        <v>4533</v>
      </c>
      <c r="B2228">
        <v>15.8</v>
      </c>
      <c r="C2228">
        <v>0.3</v>
      </c>
    </row>
    <row r="2229" spans="1:3" ht="15" customHeight="1" x14ac:dyDescent="0.25">
      <c r="A2229" t="s">
        <v>4534</v>
      </c>
      <c r="B2229">
        <v>15.8</v>
      </c>
      <c r="C2229">
        <v>0.3</v>
      </c>
    </row>
    <row r="2230" spans="1:3" ht="15" customHeight="1" x14ac:dyDescent="0.25">
      <c r="A2230" t="s">
        <v>1759</v>
      </c>
      <c r="B2230">
        <v>15.8</v>
      </c>
      <c r="C2230">
        <v>0.3</v>
      </c>
    </row>
    <row r="2231" spans="1:3" ht="15" customHeight="1" x14ac:dyDescent="0.25">
      <c r="A2231" t="s">
        <v>4535</v>
      </c>
      <c r="B2231">
        <v>15.8</v>
      </c>
      <c r="C2231">
        <v>0.3</v>
      </c>
    </row>
    <row r="2232" spans="1:3" ht="15" customHeight="1" x14ac:dyDescent="0.25">
      <c r="A2232" t="s">
        <v>4536</v>
      </c>
      <c r="B2232">
        <v>15.8</v>
      </c>
      <c r="C2232">
        <v>0.3</v>
      </c>
    </row>
    <row r="2233" spans="1:3" ht="15" customHeight="1" x14ac:dyDescent="0.25">
      <c r="A2233" t="s">
        <v>4537</v>
      </c>
      <c r="B2233">
        <v>15.8</v>
      </c>
      <c r="C2233">
        <v>0.3</v>
      </c>
    </row>
    <row r="2234" spans="1:3" ht="15" customHeight="1" x14ac:dyDescent="0.25">
      <c r="A2234" t="s">
        <v>4538</v>
      </c>
      <c r="B2234">
        <v>15.6</v>
      </c>
      <c r="C2234">
        <v>0.2</v>
      </c>
    </row>
    <row r="2235" spans="1:3" ht="15" customHeight="1" x14ac:dyDescent="0.25">
      <c r="A2235" t="s">
        <v>4539</v>
      </c>
      <c r="B2235">
        <v>15.6</v>
      </c>
      <c r="C2235">
        <v>0.2</v>
      </c>
    </row>
    <row r="2236" spans="1:3" ht="15" customHeight="1" x14ac:dyDescent="0.25">
      <c r="A2236" t="s">
        <v>4540</v>
      </c>
      <c r="B2236">
        <v>15.6</v>
      </c>
      <c r="C2236">
        <v>0.2</v>
      </c>
    </row>
    <row r="2237" spans="1:3" ht="15" customHeight="1" x14ac:dyDescent="0.25">
      <c r="A2237" t="s">
        <v>4541</v>
      </c>
      <c r="B2237">
        <v>15.8</v>
      </c>
      <c r="C2237">
        <v>0.3</v>
      </c>
    </row>
    <row r="2238" spans="1:3" ht="15" customHeight="1" x14ac:dyDescent="0.25">
      <c r="A2238" t="s">
        <v>4542</v>
      </c>
      <c r="B2238">
        <v>15.8</v>
      </c>
      <c r="C2238">
        <v>0.3</v>
      </c>
    </row>
    <row r="2239" spans="1:3" ht="15" customHeight="1" x14ac:dyDescent="0.25">
      <c r="A2239" t="s">
        <v>4543</v>
      </c>
      <c r="B2239">
        <v>15.8</v>
      </c>
      <c r="C2239">
        <v>0.2</v>
      </c>
    </row>
    <row r="2240" spans="1:3" ht="15" customHeight="1" x14ac:dyDescent="0.25">
      <c r="A2240" t="s">
        <v>4544</v>
      </c>
      <c r="B2240">
        <v>15.8</v>
      </c>
      <c r="C2240">
        <v>0.1</v>
      </c>
    </row>
    <row r="2241" spans="1:3" ht="15" customHeight="1" x14ac:dyDescent="0.25">
      <c r="A2241" t="s">
        <v>4545</v>
      </c>
      <c r="B2241">
        <v>15.6</v>
      </c>
      <c r="C2241">
        <v>0.1</v>
      </c>
    </row>
    <row r="2242" spans="1:3" ht="15" customHeight="1" x14ac:dyDescent="0.25">
      <c r="A2242" t="s">
        <v>4546</v>
      </c>
      <c r="B2242">
        <v>15.8</v>
      </c>
      <c r="C2242">
        <v>0.2</v>
      </c>
    </row>
    <row r="2243" spans="1:3" ht="15" customHeight="1" x14ac:dyDescent="0.25">
      <c r="A2243" t="s">
        <v>4547</v>
      </c>
      <c r="B2243">
        <v>15.8</v>
      </c>
      <c r="C2243">
        <v>0.2</v>
      </c>
    </row>
    <row r="2244" spans="1:3" ht="15" customHeight="1" x14ac:dyDescent="0.25">
      <c r="A2244" t="s">
        <v>4548</v>
      </c>
      <c r="B2244">
        <v>15.8</v>
      </c>
      <c r="C2244">
        <v>0.1</v>
      </c>
    </row>
    <row r="2245" spans="1:3" ht="15" customHeight="1" x14ac:dyDescent="0.25">
      <c r="A2245" t="s">
        <v>4549</v>
      </c>
      <c r="B2245">
        <v>15.8</v>
      </c>
      <c r="C2245">
        <v>0.2</v>
      </c>
    </row>
    <row r="2246" spans="1:3" ht="15" customHeight="1" x14ac:dyDescent="0.25">
      <c r="A2246" t="s">
        <v>4550</v>
      </c>
      <c r="B2246">
        <v>15.8</v>
      </c>
    </row>
    <row r="2247" spans="1:3" ht="15" customHeight="1" x14ac:dyDescent="0.25">
      <c r="A2247" t="s">
        <v>4551</v>
      </c>
      <c r="B2247">
        <v>15.8</v>
      </c>
    </row>
    <row r="2248" spans="1:3" ht="15" customHeight="1" x14ac:dyDescent="0.25">
      <c r="A2248" t="s">
        <v>4552</v>
      </c>
      <c r="B2248">
        <v>15.8</v>
      </c>
      <c r="C2248">
        <v>0.2</v>
      </c>
    </row>
    <row r="2249" spans="1:3" ht="15" customHeight="1" x14ac:dyDescent="0.25">
      <c r="A2249" t="s">
        <v>4553</v>
      </c>
      <c r="B2249">
        <v>15.8</v>
      </c>
      <c r="C2249">
        <v>0.2</v>
      </c>
    </row>
    <row r="2250" spans="1:3" ht="15" customHeight="1" x14ac:dyDescent="0.25">
      <c r="A2250" t="s">
        <v>4554</v>
      </c>
      <c r="B2250">
        <v>15.8</v>
      </c>
      <c r="C2250">
        <v>0.2</v>
      </c>
    </row>
    <row r="2251" spans="1:3" ht="15" customHeight="1" x14ac:dyDescent="0.25">
      <c r="A2251" t="s">
        <v>4555</v>
      </c>
      <c r="B2251">
        <v>15.8</v>
      </c>
      <c r="C2251">
        <v>0.2</v>
      </c>
    </row>
    <row r="2252" spans="1:3" ht="15" customHeight="1" x14ac:dyDescent="0.25">
      <c r="A2252" t="s">
        <v>4556</v>
      </c>
      <c r="B2252">
        <v>15.8</v>
      </c>
      <c r="C2252">
        <v>0.2</v>
      </c>
    </row>
    <row r="2253" spans="1:3" ht="15" customHeight="1" x14ac:dyDescent="0.25">
      <c r="A2253" t="s">
        <v>4557</v>
      </c>
      <c r="B2253">
        <v>15.8</v>
      </c>
    </row>
    <row r="2254" spans="1:3" ht="15" customHeight="1" x14ac:dyDescent="0.25">
      <c r="A2254" t="s">
        <v>4558</v>
      </c>
      <c r="B2254">
        <v>15.8</v>
      </c>
      <c r="C2254">
        <v>0.2</v>
      </c>
    </row>
    <row r="2255" spans="1:3" ht="15" customHeight="1" x14ac:dyDescent="0.25">
      <c r="A2255" t="s">
        <v>4559</v>
      </c>
      <c r="B2255">
        <v>15.8</v>
      </c>
      <c r="C2255">
        <v>0.2</v>
      </c>
    </row>
    <row r="2256" spans="1:3" ht="15" customHeight="1" x14ac:dyDescent="0.25">
      <c r="A2256" t="s">
        <v>4560</v>
      </c>
      <c r="B2256">
        <v>15.8</v>
      </c>
      <c r="C2256">
        <v>0.2</v>
      </c>
    </row>
    <row r="2257" spans="1:3" ht="15" customHeight="1" x14ac:dyDescent="0.25">
      <c r="A2257" t="s">
        <v>4561</v>
      </c>
      <c r="B2257">
        <v>15.8</v>
      </c>
      <c r="C2257">
        <v>0.2</v>
      </c>
    </row>
    <row r="2258" spans="1:3" ht="15" customHeight="1" x14ac:dyDescent="0.25">
      <c r="A2258" t="s">
        <v>4562</v>
      </c>
      <c r="B2258">
        <v>15.8</v>
      </c>
      <c r="C2258">
        <v>0.1</v>
      </c>
    </row>
    <row r="2259" spans="1:3" ht="15" customHeight="1" x14ac:dyDescent="0.25">
      <c r="A2259" t="s">
        <v>4563</v>
      </c>
      <c r="B2259">
        <v>15.8</v>
      </c>
      <c r="C2259">
        <v>0.3</v>
      </c>
    </row>
    <row r="2260" spans="1:3" ht="15" customHeight="1" x14ac:dyDescent="0.25">
      <c r="A2260" t="s">
        <v>4564</v>
      </c>
      <c r="B2260">
        <v>15.8</v>
      </c>
      <c r="C2260">
        <v>0.3</v>
      </c>
    </row>
    <row r="2261" spans="1:3" ht="15" customHeight="1" x14ac:dyDescent="0.25">
      <c r="A2261" t="s">
        <v>4565</v>
      </c>
      <c r="B2261">
        <v>15.8</v>
      </c>
      <c r="C2261">
        <v>0.3</v>
      </c>
    </row>
    <row r="2262" spans="1:3" ht="15" customHeight="1" x14ac:dyDescent="0.25">
      <c r="A2262" t="s">
        <v>4566</v>
      </c>
      <c r="B2262">
        <v>15.8</v>
      </c>
      <c r="C2262">
        <v>0.3</v>
      </c>
    </row>
    <row r="2263" spans="1:3" ht="15" customHeight="1" x14ac:dyDescent="0.25">
      <c r="A2263" t="s">
        <v>4567</v>
      </c>
      <c r="B2263">
        <v>15.8</v>
      </c>
      <c r="C2263">
        <v>0.3</v>
      </c>
    </row>
    <row r="2264" spans="1:3" ht="15" customHeight="1" x14ac:dyDescent="0.25">
      <c r="A2264" t="s">
        <v>4568</v>
      </c>
      <c r="B2264">
        <v>15.6</v>
      </c>
      <c r="C2264">
        <v>0.1</v>
      </c>
    </row>
    <row r="2265" spans="1:3" ht="15" customHeight="1" x14ac:dyDescent="0.25">
      <c r="A2265" t="s">
        <v>4569</v>
      </c>
      <c r="B2265">
        <v>15.8</v>
      </c>
      <c r="C2265">
        <v>0.3</v>
      </c>
    </row>
    <row r="2266" spans="1:3" ht="15" customHeight="1" x14ac:dyDescent="0.25">
      <c r="A2266" t="s">
        <v>4570</v>
      </c>
      <c r="B2266">
        <v>15.8</v>
      </c>
      <c r="C2266">
        <v>0.3</v>
      </c>
    </row>
    <row r="2267" spans="1:3" ht="15" customHeight="1" x14ac:dyDescent="0.25">
      <c r="A2267" t="s">
        <v>4571</v>
      </c>
      <c r="B2267">
        <v>15.8</v>
      </c>
      <c r="C2267">
        <v>0.2</v>
      </c>
    </row>
    <row r="2268" spans="1:3" ht="15" customHeight="1" x14ac:dyDescent="0.25">
      <c r="A2268" t="s">
        <v>4572</v>
      </c>
      <c r="B2268">
        <v>15.8</v>
      </c>
    </row>
    <row r="2269" spans="1:3" ht="15" customHeight="1" x14ac:dyDescent="0.25">
      <c r="A2269" t="s">
        <v>4573</v>
      </c>
      <c r="B2269">
        <v>15.8</v>
      </c>
    </row>
    <row r="2270" spans="1:3" ht="15" customHeight="1" x14ac:dyDescent="0.25">
      <c r="A2270" t="s">
        <v>4574</v>
      </c>
      <c r="B2270">
        <v>15.8</v>
      </c>
    </row>
    <row r="2271" spans="1:3" ht="15" customHeight="1" x14ac:dyDescent="0.25">
      <c r="A2271" t="s">
        <v>4575</v>
      </c>
      <c r="B2271">
        <v>15.8</v>
      </c>
    </row>
    <row r="2272" spans="1:3" ht="15" customHeight="1" x14ac:dyDescent="0.25">
      <c r="A2272" t="s">
        <v>4576</v>
      </c>
      <c r="B2272">
        <v>15.8</v>
      </c>
      <c r="C2272">
        <v>0.2</v>
      </c>
    </row>
    <row r="2273" spans="1:3" ht="15" customHeight="1" x14ac:dyDescent="0.25">
      <c r="A2273" t="s">
        <v>4577</v>
      </c>
      <c r="B2273">
        <v>15.8</v>
      </c>
      <c r="C2273">
        <v>0.2</v>
      </c>
    </row>
    <row r="2274" spans="1:3" ht="15" customHeight="1" x14ac:dyDescent="0.25">
      <c r="A2274" t="s">
        <v>4578</v>
      </c>
      <c r="B2274">
        <v>15.8</v>
      </c>
      <c r="C2274">
        <v>0.2</v>
      </c>
    </row>
    <row r="2275" spans="1:3" ht="15" customHeight="1" x14ac:dyDescent="0.25">
      <c r="A2275" t="s">
        <v>4579</v>
      </c>
      <c r="B2275">
        <v>15.8</v>
      </c>
      <c r="C2275">
        <v>0.2</v>
      </c>
    </row>
    <row r="2276" spans="1:3" ht="15" customHeight="1" x14ac:dyDescent="0.25">
      <c r="A2276" t="s">
        <v>1694</v>
      </c>
      <c r="B2276">
        <v>15.8</v>
      </c>
      <c r="C2276">
        <v>0.1</v>
      </c>
    </row>
    <row r="2277" spans="1:3" ht="15" customHeight="1" x14ac:dyDescent="0.25">
      <c r="A2277" t="s">
        <v>4580</v>
      </c>
      <c r="B2277">
        <v>19.899999999999999</v>
      </c>
    </row>
    <row r="2278" spans="1:3" ht="15" customHeight="1" x14ac:dyDescent="0.25">
      <c r="A2278" t="s">
        <v>4581</v>
      </c>
      <c r="B2278">
        <v>20.6</v>
      </c>
    </row>
    <row r="2279" spans="1:3" ht="15" customHeight="1" x14ac:dyDescent="0.25">
      <c r="A2279" t="s">
        <v>4582</v>
      </c>
      <c r="B2279">
        <v>20.6</v>
      </c>
      <c r="C2279">
        <v>0.1</v>
      </c>
    </row>
    <row r="2280" spans="1:3" ht="15" customHeight="1" x14ac:dyDescent="0.25">
      <c r="A2280" t="s">
        <v>4583</v>
      </c>
      <c r="B2280">
        <v>20.3</v>
      </c>
      <c r="C2280">
        <v>0.1</v>
      </c>
    </row>
    <row r="2281" spans="1:3" ht="15" customHeight="1" x14ac:dyDescent="0.25">
      <c r="A2281" t="s">
        <v>4584</v>
      </c>
      <c r="B2281">
        <v>24.1</v>
      </c>
    </row>
    <row r="2282" spans="1:3" ht="15" customHeight="1" x14ac:dyDescent="0.25">
      <c r="A2282" t="s">
        <v>4585</v>
      </c>
      <c r="B2282">
        <v>24.1</v>
      </c>
    </row>
    <row r="2283" spans="1:3" ht="15" customHeight="1" x14ac:dyDescent="0.25">
      <c r="A2283" t="s">
        <v>4586</v>
      </c>
      <c r="B2283">
        <v>24.1</v>
      </c>
      <c r="C2283">
        <v>0.2</v>
      </c>
    </row>
    <row r="2284" spans="1:3" ht="15" customHeight="1" x14ac:dyDescent="0.25">
      <c r="A2284" t="s">
        <v>4587</v>
      </c>
      <c r="B2284">
        <v>23.8</v>
      </c>
      <c r="C2284">
        <v>0.1</v>
      </c>
    </row>
    <row r="2285" spans="1:3" ht="15" customHeight="1" x14ac:dyDescent="0.25">
      <c r="A2285" t="s">
        <v>4588</v>
      </c>
      <c r="B2285">
        <v>24.1</v>
      </c>
      <c r="C2285">
        <v>0.2</v>
      </c>
    </row>
    <row r="2286" spans="1:3" ht="15" customHeight="1" x14ac:dyDescent="0.25">
      <c r="A2286" t="s">
        <v>4589</v>
      </c>
      <c r="B2286">
        <v>15.8</v>
      </c>
      <c r="C2286">
        <v>0.3</v>
      </c>
    </row>
    <row r="2287" spans="1:3" ht="15" customHeight="1" x14ac:dyDescent="0.25">
      <c r="A2287" t="s">
        <v>4590</v>
      </c>
      <c r="B2287">
        <v>15.8</v>
      </c>
      <c r="C2287">
        <v>0.3</v>
      </c>
    </row>
    <row r="2288" spans="1:3" ht="15" customHeight="1" x14ac:dyDescent="0.25">
      <c r="A2288" t="s">
        <v>4591</v>
      </c>
      <c r="B2288">
        <v>15.8</v>
      </c>
      <c r="C2288">
        <v>0.3</v>
      </c>
    </row>
    <row r="2289" spans="1:3" ht="15" customHeight="1" x14ac:dyDescent="0.25">
      <c r="A2289" t="s">
        <v>4592</v>
      </c>
      <c r="B2289">
        <v>15.8</v>
      </c>
      <c r="C2289">
        <v>0.3</v>
      </c>
    </row>
    <row r="2290" spans="1:3" ht="15" customHeight="1" x14ac:dyDescent="0.25">
      <c r="A2290" t="s">
        <v>4593</v>
      </c>
      <c r="B2290">
        <v>15.8</v>
      </c>
      <c r="C2290">
        <v>0.3</v>
      </c>
    </row>
    <row r="2291" spans="1:3" ht="15" customHeight="1" x14ac:dyDescent="0.25">
      <c r="A2291" t="s">
        <v>4594</v>
      </c>
      <c r="B2291">
        <v>15.8</v>
      </c>
      <c r="C2291">
        <v>0.3</v>
      </c>
    </row>
    <row r="2292" spans="1:3" ht="15" customHeight="1" x14ac:dyDescent="0.25">
      <c r="A2292" t="s">
        <v>4595</v>
      </c>
      <c r="B2292">
        <v>15.8</v>
      </c>
      <c r="C2292">
        <v>0.3</v>
      </c>
    </row>
    <row r="2293" spans="1:3" ht="15" customHeight="1" x14ac:dyDescent="0.25">
      <c r="A2293" t="s">
        <v>4596</v>
      </c>
      <c r="B2293">
        <v>15.8</v>
      </c>
      <c r="C2293">
        <v>0.3</v>
      </c>
    </row>
    <row r="2294" spans="1:3" ht="15" customHeight="1" x14ac:dyDescent="0.25">
      <c r="A2294" t="s">
        <v>4597</v>
      </c>
      <c r="B2294">
        <v>15.8</v>
      </c>
      <c r="C2294">
        <v>0.3</v>
      </c>
    </row>
    <row r="2295" spans="1:3" ht="15" customHeight="1" x14ac:dyDescent="0.25">
      <c r="A2295" t="s">
        <v>4598</v>
      </c>
      <c r="B2295">
        <v>15.8</v>
      </c>
      <c r="C2295">
        <v>0.3</v>
      </c>
    </row>
    <row r="2296" spans="1:3" ht="15" customHeight="1" x14ac:dyDescent="0.25">
      <c r="A2296" t="s">
        <v>4599</v>
      </c>
      <c r="B2296">
        <v>15.8</v>
      </c>
      <c r="C2296">
        <v>0.3</v>
      </c>
    </row>
    <row r="2297" spans="1:3" ht="15" customHeight="1" x14ac:dyDescent="0.25">
      <c r="A2297" t="s">
        <v>4600</v>
      </c>
      <c r="B2297">
        <v>15.8</v>
      </c>
      <c r="C2297">
        <v>0.3</v>
      </c>
    </row>
    <row r="2298" spans="1:3" ht="15" customHeight="1" x14ac:dyDescent="0.25">
      <c r="A2298" t="s">
        <v>4601</v>
      </c>
      <c r="B2298">
        <v>15.8</v>
      </c>
      <c r="C2298">
        <v>0.3</v>
      </c>
    </row>
    <row r="2299" spans="1:3" ht="15" customHeight="1" x14ac:dyDescent="0.25">
      <c r="A2299" t="s">
        <v>4602</v>
      </c>
      <c r="B2299">
        <v>15.8</v>
      </c>
      <c r="C2299">
        <v>0.3</v>
      </c>
    </row>
    <row r="2300" spans="1:3" ht="15" customHeight="1" x14ac:dyDescent="0.25">
      <c r="A2300" t="s">
        <v>4603</v>
      </c>
      <c r="B2300">
        <v>15.8</v>
      </c>
      <c r="C2300">
        <v>0.3</v>
      </c>
    </row>
    <row r="2301" spans="1:3" ht="15" customHeight="1" x14ac:dyDescent="0.25">
      <c r="A2301" t="s">
        <v>4604</v>
      </c>
      <c r="B2301">
        <v>15.8</v>
      </c>
      <c r="C2301">
        <v>0.3</v>
      </c>
    </row>
    <row r="2302" spans="1:3" ht="15" customHeight="1" x14ac:dyDescent="0.25">
      <c r="A2302" t="s">
        <v>4605</v>
      </c>
      <c r="B2302">
        <v>15.8</v>
      </c>
      <c r="C2302">
        <v>0.3</v>
      </c>
    </row>
    <row r="2303" spans="1:3" ht="15" customHeight="1" x14ac:dyDescent="0.25">
      <c r="A2303" t="s">
        <v>4606</v>
      </c>
      <c r="B2303">
        <v>15.8</v>
      </c>
      <c r="C2303">
        <v>0.3</v>
      </c>
    </row>
    <row r="2304" spans="1:3" ht="15" customHeight="1" x14ac:dyDescent="0.25">
      <c r="A2304" t="s">
        <v>4607</v>
      </c>
      <c r="B2304">
        <v>15.8</v>
      </c>
      <c r="C2304">
        <v>0.3</v>
      </c>
    </row>
    <row r="2305" spans="1:3" ht="15" customHeight="1" x14ac:dyDescent="0.25">
      <c r="A2305" t="s">
        <v>4608</v>
      </c>
      <c r="B2305">
        <v>15.6</v>
      </c>
      <c r="C2305">
        <v>0.2</v>
      </c>
    </row>
    <row r="2306" spans="1:3" ht="15" customHeight="1" x14ac:dyDescent="0.25">
      <c r="A2306" t="s">
        <v>4609</v>
      </c>
      <c r="B2306">
        <v>15.6</v>
      </c>
      <c r="C2306">
        <v>0.2</v>
      </c>
    </row>
    <row r="2307" spans="1:3" ht="15" customHeight="1" x14ac:dyDescent="0.25">
      <c r="A2307" t="s">
        <v>4610</v>
      </c>
      <c r="B2307">
        <v>15.6</v>
      </c>
      <c r="C2307">
        <v>0.2</v>
      </c>
    </row>
    <row r="2308" spans="1:3" ht="15" customHeight="1" x14ac:dyDescent="0.25">
      <c r="A2308" t="s">
        <v>4611</v>
      </c>
      <c r="B2308">
        <v>15.6</v>
      </c>
      <c r="C2308">
        <v>0.2</v>
      </c>
    </row>
    <row r="2309" spans="1:3" ht="15" customHeight="1" x14ac:dyDescent="0.25">
      <c r="A2309" t="s">
        <v>4612</v>
      </c>
      <c r="B2309">
        <v>15.8</v>
      </c>
      <c r="C2309">
        <v>0.3</v>
      </c>
    </row>
    <row r="2310" spans="1:3" ht="15" customHeight="1" x14ac:dyDescent="0.25">
      <c r="A2310" t="s">
        <v>4613</v>
      </c>
      <c r="B2310">
        <v>29.4</v>
      </c>
    </row>
    <row r="2311" spans="1:3" ht="15" customHeight="1" x14ac:dyDescent="0.25">
      <c r="A2311" t="s">
        <v>4614</v>
      </c>
      <c r="B2311">
        <v>29.4</v>
      </c>
    </row>
    <row r="2312" spans="1:3" ht="15" customHeight="1" x14ac:dyDescent="0.25">
      <c r="A2312" t="s">
        <v>4615</v>
      </c>
      <c r="B2312">
        <v>29.4</v>
      </c>
    </row>
    <row r="2313" spans="1:3" ht="15" customHeight="1" x14ac:dyDescent="0.25">
      <c r="A2313" t="s">
        <v>4616</v>
      </c>
      <c r="B2313">
        <v>26.9</v>
      </c>
      <c r="C2313">
        <v>0.2</v>
      </c>
    </row>
    <row r="2314" spans="1:3" ht="15" customHeight="1" x14ac:dyDescent="0.25">
      <c r="A2314" t="s">
        <v>4617</v>
      </c>
      <c r="B2314">
        <v>26.9</v>
      </c>
      <c r="C2314">
        <v>0.2</v>
      </c>
    </row>
    <row r="2315" spans="1:3" ht="15" customHeight="1" x14ac:dyDescent="0.25">
      <c r="A2315" t="s">
        <v>4618</v>
      </c>
      <c r="B2315">
        <v>26.9</v>
      </c>
      <c r="C2315">
        <v>0.2</v>
      </c>
    </row>
    <row r="2316" spans="1:3" ht="15" customHeight="1" x14ac:dyDescent="0.25">
      <c r="A2316" t="s">
        <v>4619</v>
      </c>
      <c r="B2316">
        <v>29.4</v>
      </c>
      <c r="C2316">
        <v>0.2</v>
      </c>
    </row>
    <row r="2317" spans="1:3" ht="15" customHeight="1" x14ac:dyDescent="0.25">
      <c r="A2317" t="s">
        <v>4620</v>
      </c>
      <c r="B2317">
        <v>29.4</v>
      </c>
      <c r="C2317">
        <v>0.2</v>
      </c>
    </row>
    <row r="2318" spans="1:3" ht="15" customHeight="1" x14ac:dyDescent="0.25">
      <c r="A2318" t="s">
        <v>4621</v>
      </c>
      <c r="B2318">
        <v>29.4</v>
      </c>
      <c r="C2318">
        <v>0.2</v>
      </c>
    </row>
    <row r="2319" spans="1:3" ht="15" customHeight="1" x14ac:dyDescent="0.25">
      <c r="A2319" t="s">
        <v>4622</v>
      </c>
      <c r="B2319">
        <v>29.4</v>
      </c>
      <c r="C2319">
        <v>0.2</v>
      </c>
    </row>
    <row r="2320" spans="1:3" ht="15" customHeight="1" x14ac:dyDescent="0.25">
      <c r="A2320" t="s">
        <v>4623</v>
      </c>
      <c r="B2320">
        <v>30</v>
      </c>
      <c r="C2320">
        <v>0.1</v>
      </c>
    </row>
    <row r="2321" spans="1:3" ht="15" customHeight="1" x14ac:dyDescent="0.25">
      <c r="A2321" t="s">
        <v>4624</v>
      </c>
      <c r="B2321">
        <v>30</v>
      </c>
      <c r="C2321">
        <v>0.1</v>
      </c>
    </row>
    <row r="2322" spans="1:3" ht="15" customHeight="1" x14ac:dyDescent="0.25">
      <c r="A2322" t="s">
        <v>4625</v>
      </c>
      <c r="B2322">
        <v>29.4</v>
      </c>
    </row>
    <row r="2323" spans="1:3" ht="15" customHeight="1" x14ac:dyDescent="0.25">
      <c r="A2323" t="s">
        <v>4626</v>
      </c>
      <c r="B2323">
        <v>29.4</v>
      </c>
    </row>
    <row r="2324" spans="1:3" ht="15" customHeight="1" x14ac:dyDescent="0.25">
      <c r="A2324" t="s">
        <v>4627</v>
      </c>
      <c r="B2324">
        <v>28.4</v>
      </c>
      <c r="C2324">
        <v>0.3</v>
      </c>
    </row>
    <row r="2325" spans="1:3" ht="15" customHeight="1" x14ac:dyDescent="0.25">
      <c r="A2325" t="s">
        <v>4628</v>
      </c>
      <c r="B2325">
        <v>28.4</v>
      </c>
      <c r="C2325">
        <v>0.3</v>
      </c>
    </row>
    <row r="2326" spans="1:3" ht="15" customHeight="1" x14ac:dyDescent="0.25">
      <c r="A2326" t="s">
        <v>4629</v>
      </c>
      <c r="B2326">
        <v>28.4</v>
      </c>
      <c r="C2326">
        <v>0.3</v>
      </c>
    </row>
    <row r="2327" spans="1:3" ht="15" customHeight="1" x14ac:dyDescent="0.25">
      <c r="A2327" t="s">
        <v>4630</v>
      </c>
      <c r="B2327">
        <v>28.4</v>
      </c>
      <c r="C2327">
        <v>0.2</v>
      </c>
    </row>
    <row r="2328" spans="1:3" ht="15" customHeight="1" x14ac:dyDescent="0.25">
      <c r="A2328" t="s">
        <v>4631</v>
      </c>
      <c r="B2328">
        <v>28.4</v>
      </c>
      <c r="C2328">
        <v>0.2</v>
      </c>
    </row>
    <row r="2329" spans="1:3" ht="15" customHeight="1" x14ac:dyDescent="0.25">
      <c r="A2329" t="s">
        <v>4632</v>
      </c>
      <c r="B2329">
        <v>28.4</v>
      </c>
      <c r="C2329">
        <v>0.2</v>
      </c>
    </row>
    <row r="2330" spans="1:3" ht="15" customHeight="1" x14ac:dyDescent="0.25">
      <c r="A2330" t="s">
        <v>4633</v>
      </c>
      <c r="B2330">
        <v>28.4</v>
      </c>
      <c r="C2330">
        <v>0.2</v>
      </c>
    </row>
    <row r="2331" spans="1:3" ht="15" customHeight="1" x14ac:dyDescent="0.25">
      <c r="A2331" t="s">
        <v>4634</v>
      </c>
      <c r="B2331">
        <v>28.4</v>
      </c>
      <c r="C2331">
        <v>0.2</v>
      </c>
    </row>
    <row r="2332" spans="1:3" ht="15" customHeight="1" x14ac:dyDescent="0.25">
      <c r="A2332" t="s">
        <v>4635</v>
      </c>
      <c r="B2332">
        <v>28.4</v>
      </c>
      <c r="C2332">
        <v>0.2</v>
      </c>
    </row>
    <row r="2333" spans="1:3" ht="15" customHeight="1" x14ac:dyDescent="0.25">
      <c r="A2333" t="s">
        <v>4636</v>
      </c>
      <c r="B2333">
        <v>28.4</v>
      </c>
      <c r="C2333">
        <v>0.1</v>
      </c>
    </row>
    <row r="2334" spans="1:3" ht="15" customHeight="1" x14ac:dyDescent="0.25">
      <c r="A2334" t="s">
        <v>4637</v>
      </c>
      <c r="B2334">
        <v>28.4</v>
      </c>
      <c r="C2334">
        <v>0.1</v>
      </c>
    </row>
    <row r="2335" spans="1:3" ht="15" customHeight="1" x14ac:dyDescent="0.25">
      <c r="A2335" t="s">
        <v>4638</v>
      </c>
      <c r="B2335">
        <v>28.4</v>
      </c>
      <c r="C2335">
        <v>0.1</v>
      </c>
    </row>
    <row r="2336" spans="1:3" ht="15" customHeight="1" x14ac:dyDescent="0.25">
      <c r="A2336" t="s">
        <v>4639</v>
      </c>
      <c r="B2336">
        <v>28.1</v>
      </c>
      <c r="C2336">
        <v>0.1</v>
      </c>
    </row>
    <row r="2337" spans="1:3" ht="15" customHeight="1" x14ac:dyDescent="0.25">
      <c r="A2337" t="s">
        <v>4640</v>
      </c>
      <c r="B2337">
        <v>28.1</v>
      </c>
      <c r="C2337">
        <v>0.1</v>
      </c>
    </row>
    <row r="2338" spans="1:3" ht="15" customHeight="1" x14ac:dyDescent="0.25">
      <c r="A2338" t="s">
        <v>4641</v>
      </c>
      <c r="B2338">
        <v>28.1</v>
      </c>
      <c r="C2338">
        <v>0.1</v>
      </c>
    </row>
    <row r="2339" spans="1:3" ht="15" customHeight="1" x14ac:dyDescent="0.25">
      <c r="A2339" t="s">
        <v>4642</v>
      </c>
      <c r="B2339">
        <v>29.4</v>
      </c>
      <c r="C2339">
        <v>0.3</v>
      </c>
    </row>
    <row r="2340" spans="1:3" ht="15" customHeight="1" x14ac:dyDescent="0.25">
      <c r="A2340" t="s">
        <v>4643</v>
      </c>
      <c r="B2340">
        <v>29.4</v>
      </c>
      <c r="C2340">
        <v>0.3</v>
      </c>
    </row>
    <row r="2341" spans="1:3" ht="15" customHeight="1" x14ac:dyDescent="0.25">
      <c r="A2341" t="s">
        <v>4644</v>
      </c>
      <c r="B2341">
        <v>29.4</v>
      </c>
      <c r="C2341">
        <v>0.3</v>
      </c>
    </row>
    <row r="2342" spans="1:3" ht="15" customHeight="1" x14ac:dyDescent="0.25">
      <c r="A2342" t="s">
        <v>4645</v>
      </c>
      <c r="B2342">
        <v>29.4</v>
      </c>
      <c r="C2342">
        <v>0.3</v>
      </c>
    </row>
    <row r="2343" spans="1:3" ht="15" customHeight="1" x14ac:dyDescent="0.25">
      <c r="A2343" t="s">
        <v>4646</v>
      </c>
      <c r="B2343">
        <v>29.4</v>
      </c>
      <c r="C2343">
        <v>0.3</v>
      </c>
    </row>
    <row r="2344" spans="1:3" ht="15" customHeight="1" x14ac:dyDescent="0.25">
      <c r="A2344" t="s">
        <v>4647</v>
      </c>
      <c r="B2344">
        <v>29.4</v>
      </c>
      <c r="C2344">
        <v>0.3</v>
      </c>
    </row>
    <row r="2345" spans="1:3" ht="15" customHeight="1" x14ac:dyDescent="0.25">
      <c r="A2345" t="s">
        <v>4648</v>
      </c>
      <c r="B2345">
        <v>29.4</v>
      </c>
      <c r="C2345">
        <v>0.1</v>
      </c>
    </row>
    <row r="2346" spans="1:3" ht="15" customHeight="1" x14ac:dyDescent="0.25">
      <c r="A2346" t="s">
        <v>4649</v>
      </c>
      <c r="B2346">
        <v>29.4</v>
      </c>
    </row>
    <row r="2347" spans="1:3" ht="15" customHeight="1" x14ac:dyDescent="0.25">
      <c r="A2347" t="s">
        <v>4650</v>
      </c>
      <c r="B2347">
        <v>29.4</v>
      </c>
      <c r="C2347">
        <v>0.2</v>
      </c>
    </row>
    <row r="2348" spans="1:3" ht="15" customHeight="1" x14ac:dyDescent="0.25">
      <c r="A2348" t="s">
        <v>4651</v>
      </c>
      <c r="B2348">
        <v>29.4</v>
      </c>
      <c r="C2348">
        <v>0.1</v>
      </c>
    </row>
    <row r="2349" spans="1:3" ht="15" customHeight="1" x14ac:dyDescent="0.25">
      <c r="A2349" t="s">
        <v>4652</v>
      </c>
      <c r="B2349">
        <v>29.4</v>
      </c>
      <c r="C2349">
        <v>0.2</v>
      </c>
    </row>
    <row r="2350" spans="1:3" ht="15" customHeight="1" x14ac:dyDescent="0.25">
      <c r="A2350" t="s">
        <v>4653</v>
      </c>
      <c r="B2350">
        <v>29.4</v>
      </c>
      <c r="C2350">
        <v>0.1</v>
      </c>
    </row>
    <row r="2351" spans="1:3" ht="15" customHeight="1" x14ac:dyDescent="0.25">
      <c r="A2351" t="s">
        <v>4654</v>
      </c>
      <c r="B2351">
        <v>29</v>
      </c>
      <c r="C2351">
        <v>0.1</v>
      </c>
    </row>
    <row r="2352" spans="1:3" ht="15" customHeight="1" x14ac:dyDescent="0.25">
      <c r="A2352" t="s">
        <v>4655</v>
      </c>
      <c r="B2352">
        <v>29</v>
      </c>
      <c r="C2352">
        <v>0.1</v>
      </c>
    </row>
    <row r="2353" spans="1:3" ht="15" customHeight="1" x14ac:dyDescent="0.25">
      <c r="A2353" t="s">
        <v>4656</v>
      </c>
      <c r="B2353">
        <v>29</v>
      </c>
      <c r="C2353">
        <v>0.1</v>
      </c>
    </row>
    <row r="2354" spans="1:3" ht="15" customHeight="1" x14ac:dyDescent="0.25">
      <c r="A2354" t="s">
        <v>4657</v>
      </c>
      <c r="B2354">
        <v>29.4</v>
      </c>
      <c r="C2354">
        <v>0.2</v>
      </c>
    </row>
    <row r="2355" spans="1:3" ht="15" customHeight="1" x14ac:dyDescent="0.25">
      <c r="A2355" t="s">
        <v>4658</v>
      </c>
      <c r="B2355">
        <v>29.4</v>
      </c>
      <c r="C2355">
        <v>0.2</v>
      </c>
    </row>
    <row r="2356" spans="1:3" ht="15" customHeight="1" x14ac:dyDescent="0.25">
      <c r="A2356" t="s">
        <v>4659</v>
      </c>
      <c r="B2356">
        <v>27.2</v>
      </c>
      <c r="C2356">
        <v>0.3</v>
      </c>
    </row>
    <row r="2357" spans="1:3" ht="15" customHeight="1" x14ac:dyDescent="0.25">
      <c r="A2357" t="s">
        <v>4660</v>
      </c>
      <c r="B2357">
        <v>27.2</v>
      </c>
      <c r="C2357">
        <v>0.3</v>
      </c>
    </row>
    <row r="2358" spans="1:3" ht="15" customHeight="1" x14ac:dyDescent="0.25">
      <c r="A2358" t="s">
        <v>4661</v>
      </c>
      <c r="B2358">
        <v>27.2</v>
      </c>
      <c r="C2358">
        <v>0.3</v>
      </c>
    </row>
    <row r="2359" spans="1:3" ht="15" customHeight="1" x14ac:dyDescent="0.25">
      <c r="A2359" t="s">
        <v>4662</v>
      </c>
      <c r="B2359">
        <v>27.2</v>
      </c>
      <c r="C2359">
        <v>0.3</v>
      </c>
    </row>
    <row r="2360" spans="1:3" ht="15" customHeight="1" x14ac:dyDescent="0.25">
      <c r="A2360" t="s">
        <v>4663</v>
      </c>
      <c r="B2360">
        <v>27.2</v>
      </c>
      <c r="C2360">
        <v>0.3</v>
      </c>
    </row>
    <row r="2361" spans="1:3" ht="15" customHeight="1" x14ac:dyDescent="0.25">
      <c r="A2361" t="s">
        <v>4664</v>
      </c>
      <c r="B2361">
        <v>27.2</v>
      </c>
      <c r="C2361">
        <v>0.3</v>
      </c>
    </row>
    <row r="2362" spans="1:3" ht="15" customHeight="1" x14ac:dyDescent="0.25">
      <c r="A2362" t="s">
        <v>4665</v>
      </c>
      <c r="B2362">
        <v>27.2</v>
      </c>
      <c r="C2362">
        <v>0.3</v>
      </c>
    </row>
    <row r="2363" spans="1:3" ht="15" customHeight="1" x14ac:dyDescent="0.25">
      <c r="A2363" t="s">
        <v>4666</v>
      </c>
      <c r="B2363">
        <v>27.2</v>
      </c>
      <c r="C2363">
        <v>0.3</v>
      </c>
    </row>
    <row r="2364" spans="1:3" ht="15" customHeight="1" x14ac:dyDescent="0.25">
      <c r="A2364" t="s">
        <v>4667</v>
      </c>
      <c r="B2364">
        <v>27.2</v>
      </c>
      <c r="C2364">
        <v>0.3</v>
      </c>
    </row>
    <row r="2365" spans="1:3" ht="15" customHeight="1" x14ac:dyDescent="0.25">
      <c r="A2365" t="s">
        <v>4668</v>
      </c>
      <c r="B2365">
        <v>27.2</v>
      </c>
      <c r="C2365">
        <v>0.3</v>
      </c>
    </row>
    <row r="2366" spans="1:3" ht="15" customHeight="1" x14ac:dyDescent="0.25">
      <c r="A2366" t="s">
        <v>4669</v>
      </c>
      <c r="B2366">
        <v>27.2</v>
      </c>
      <c r="C2366">
        <v>0.3</v>
      </c>
    </row>
    <row r="2367" spans="1:3" ht="15" customHeight="1" x14ac:dyDescent="0.25">
      <c r="A2367" t="s">
        <v>4670</v>
      </c>
      <c r="B2367">
        <v>27.2</v>
      </c>
      <c r="C2367">
        <v>0.3</v>
      </c>
    </row>
    <row r="2368" spans="1:3" ht="15" customHeight="1" x14ac:dyDescent="0.25">
      <c r="A2368" t="s">
        <v>4671</v>
      </c>
      <c r="B2368">
        <v>27.2</v>
      </c>
      <c r="C2368">
        <v>0.3</v>
      </c>
    </row>
    <row r="2369" spans="1:3" ht="15" customHeight="1" x14ac:dyDescent="0.25">
      <c r="A2369" t="s">
        <v>4672</v>
      </c>
      <c r="B2369">
        <v>27.2</v>
      </c>
      <c r="C2369">
        <v>0.3</v>
      </c>
    </row>
    <row r="2370" spans="1:3" ht="15" customHeight="1" x14ac:dyDescent="0.25">
      <c r="A2370" t="s">
        <v>4673</v>
      </c>
      <c r="B2370">
        <v>27.2</v>
      </c>
      <c r="C2370">
        <v>0.3</v>
      </c>
    </row>
    <row r="2371" spans="1:3" ht="15" customHeight="1" x14ac:dyDescent="0.25">
      <c r="A2371" t="s">
        <v>4674</v>
      </c>
      <c r="B2371">
        <v>27.2</v>
      </c>
      <c r="C2371">
        <v>0.3</v>
      </c>
    </row>
    <row r="2372" spans="1:3" ht="15" customHeight="1" x14ac:dyDescent="0.25">
      <c r="A2372" t="s">
        <v>4675</v>
      </c>
      <c r="B2372">
        <v>27.2</v>
      </c>
      <c r="C2372">
        <v>0.3</v>
      </c>
    </row>
    <row r="2373" spans="1:3" ht="15" customHeight="1" x14ac:dyDescent="0.25">
      <c r="A2373" t="s">
        <v>4676</v>
      </c>
      <c r="B2373">
        <v>27.2</v>
      </c>
      <c r="C2373">
        <v>0.3</v>
      </c>
    </row>
    <row r="2374" spans="1:3" ht="15" customHeight="1" x14ac:dyDescent="0.25">
      <c r="A2374" t="s">
        <v>4677</v>
      </c>
      <c r="B2374">
        <v>27.2</v>
      </c>
      <c r="C2374">
        <v>0.3</v>
      </c>
    </row>
    <row r="2375" spans="1:3" ht="15" customHeight="1" x14ac:dyDescent="0.25">
      <c r="A2375" t="s">
        <v>4678</v>
      </c>
      <c r="B2375">
        <v>27.2</v>
      </c>
      <c r="C2375">
        <v>0.3</v>
      </c>
    </row>
    <row r="2376" spans="1:3" ht="15" customHeight="1" x14ac:dyDescent="0.25">
      <c r="A2376" t="s">
        <v>4679</v>
      </c>
      <c r="B2376">
        <v>27.2</v>
      </c>
      <c r="C2376">
        <v>0.3</v>
      </c>
    </row>
    <row r="2377" spans="1:3" ht="15" customHeight="1" x14ac:dyDescent="0.25">
      <c r="A2377" t="s">
        <v>4680</v>
      </c>
      <c r="B2377">
        <v>27.2</v>
      </c>
      <c r="C2377">
        <v>0.3</v>
      </c>
    </row>
    <row r="2378" spans="1:3" ht="15" customHeight="1" x14ac:dyDescent="0.25">
      <c r="A2378" t="s">
        <v>4681</v>
      </c>
      <c r="B2378">
        <v>27.2</v>
      </c>
      <c r="C2378">
        <v>0.3</v>
      </c>
    </row>
    <row r="2379" spans="1:3" ht="15" customHeight="1" x14ac:dyDescent="0.25">
      <c r="A2379" t="s">
        <v>4682</v>
      </c>
      <c r="B2379">
        <v>27.2</v>
      </c>
      <c r="C2379">
        <v>0.3</v>
      </c>
    </row>
    <row r="2380" spans="1:3" ht="15" customHeight="1" x14ac:dyDescent="0.25">
      <c r="A2380" t="s">
        <v>4683</v>
      </c>
      <c r="B2380">
        <v>27.2</v>
      </c>
      <c r="C2380">
        <v>0.3</v>
      </c>
    </row>
    <row r="2381" spans="1:3" ht="15" customHeight="1" x14ac:dyDescent="0.25">
      <c r="A2381" t="s">
        <v>4684</v>
      </c>
      <c r="B2381">
        <v>27.2</v>
      </c>
      <c r="C2381">
        <v>0.3</v>
      </c>
    </row>
    <row r="2382" spans="1:3" ht="15" customHeight="1" x14ac:dyDescent="0.25">
      <c r="A2382" t="s">
        <v>1852</v>
      </c>
      <c r="B2382">
        <v>20.3</v>
      </c>
      <c r="C2382">
        <v>0.03</v>
      </c>
    </row>
    <row r="2383" spans="1:3" ht="15" customHeight="1" x14ac:dyDescent="0.25">
      <c r="A2383" t="s">
        <v>4685</v>
      </c>
      <c r="B2383">
        <v>20.3</v>
      </c>
      <c r="C2383">
        <v>0.03</v>
      </c>
    </row>
    <row r="2384" spans="1:3" ht="15" customHeight="1" x14ac:dyDescent="0.25">
      <c r="A2384" t="s">
        <v>4686</v>
      </c>
      <c r="B2384">
        <v>20.3</v>
      </c>
      <c r="C2384">
        <v>0.03</v>
      </c>
    </row>
    <row r="2385" spans="1:3" ht="15" customHeight="1" x14ac:dyDescent="0.25">
      <c r="A2385" t="s">
        <v>4687</v>
      </c>
      <c r="B2385">
        <v>20.3</v>
      </c>
      <c r="C2385">
        <v>0.03</v>
      </c>
    </row>
    <row r="2386" spans="1:3" ht="15" customHeight="1" x14ac:dyDescent="0.25">
      <c r="A2386" t="s">
        <v>4688</v>
      </c>
      <c r="B2386">
        <v>18.899999999999999</v>
      </c>
      <c r="C2386">
        <v>0.3</v>
      </c>
    </row>
    <row r="2387" spans="1:3" ht="15" customHeight="1" x14ac:dyDescent="0.25">
      <c r="A2387" t="s">
        <v>4689</v>
      </c>
      <c r="B2387">
        <v>18.899999999999999</v>
      </c>
      <c r="C2387">
        <v>0.3</v>
      </c>
    </row>
    <row r="2388" spans="1:3" ht="15" customHeight="1" x14ac:dyDescent="0.25">
      <c r="A2388" t="s">
        <v>4690</v>
      </c>
      <c r="B2388">
        <v>18.899999999999999</v>
      </c>
      <c r="C2388">
        <v>0.3</v>
      </c>
    </row>
    <row r="2389" spans="1:3" ht="15" customHeight="1" x14ac:dyDescent="0.25">
      <c r="A2389" t="s">
        <v>4691</v>
      </c>
      <c r="B2389">
        <v>18.899999999999999</v>
      </c>
      <c r="C2389">
        <v>0.3</v>
      </c>
    </row>
    <row r="2390" spans="1:3" ht="15" customHeight="1" x14ac:dyDescent="0.25">
      <c r="A2390" t="s">
        <v>4692</v>
      </c>
      <c r="B2390">
        <v>19.3</v>
      </c>
      <c r="C2390">
        <v>0.3</v>
      </c>
    </row>
    <row r="2391" spans="1:3" ht="15" customHeight="1" x14ac:dyDescent="0.25">
      <c r="A2391" t="s">
        <v>4693</v>
      </c>
      <c r="B2391">
        <v>17.399999999999999</v>
      </c>
      <c r="C2391">
        <v>0.3</v>
      </c>
    </row>
    <row r="2392" spans="1:3" ht="15" customHeight="1" x14ac:dyDescent="0.25">
      <c r="A2392" t="s">
        <v>4694</v>
      </c>
      <c r="B2392">
        <v>17.399999999999999</v>
      </c>
      <c r="C2392">
        <v>0.3</v>
      </c>
    </row>
    <row r="2393" spans="1:3" ht="15" customHeight="1" x14ac:dyDescent="0.25">
      <c r="A2393" t="s">
        <v>4695</v>
      </c>
      <c r="B2393">
        <v>18.899999999999999</v>
      </c>
      <c r="C2393">
        <v>0.3</v>
      </c>
    </row>
    <row r="2394" spans="1:3" ht="15" customHeight="1" x14ac:dyDescent="0.25">
      <c r="A2394" t="s">
        <v>4696</v>
      </c>
      <c r="B2394">
        <v>18.899999999999999</v>
      </c>
      <c r="C2394">
        <v>0.3</v>
      </c>
    </row>
    <row r="2395" spans="1:3" ht="15" customHeight="1" x14ac:dyDescent="0.25">
      <c r="A2395" t="s">
        <v>4697</v>
      </c>
      <c r="B2395">
        <v>18.899999999999999</v>
      </c>
      <c r="C2395">
        <v>0.3</v>
      </c>
    </row>
    <row r="2396" spans="1:3" ht="15" customHeight="1" x14ac:dyDescent="0.25">
      <c r="A2396" t="s">
        <v>4698</v>
      </c>
      <c r="B2396">
        <v>18.899999999999999</v>
      </c>
      <c r="C2396">
        <v>0.3</v>
      </c>
    </row>
    <row r="2397" spans="1:3" ht="15" customHeight="1" x14ac:dyDescent="0.25">
      <c r="A2397" t="s">
        <v>4699</v>
      </c>
      <c r="B2397">
        <v>18.899999999999999</v>
      </c>
      <c r="C2397">
        <v>0.3</v>
      </c>
    </row>
    <row r="2398" spans="1:3" ht="15" customHeight="1" x14ac:dyDescent="0.25">
      <c r="A2398" t="s">
        <v>4700</v>
      </c>
      <c r="B2398">
        <v>18.899999999999999</v>
      </c>
      <c r="C2398">
        <v>0.3</v>
      </c>
    </row>
    <row r="2399" spans="1:3" ht="15" customHeight="1" x14ac:dyDescent="0.25">
      <c r="A2399" t="s">
        <v>4701</v>
      </c>
      <c r="B2399">
        <v>27.2</v>
      </c>
      <c r="C2399">
        <v>0.3</v>
      </c>
    </row>
    <row r="2400" spans="1:3" ht="15" customHeight="1" x14ac:dyDescent="0.25">
      <c r="A2400" t="s">
        <v>4702</v>
      </c>
      <c r="B2400">
        <v>27.2</v>
      </c>
      <c r="C2400">
        <v>0.3</v>
      </c>
    </row>
    <row r="2401" spans="1:3" ht="15" customHeight="1" x14ac:dyDescent="0.25">
      <c r="A2401" t="s">
        <v>4703</v>
      </c>
      <c r="B2401">
        <v>27.2</v>
      </c>
      <c r="C2401">
        <v>0.3</v>
      </c>
    </row>
    <row r="2402" spans="1:3" ht="15" customHeight="1" x14ac:dyDescent="0.25">
      <c r="A2402" t="s">
        <v>4704</v>
      </c>
      <c r="B2402">
        <v>20.3</v>
      </c>
      <c r="C2402">
        <v>0.03</v>
      </c>
    </row>
    <row r="2403" spans="1:3" ht="15" customHeight="1" x14ac:dyDescent="0.25">
      <c r="A2403" t="s">
        <v>4705</v>
      </c>
      <c r="B2403">
        <v>17.399999999999999</v>
      </c>
    </row>
    <row r="2404" spans="1:3" ht="15" customHeight="1" x14ac:dyDescent="0.25">
      <c r="A2404" t="s">
        <v>4706</v>
      </c>
      <c r="B2404">
        <v>17.399999999999999</v>
      </c>
      <c r="C2404">
        <v>0.3</v>
      </c>
    </row>
    <row r="2405" spans="1:3" ht="15" customHeight="1" x14ac:dyDescent="0.25">
      <c r="A2405" t="s">
        <v>4707</v>
      </c>
      <c r="B2405">
        <v>27.2</v>
      </c>
      <c r="C2405">
        <v>0.3</v>
      </c>
    </row>
    <row r="2406" spans="1:3" ht="15" customHeight="1" x14ac:dyDescent="0.25">
      <c r="A2406" t="s">
        <v>4708</v>
      </c>
      <c r="B2406">
        <v>27.2</v>
      </c>
      <c r="C2406">
        <v>0.3</v>
      </c>
    </row>
    <row r="2407" spans="1:3" ht="15" customHeight="1" x14ac:dyDescent="0.25">
      <c r="A2407" t="s">
        <v>4709</v>
      </c>
      <c r="B2407">
        <v>27.2</v>
      </c>
      <c r="C2407">
        <v>0.3</v>
      </c>
    </row>
    <row r="2408" spans="1:3" ht="15" customHeight="1" x14ac:dyDescent="0.25">
      <c r="A2408" t="s">
        <v>4710</v>
      </c>
      <c r="B2408">
        <v>27.2</v>
      </c>
      <c r="C2408">
        <v>0.3</v>
      </c>
    </row>
    <row r="2409" spans="1:3" ht="15" customHeight="1" x14ac:dyDescent="0.25">
      <c r="A2409" t="s">
        <v>4711</v>
      </c>
      <c r="B2409">
        <v>15.6</v>
      </c>
      <c r="C2409">
        <v>0.03</v>
      </c>
    </row>
    <row r="2410" spans="1:3" ht="15" customHeight="1" x14ac:dyDescent="0.25">
      <c r="A2410" t="s">
        <v>4712</v>
      </c>
      <c r="B2410">
        <v>15.6</v>
      </c>
      <c r="C2410">
        <v>0.03</v>
      </c>
    </row>
    <row r="2411" spans="1:3" ht="15" customHeight="1" x14ac:dyDescent="0.25">
      <c r="A2411" t="s">
        <v>4713</v>
      </c>
      <c r="B2411">
        <v>15.6</v>
      </c>
      <c r="C2411">
        <v>0.03</v>
      </c>
    </row>
    <row r="2412" spans="1:3" ht="15" customHeight="1" x14ac:dyDescent="0.25">
      <c r="A2412" t="s">
        <v>4714</v>
      </c>
      <c r="B2412">
        <v>15.6</v>
      </c>
      <c r="C2412">
        <v>0.03</v>
      </c>
    </row>
    <row r="2413" spans="1:3" ht="15" customHeight="1" x14ac:dyDescent="0.25">
      <c r="A2413" t="s">
        <v>4715</v>
      </c>
      <c r="B2413">
        <v>16.100000000000001</v>
      </c>
      <c r="C2413">
        <v>0.3</v>
      </c>
    </row>
    <row r="2414" spans="1:3" ht="15" customHeight="1" x14ac:dyDescent="0.25">
      <c r="A2414" t="s">
        <v>4716</v>
      </c>
      <c r="B2414">
        <v>16.100000000000001</v>
      </c>
      <c r="C2414">
        <v>0.3</v>
      </c>
    </row>
    <row r="2415" spans="1:3" ht="15" customHeight="1" x14ac:dyDescent="0.25">
      <c r="A2415" t="s">
        <v>4717</v>
      </c>
      <c r="B2415">
        <v>16.100000000000001</v>
      </c>
      <c r="C2415">
        <v>0.3</v>
      </c>
    </row>
    <row r="2416" spans="1:3" ht="15" customHeight="1" x14ac:dyDescent="0.25">
      <c r="A2416" t="s">
        <v>4718</v>
      </c>
      <c r="B2416">
        <v>16.100000000000001</v>
      </c>
      <c r="C2416">
        <v>0.3</v>
      </c>
    </row>
    <row r="2417" spans="1:3" ht="15" customHeight="1" x14ac:dyDescent="0.25">
      <c r="A2417" t="s">
        <v>4719</v>
      </c>
      <c r="B2417">
        <v>16.100000000000001</v>
      </c>
      <c r="C2417">
        <v>0.3</v>
      </c>
    </row>
    <row r="2418" spans="1:3" ht="15" customHeight="1" x14ac:dyDescent="0.25">
      <c r="A2418" t="s">
        <v>4720</v>
      </c>
      <c r="B2418">
        <v>16.100000000000001</v>
      </c>
      <c r="C2418">
        <v>0.3</v>
      </c>
    </row>
    <row r="2419" spans="1:3" ht="15" customHeight="1" x14ac:dyDescent="0.25">
      <c r="A2419" t="s">
        <v>4721</v>
      </c>
      <c r="B2419">
        <v>16.100000000000001</v>
      </c>
      <c r="C2419">
        <v>0.3</v>
      </c>
    </row>
    <row r="2420" spans="1:3" ht="15" customHeight="1" x14ac:dyDescent="0.25">
      <c r="A2420" t="s">
        <v>4722</v>
      </c>
      <c r="B2420">
        <v>16.100000000000001</v>
      </c>
      <c r="C2420">
        <v>0.3</v>
      </c>
    </row>
    <row r="2421" spans="1:3" ht="15" customHeight="1" x14ac:dyDescent="0.25">
      <c r="A2421" t="s">
        <v>4723</v>
      </c>
      <c r="B2421">
        <v>16.100000000000001</v>
      </c>
      <c r="C2421">
        <v>0.3</v>
      </c>
    </row>
    <row r="2422" spans="1:3" ht="15" customHeight="1" x14ac:dyDescent="0.25">
      <c r="A2422" t="s">
        <v>4724</v>
      </c>
      <c r="B2422">
        <v>16.100000000000001</v>
      </c>
      <c r="C2422">
        <v>0.3</v>
      </c>
    </row>
    <row r="2423" spans="1:3" ht="15" customHeight="1" x14ac:dyDescent="0.25">
      <c r="A2423" t="s">
        <v>4725</v>
      </c>
      <c r="B2423">
        <v>16.100000000000001</v>
      </c>
      <c r="C2423">
        <v>0.3</v>
      </c>
    </row>
    <row r="2424" spans="1:3" ht="15" customHeight="1" x14ac:dyDescent="0.25">
      <c r="A2424" t="s">
        <v>4726</v>
      </c>
      <c r="B2424">
        <v>16.100000000000001</v>
      </c>
      <c r="C2424">
        <v>0.3</v>
      </c>
    </row>
    <row r="2425" spans="1:3" ht="15" customHeight="1" x14ac:dyDescent="0.25">
      <c r="A2425" t="s">
        <v>4727</v>
      </c>
      <c r="B2425">
        <v>16.100000000000001</v>
      </c>
      <c r="C2425">
        <v>0.3</v>
      </c>
    </row>
    <row r="2426" spans="1:3" ht="15" customHeight="1" x14ac:dyDescent="0.25">
      <c r="A2426" t="s">
        <v>4728</v>
      </c>
      <c r="B2426">
        <v>16.100000000000001</v>
      </c>
      <c r="C2426">
        <v>0.3</v>
      </c>
    </row>
    <row r="2427" spans="1:3" ht="15" customHeight="1" x14ac:dyDescent="0.25">
      <c r="A2427" t="s">
        <v>4729</v>
      </c>
      <c r="B2427">
        <v>16.100000000000001</v>
      </c>
      <c r="C2427">
        <v>0.3</v>
      </c>
    </row>
    <row r="2428" spans="1:3" ht="15" customHeight="1" x14ac:dyDescent="0.25">
      <c r="A2428" t="s">
        <v>4730</v>
      </c>
      <c r="B2428">
        <v>16.100000000000001</v>
      </c>
      <c r="C2428">
        <v>0.3</v>
      </c>
    </row>
    <row r="2429" spans="1:3" ht="15" customHeight="1" x14ac:dyDescent="0.25">
      <c r="A2429" t="s">
        <v>4731</v>
      </c>
      <c r="B2429">
        <v>16.100000000000001</v>
      </c>
      <c r="C2429">
        <v>0.3</v>
      </c>
    </row>
    <row r="2430" spans="1:3" ht="15" customHeight="1" x14ac:dyDescent="0.25">
      <c r="A2430" t="s">
        <v>4732</v>
      </c>
      <c r="B2430">
        <v>16.100000000000001</v>
      </c>
      <c r="C2430">
        <v>0.3</v>
      </c>
    </row>
    <row r="2431" spans="1:3" ht="15" customHeight="1" x14ac:dyDescent="0.25">
      <c r="A2431" t="s">
        <v>4733</v>
      </c>
      <c r="B2431">
        <v>16.100000000000001</v>
      </c>
      <c r="C2431">
        <v>0.3</v>
      </c>
    </row>
    <row r="2432" spans="1:3" ht="15" customHeight="1" x14ac:dyDescent="0.25">
      <c r="A2432" t="s">
        <v>4734</v>
      </c>
      <c r="B2432">
        <v>16.100000000000001</v>
      </c>
      <c r="C2432">
        <v>0.3</v>
      </c>
    </row>
    <row r="2433" spans="1:3" ht="15" customHeight="1" x14ac:dyDescent="0.25">
      <c r="A2433" t="s">
        <v>4735</v>
      </c>
      <c r="B2433">
        <v>16.100000000000001</v>
      </c>
      <c r="C2433">
        <v>0.3</v>
      </c>
    </row>
    <row r="2434" spans="1:3" ht="15" customHeight="1" x14ac:dyDescent="0.25">
      <c r="A2434" t="s">
        <v>4736</v>
      </c>
      <c r="B2434">
        <v>16.100000000000001</v>
      </c>
      <c r="C2434">
        <v>0.3</v>
      </c>
    </row>
    <row r="2435" spans="1:3" ht="15" customHeight="1" x14ac:dyDescent="0.25">
      <c r="A2435" t="s">
        <v>4737</v>
      </c>
      <c r="B2435">
        <v>16.100000000000001</v>
      </c>
      <c r="C2435">
        <v>0.3</v>
      </c>
    </row>
    <row r="2436" spans="1:3" ht="15" customHeight="1" x14ac:dyDescent="0.25">
      <c r="A2436" t="s">
        <v>4738</v>
      </c>
      <c r="B2436">
        <v>16.100000000000001</v>
      </c>
      <c r="C2436">
        <v>0.3</v>
      </c>
    </row>
    <row r="2437" spans="1:3" ht="15" customHeight="1" x14ac:dyDescent="0.25">
      <c r="A2437" t="s">
        <v>4739</v>
      </c>
      <c r="B2437">
        <v>16.100000000000001</v>
      </c>
      <c r="C2437">
        <v>0.3</v>
      </c>
    </row>
    <row r="2438" spans="1:3" ht="15" customHeight="1" x14ac:dyDescent="0.25">
      <c r="A2438" t="s">
        <v>4740</v>
      </c>
      <c r="B2438">
        <v>16.100000000000001</v>
      </c>
      <c r="C2438">
        <v>0.3</v>
      </c>
    </row>
    <row r="2439" spans="1:3" ht="15" customHeight="1" x14ac:dyDescent="0.25">
      <c r="A2439" t="s">
        <v>4741</v>
      </c>
      <c r="B2439">
        <v>16.100000000000001</v>
      </c>
      <c r="C2439">
        <v>0.3</v>
      </c>
    </row>
    <row r="2440" spans="1:3" ht="15" customHeight="1" x14ac:dyDescent="0.25">
      <c r="A2440" t="s">
        <v>4742</v>
      </c>
      <c r="B2440">
        <v>16.100000000000001</v>
      </c>
      <c r="C2440">
        <v>0.3</v>
      </c>
    </row>
    <row r="2441" spans="1:3" ht="15" customHeight="1" x14ac:dyDescent="0.25">
      <c r="A2441" t="s">
        <v>4743</v>
      </c>
      <c r="B2441">
        <v>16.100000000000001</v>
      </c>
      <c r="C2441">
        <v>0.3</v>
      </c>
    </row>
    <row r="2442" spans="1:3" ht="15" customHeight="1" x14ac:dyDescent="0.25">
      <c r="A2442" t="s">
        <v>4744</v>
      </c>
      <c r="B2442">
        <v>16.100000000000001</v>
      </c>
      <c r="C2442">
        <v>0.3</v>
      </c>
    </row>
    <row r="2443" spans="1:3" ht="15" customHeight="1" x14ac:dyDescent="0.25">
      <c r="A2443" t="s">
        <v>4745</v>
      </c>
      <c r="B2443">
        <v>16.100000000000001</v>
      </c>
      <c r="C2443">
        <v>0.3</v>
      </c>
    </row>
    <row r="2444" spans="1:3" ht="15" customHeight="1" x14ac:dyDescent="0.25">
      <c r="A2444" t="s">
        <v>4746</v>
      </c>
      <c r="B2444">
        <v>16.100000000000001</v>
      </c>
      <c r="C2444">
        <v>0.3</v>
      </c>
    </row>
    <row r="2445" spans="1:3" ht="15" customHeight="1" x14ac:dyDescent="0.25">
      <c r="A2445" t="s">
        <v>4747</v>
      </c>
      <c r="B2445">
        <v>16.100000000000001</v>
      </c>
      <c r="C2445">
        <v>0.3</v>
      </c>
    </row>
    <row r="2446" spans="1:3" ht="15" customHeight="1" x14ac:dyDescent="0.25">
      <c r="A2446" t="s">
        <v>4748</v>
      </c>
      <c r="B2446">
        <v>16.100000000000001</v>
      </c>
      <c r="C2446">
        <v>0.3</v>
      </c>
    </row>
    <row r="2447" spans="1:3" ht="15" customHeight="1" x14ac:dyDescent="0.25">
      <c r="A2447" t="s">
        <v>4749</v>
      </c>
      <c r="B2447">
        <v>16.100000000000001</v>
      </c>
      <c r="C2447">
        <v>0.3</v>
      </c>
    </row>
    <row r="2448" spans="1:3" ht="15" customHeight="1" x14ac:dyDescent="0.25">
      <c r="A2448" t="s">
        <v>4750</v>
      </c>
      <c r="B2448">
        <v>16.100000000000001</v>
      </c>
      <c r="C2448">
        <v>0.3</v>
      </c>
    </row>
    <row r="2449" spans="1:3" ht="15" customHeight="1" x14ac:dyDescent="0.25">
      <c r="A2449" t="s">
        <v>4751</v>
      </c>
      <c r="B2449">
        <v>16.100000000000001</v>
      </c>
      <c r="C2449">
        <v>0.3</v>
      </c>
    </row>
    <row r="2450" spans="1:3" ht="15" customHeight="1" x14ac:dyDescent="0.25">
      <c r="A2450" t="s">
        <v>4752</v>
      </c>
      <c r="B2450">
        <v>16.100000000000001</v>
      </c>
      <c r="C2450">
        <v>0.3</v>
      </c>
    </row>
    <row r="2451" spans="1:3" ht="15" customHeight="1" x14ac:dyDescent="0.25">
      <c r="A2451" t="s">
        <v>4753</v>
      </c>
      <c r="B2451">
        <v>16.100000000000001</v>
      </c>
      <c r="C2451">
        <v>0.3</v>
      </c>
    </row>
    <row r="2452" spans="1:3" ht="15" customHeight="1" x14ac:dyDescent="0.25">
      <c r="A2452" t="s">
        <v>4754</v>
      </c>
      <c r="B2452">
        <v>16.100000000000001</v>
      </c>
      <c r="C2452">
        <v>0.3</v>
      </c>
    </row>
    <row r="2453" spans="1:3" ht="15" customHeight="1" x14ac:dyDescent="0.25">
      <c r="A2453" t="s">
        <v>4755</v>
      </c>
      <c r="B2453">
        <v>16.100000000000001</v>
      </c>
      <c r="C2453">
        <v>0.3</v>
      </c>
    </row>
    <row r="2454" spans="1:3" ht="15" customHeight="1" x14ac:dyDescent="0.25">
      <c r="A2454" t="s">
        <v>4756</v>
      </c>
      <c r="B2454">
        <v>16.100000000000001</v>
      </c>
      <c r="C2454">
        <v>0.3</v>
      </c>
    </row>
    <row r="2455" spans="1:3" ht="15" customHeight="1" x14ac:dyDescent="0.25">
      <c r="A2455" t="s">
        <v>4757</v>
      </c>
      <c r="B2455">
        <v>16.100000000000001</v>
      </c>
      <c r="C2455">
        <v>0.3</v>
      </c>
    </row>
    <row r="2456" spans="1:3" ht="15" customHeight="1" x14ac:dyDescent="0.25">
      <c r="A2456" t="s">
        <v>4758</v>
      </c>
      <c r="B2456">
        <v>16.100000000000001</v>
      </c>
      <c r="C2456">
        <v>0.3</v>
      </c>
    </row>
    <row r="2457" spans="1:3" ht="15" customHeight="1" x14ac:dyDescent="0.25">
      <c r="A2457" t="s">
        <v>4759</v>
      </c>
      <c r="B2457">
        <v>16.100000000000001</v>
      </c>
      <c r="C2457">
        <v>0.3</v>
      </c>
    </row>
    <row r="2458" spans="1:3" ht="15" customHeight="1" x14ac:dyDescent="0.25">
      <c r="A2458" t="s">
        <v>4760</v>
      </c>
      <c r="B2458">
        <v>16.100000000000001</v>
      </c>
      <c r="C2458">
        <v>0.3</v>
      </c>
    </row>
    <row r="2459" spans="1:3" ht="15" customHeight="1" x14ac:dyDescent="0.25">
      <c r="A2459" t="s">
        <v>4761</v>
      </c>
      <c r="B2459">
        <v>16.100000000000001</v>
      </c>
      <c r="C2459">
        <v>0.3</v>
      </c>
    </row>
    <row r="2460" spans="1:3" ht="15" customHeight="1" x14ac:dyDescent="0.25">
      <c r="A2460" t="s">
        <v>4762</v>
      </c>
      <c r="B2460">
        <v>16.100000000000001</v>
      </c>
      <c r="C2460">
        <v>0.3</v>
      </c>
    </row>
    <row r="2461" spans="1:3" ht="15" customHeight="1" x14ac:dyDescent="0.25">
      <c r="A2461" t="s">
        <v>4763</v>
      </c>
      <c r="B2461">
        <v>16.100000000000001</v>
      </c>
      <c r="C2461">
        <v>0.3</v>
      </c>
    </row>
    <row r="2462" spans="1:3" ht="15" customHeight="1" x14ac:dyDescent="0.25">
      <c r="A2462" t="s">
        <v>4764</v>
      </c>
      <c r="B2462">
        <v>16.100000000000001</v>
      </c>
      <c r="C2462">
        <v>0.3</v>
      </c>
    </row>
    <row r="2463" spans="1:3" ht="15" customHeight="1" x14ac:dyDescent="0.25">
      <c r="A2463" t="s">
        <v>4765</v>
      </c>
      <c r="B2463">
        <v>16.100000000000001</v>
      </c>
      <c r="C2463">
        <v>0.3</v>
      </c>
    </row>
    <row r="2464" spans="1:3" ht="15" customHeight="1" x14ac:dyDescent="0.25">
      <c r="A2464" t="s">
        <v>4766</v>
      </c>
      <c r="B2464">
        <v>16.100000000000001</v>
      </c>
      <c r="C2464">
        <v>0.3</v>
      </c>
    </row>
    <row r="2465" spans="1:3" ht="15" customHeight="1" x14ac:dyDescent="0.25">
      <c r="A2465" t="s">
        <v>4767</v>
      </c>
      <c r="B2465">
        <v>16.100000000000001</v>
      </c>
      <c r="C2465">
        <v>0.3</v>
      </c>
    </row>
    <row r="2466" spans="1:3" ht="15" customHeight="1" x14ac:dyDescent="0.25">
      <c r="A2466" t="s">
        <v>4768</v>
      </c>
      <c r="B2466">
        <v>16.100000000000001</v>
      </c>
      <c r="C2466">
        <v>0.3</v>
      </c>
    </row>
    <row r="2467" spans="1:3" ht="15" customHeight="1" x14ac:dyDescent="0.25">
      <c r="A2467" t="s">
        <v>4769</v>
      </c>
      <c r="B2467">
        <v>16.100000000000001</v>
      </c>
      <c r="C2467">
        <v>0.3</v>
      </c>
    </row>
    <row r="2468" spans="1:3" ht="15" customHeight="1" x14ac:dyDescent="0.25">
      <c r="A2468" t="s">
        <v>4770</v>
      </c>
      <c r="B2468">
        <v>16.100000000000001</v>
      </c>
      <c r="C2468">
        <v>0.3</v>
      </c>
    </row>
    <row r="2469" spans="1:3" ht="15" customHeight="1" x14ac:dyDescent="0.25">
      <c r="A2469" t="s">
        <v>4771</v>
      </c>
      <c r="B2469">
        <v>16.100000000000001</v>
      </c>
      <c r="C2469">
        <v>0.3</v>
      </c>
    </row>
    <row r="2470" spans="1:3" ht="15" customHeight="1" x14ac:dyDescent="0.25">
      <c r="A2470" t="s">
        <v>4772</v>
      </c>
      <c r="B2470">
        <v>16.100000000000001</v>
      </c>
      <c r="C2470">
        <v>0.3</v>
      </c>
    </row>
    <row r="2471" spans="1:3" ht="15" customHeight="1" x14ac:dyDescent="0.25">
      <c r="A2471" t="s">
        <v>4773</v>
      </c>
      <c r="B2471">
        <v>20.3</v>
      </c>
      <c r="C2471">
        <v>0.3</v>
      </c>
    </row>
    <row r="2472" spans="1:3" ht="15" customHeight="1" x14ac:dyDescent="0.25">
      <c r="A2472" t="s">
        <v>4774</v>
      </c>
      <c r="B2472">
        <v>16.100000000000001</v>
      </c>
      <c r="C2472">
        <v>0.3</v>
      </c>
    </row>
    <row r="2473" spans="1:3" ht="15" customHeight="1" x14ac:dyDescent="0.25">
      <c r="A2473" t="s">
        <v>4775</v>
      </c>
      <c r="B2473">
        <v>16.100000000000001</v>
      </c>
      <c r="C2473">
        <v>0.3</v>
      </c>
    </row>
    <row r="2474" spans="1:3" ht="15" customHeight="1" x14ac:dyDescent="0.25">
      <c r="A2474" t="s">
        <v>4776</v>
      </c>
      <c r="B2474">
        <v>16.100000000000001</v>
      </c>
      <c r="C2474">
        <v>0.3</v>
      </c>
    </row>
    <row r="2475" spans="1:3" ht="15" customHeight="1" x14ac:dyDescent="0.25">
      <c r="A2475" t="s">
        <v>4777</v>
      </c>
      <c r="B2475">
        <v>16.100000000000001</v>
      </c>
      <c r="C2475">
        <v>0.3</v>
      </c>
    </row>
    <row r="2476" spans="1:3" ht="15" customHeight="1" x14ac:dyDescent="0.25">
      <c r="A2476" t="s">
        <v>4778</v>
      </c>
      <c r="B2476">
        <v>16.100000000000001</v>
      </c>
      <c r="C2476">
        <v>0.3</v>
      </c>
    </row>
    <row r="2477" spans="1:3" ht="15" customHeight="1" x14ac:dyDescent="0.25">
      <c r="A2477" t="s">
        <v>4779</v>
      </c>
      <c r="B2477">
        <v>16.100000000000001</v>
      </c>
      <c r="C2477">
        <v>0.3</v>
      </c>
    </row>
    <row r="2478" spans="1:3" ht="15" customHeight="1" x14ac:dyDescent="0.25">
      <c r="A2478" t="s">
        <v>4780</v>
      </c>
      <c r="B2478">
        <v>16.100000000000001</v>
      </c>
      <c r="C2478">
        <v>0.3</v>
      </c>
    </row>
    <row r="2479" spans="1:3" ht="15" customHeight="1" x14ac:dyDescent="0.25">
      <c r="A2479" t="s">
        <v>4781</v>
      </c>
      <c r="B2479">
        <v>16.100000000000001</v>
      </c>
      <c r="C2479">
        <v>0.3</v>
      </c>
    </row>
    <row r="2480" spans="1:3" ht="15" customHeight="1" x14ac:dyDescent="0.25">
      <c r="A2480" t="s">
        <v>4782</v>
      </c>
      <c r="B2480">
        <v>16.100000000000001</v>
      </c>
      <c r="C2480">
        <v>0.3</v>
      </c>
    </row>
    <row r="2481" spans="1:3" ht="15" customHeight="1" x14ac:dyDescent="0.25">
      <c r="A2481" t="s">
        <v>4783</v>
      </c>
      <c r="B2481">
        <v>16.100000000000001</v>
      </c>
      <c r="C2481">
        <v>0.3</v>
      </c>
    </row>
    <row r="2482" spans="1:3" ht="15" customHeight="1" x14ac:dyDescent="0.25">
      <c r="A2482" t="s">
        <v>4784</v>
      </c>
      <c r="B2482">
        <v>16.100000000000001</v>
      </c>
      <c r="C2482">
        <v>0.3</v>
      </c>
    </row>
    <row r="2483" spans="1:3" ht="15" customHeight="1" x14ac:dyDescent="0.25">
      <c r="A2483" t="s">
        <v>4785</v>
      </c>
      <c r="B2483">
        <v>16.100000000000001</v>
      </c>
      <c r="C2483">
        <v>0.3</v>
      </c>
    </row>
    <row r="2484" spans="1:3" ht="15" customHeight="1" x14ac:dyDescent="0.25">
      <c r="A2484" t="s">
        <v>4786</v>
      </c>
      <c r="B2484">
        <v>16.100000000000001</v>
      </c>
      <c r="C2484">
        <v>0.3</v>
      </c>
    </row>
    <row r="2485" spans="1:3" ht="15" customHeight="1" x14ac:dyDescent="0.25">
      <c r="A2485" t="s">
        <v>4787</v>
      </c>
      <c r="B2485">
        <v>16.100000000000001</v>
      </c>
      <c r="C2485">
        <v>0.3</v>
      </c>
    </row>
    <row r="2486" spans="1:3" ht="15" customHeight="1" x14ac:dyDescent="0.25">
      <c r="A2486" t="s">
        <v>4788</v>
      </c>
      <c r="B2486">
        <v>16.100000000000001</v>
      </c>
      <c r="C2486">
        <v>0.3</v>
      </c>
    </row>
    <row r="2487" spans="1:3" ht="15" customHeight="1" x14ac:dyDescent="0.25">
      <c r="A2487" t="s">
        <v>4789</v>
      </c>
      <c r="B2487">
        <v>16.100000000000001</v>
      </c>
      <c r="C2487">
        <v>0.3</v>
      </c>
    </row>
    <row r="2488" spans="1:3" ht="15" customHeight="1" x14ac:dyDescent="0.25">
      <c r="A2488" t="s">
        <v>4790</v>
      </c>
      <c r="B2488">
        <v>16.100000000000001</v>
      </c>
      <c r="C2488">
        <v>0.3</v>
      </c>
    </row>
    <row r="2489" spans="1:3" ht="15" customHeight="1" x14ac:dyDescent="0.25">
      <c r="A2489" t="s">
        <v>4791</v>
      </c>
      <c r="B2489">
        <v>16.100000000000001</v>
      </c>
      <c r="C2489">
        <v>0.3</v>
      </c>
    </row>
    <row r="2490" spans="1:3" ht="15" customHeight="1" x14ac:dyDescent="0.25">
      <c r="A2490" t="s">
        <v>4792</v>
      </c>
      <c r="B2490">
        <v>16.100000000000001</v>
      </c>
      <c r="C2490">
        <v>0.3</v>
      </c>
    </row>
    <row r="2491" spans="1:3" ht="15" customHeight="1" x14ac:dyDescent="0.25">
      <c r="A2491" t="s">
        <v>4793</v>
      </c>
      <c r="B2491">
        <v>31.4</v>
      </c>
      <c r="C2491">
        <v>0.1</v>
      </c>
    </row>
    <row r="2492" spans="1:3" ht="15" customHeight="1" x14ac:dyDescent="0.25">
      <c r="A2492" t="s">
        <v>4794</v>
      </c>
      <c r="B2492">
        <v>31.4</v>
      </c>
      <c r="C2492">
        <v>0.1</v>
      </c>
    </row>
    <row r="2493" spans="1:3" ht="15" customHeight="1" x14ac:dyDescent="0.25">
      <c r="A2493" t="s">
        <v>4795</v>
      </c>
      <c r="B2493">
        <v>23.8</v>
      </c>
      <c r="C2493">
        <v>0.2</v>
      </c>
    </row>
    <row r="2494" spans="1:3" ht="15" customHeight="1" x14ac:dyDescent="0.25">
      <c r="A2494" t="s">
        <v>4796</v>
      </c>
      <c r="B2494">
        <v>23.8</v>
      </c>
      <c r="C2494">
        <v>0.2</v>
      </c>
    </row>
    <row r="2495" spans="1:3" ht="15" customHeight="1" x14ac:dyDescent="0.25">
      <c r="A2495" t="s">
        <v>4797</v>
      </c>
      <c r="B2495">
        <v>23.8</v>
      </c>
      <c r="C2495">
        <v>0.2</v>
      </c>
    </row>
    <row r="2496" spans="1:3" ht="15" customHeight="1" x14ac:dyDescent="0.25">
      <c r="A2496" t="s">
        <v>4798</v>
      </c>
      <c r="B2496">
        <v>31.4</v>
      </c>
      <c r="C2496">
        <v>0.2</v>
      </c>
    </row>
    <row r="2497" spans="1:3" ht="15" customHeight="1" x14ac:dyDescent="0.25">
      <c r="A2497" t="s">
        <v>301</v>
      </c>
      <c r="B2497">
        <v>31.4</v>
      </c>
      <c r="C2497">
        <v>0.2</v>
      </c>
    </row>
    <row r="2498" spans="1:3" ht="15" customHeight="1" x14ac:dyDescent="0.25">
      <c r="A2498" t="s">
        <v>4799</v>
      </c>
      <c r="B2498">
        <v>18.3</v>
      </c>
    </row>
    <row r="2499" spans="1:3" ht="15" customHeight="1" x14ac:dyDescent="0.25">
      <c r="A2499" t="s">
        <v>4800</v>
      </c>
      <c r="B2499">
        <v>18.3</v>
      </c>
    </row>
    <row r="2500" spans="1:3" ht="15" customHeight="1" x14ac:dyDescent="0.25">
      <c r="A2500" t="s">
        <v>4801</v>
      </c>
      <c r="B2500">
        <v>18.3</v>
      </c>
    </row>
    <row r="2501" spans="1:3" ht="15" customHeight="1" x14ac:dyDescent="0.25">
      <c r="A2501" t="s">
        <v>4802</v>
      </c>
      <c r="B2501">
        <v>18.3</v>
      </c>
    </row>
    <row r="2502" spans="1:3" ht="15" customHeight="1" x14ac:dyDescent="0.25">
      <c r="A2502" t="s">
        <v>4803</v>
      </c>
      <c r="B2502">
        <v>18.3</v>
      </c>
      <c r="C2502">
        <v>0.2</v>
      </c>
    </row>
    <row r="2503" spans="1:3" ht="15" customHeight="1" x14ac:dyDescent="0.25">
      <c r="A2503" t="s">
        <v>4804</v>
      </c>
      <c r="B2503">
        <v>18.3</v>
      </c>
      <c r="C2503">
        <v>0.2</v>
      </c>
    </row>
    <row r="2504" spans="1:3" ht="15" customHeight="1" x14ac:dyDescent="0.25">
      <c r="A2504" t="s">
        <v>4805</v>
      </c>
      <c r="B2504">
        <v>18.3</v>
      </c>
    </row>
    <row r="2505" spans="1:3" ht="15" customHeight="1" x14ac:dyDescent="0.25">
      <c r="A2505" t="s">
        <v>4806</v>
      </c>
      <c r="B2505">
        <v>18.3</v>
      </c>
    </row>
    <row r="2506" spans="1:3" ht="15" customHeight="1" x14ac:dyDescent="0.25">
      <c r="A2506" t="s">
        <v>4807</v>
      </c>
      <c r="B2506">
        <v>18.3</v>
      </c>
    </row>
    <row r="2507" spans="1:3" ht="15" customHeight="1" x14ac:dyDescent="0.25">
      <c r="A2507" t="s">
        <v>4808</v>
      </c>
      <c r="B2507">
        <v>18.3</v>
      </c>
    </row>
    <row r="2508" spans="1:3" ht="15" customHeight="1" x14ac:dyDescent="0.25">
      <c r="A2508" t="s">
        <v>4809</v>
      </c>
      <c r="B2508">
        <v>18.3</v>
      </c>
    </row>
    <row r="2509" spans="1:3" ht="15" customHeight="1" x14ac:dyDescent="0.25">
      <c r="A2509" t="s">
        <v>4810</v>
      </c>
      <c r="B2509">
        <v>18.3</v>
      </c>
    </row>
    <row r="2510" spans="1:3" ht="15" customHeight="1" x14ac:dyDescent="0.25">
      <c r="A2510" t="s">
        <v>4811</v>
      </c>
      <c r="B2510">
        <v>18.3</v>
      </c>
    </row>
    <row r="2511" spans="1:3" ht="15" customHeight="1" x14ac:dyDescent="0.25">
      <c r="A2511" t="s">
        <v>4812</v>
      </c>
      <c r="B2511">
        <v>18.3</v>
      </c>
    </row>
    <row r="2512" spans="1:3" ht="15" customHeight="1" x14ac:dyDescent="0.25">
      <c r="A2512" t="s">
        <v>4813</v>
      </c>
      <c r="B2512">
        <v>18.3</v>
      </c>
    </row>
    <row r="2513" spans="1:3" ht="15" customHeight="1" x14ac:dyDescent="0.25">
      <c r="A2513" t="s">
        <v>4814</v>
      </c>
      <c r="B2513">
        <v>18.3</v>
      </c>
    </row>
    <row r="2514" spans="1:3" ht="15" customHeight="1" x14ac:dyDescent="0.25">
      <c r="A2514" t="s">
        <v>4815</v>
      </c>
      <c r="B2514">
        <v>18.3</v>
      </c>
    </row>
    <row r="2515" spans="1:3" ht="15" customHeight="1" x14ac:dyDescent="0.25">
      <c r="A2515" t="s">
        <v>4816</v>
      </c>
      <c r="B2515">
        <v>18.3</v>
      </c>
    </row>
    <row r="2516" spans="1:3" ht="15" customHeight="1" x14ac:dyDescent="0.25">
      <c r="A2516" t="s">
        <v>4817</v>
      </c>
      <c r="B2516">
        <v>18.3</v>
      </c>
    </row>
    <row r="2517" spans="1:3" ht="15" customHeight="1" x14ac:dyDescent="0.25">
      <c r="A2517" t="s">
        <v>4818</v>
      </c>
      <c r="B2517">
        <v>18.3</v>
      </c>
    </row>
    <row r="2518" spans="1:3" ht="15" customHeight="1" x14ac:dyDescent="0.25">
      <c r="A2518" t="s">
        <v>4819</v>
      </c>
      <c r="B2518">
        <v>18.3</v>
      </c>
    </row>
    <row r="2519" spans="1:3" ht="15" customHeight="1" x14ac:dyDescent="0.25">
      <c r="A2519" t="s">
        <v>4820</v>
      </c>
      <c r="B2519">
        <v>18.3</v>
      </c>
      <c r="C2519">
        <v>0.05</v>
      </c>
    </row>
    <row r="2520" spans="1:3" ht="15" customHeight="1" x14ac:dyDescent="0.25">
      <c r="A2520" t="s">
        <v>4821</v>
      </c>
      <c r="B2520">
        <v>18.3</v>
      </c>
      <c r="C2520">
        <v>0.05</v>
      </c>
    </row>
    <row r="2521" spans="1:3" ht="15" customHeight="1" x14ac:dyDescent="0.25">
      <c r="A2521" t="s">
        <v>4822</v>
      </c>
      <c r="B2521">
        <v>18.3</v>
      </c>
      <c r="C2521">
        <v>0.2</v>
      </c>
    </row>
    <row r="2522" spans="1:3" ht="15" customHeight="1" x14ac:dyDescent="0.25">
      <c r="A2522" t="s">
        <v>4823</v>
      </c>
      <c r="B2522">
        <v>18.3</v>
      </c>
    </row>
    <row r="2523" spans="1:3" ht="15" customHeight="1" x14ac:dyDescent="0.25">
      <c r="A2523" t="s">
        <v>4824</v>
      </c>
      <c r="B2523">
        <v>18.3</v>
      </c>
      <c r="C2523">
        <v>0.2</v>
      </c>
    </row>
    <row r="2524" spans="1:3" ht="15" customHeight="1" x14ac:dyDescent="0.25">
      <c r="A2524" t="s">
        <v>4825</v>
      </c>
      <c r="B2524">
        <v>18.3</v>
      </c>
      <c r="C2524">
        <v>0.2</v>
      </c>
    </row>
    <row r="2525" spans="1:3" ht="15" customHeight="1" x14ac:dyDescent="0.25">
      <c r="A2525" t="s">
        <v>4826</v>
      </c>
      <c r="B2525">
        <v>18.3</v>
      </c>
      <c r="C2525">
        <v>0.2</v>
      </c>
    </row>
    <row r="2526" spans="1:3" ht="15" customHeight="1" x14ac:dyDescent="0.25">
      <c r="A2526" t="s">
        <v>4827</v>
      </c>
      <c r="B2526">
        <v>18.3</v>
      </c>
      <c r="C2526">
        <v>0.2</v>
      </c>
    </row>
    <row r="2527" spans="1:3" ht="15" customHeight="1" x14ac:dyDescent="0.25">
      <c r="A2527" t="s">
        <v>4828</v>
      </c>
      <c r="B2527">
        <v>18.3</v>
      </c>
      <c r="C2527">
        <v>0.2</v>
      </c>
    </row>
    <row r="2528" spans="1:3" ht="15" customHeight="1" x14ac:dyDescent="0.25">
      <c r="A2528" t="s">
        <v>4829</v>
      </c>
      <c r="B2528">
        <v>18.3</v>
      </c>
    </row>
    <row r="2529" spans="1:3" ht="15" customHeight="1" x14ac:dyDescent="0.25">
      <c r="A2529" t="s">
        <v>4830</v>
      </c>
      <c r="B2529">
        <v>18.3</v>
      </c>
    </row>
    <row r="2530" spans="1:3" ht="15" customHeight="1" x14ac:dyDescent="0.25">
      <c r="A2530" t="s">
        <v>4831</v>
      </c>
      <c r="B2530">
        <v>18.3</v>
      </c>
    </row>
    <row r="2531" spans="1:3" ht="15" customHeight="1" x14ac:dyDescent="0.25">
      <c r="A2531" t="s">
        <v>4832</v>
      </c>
      <c r="B2531">
        <v>18.3</v>
      </c>
    </row>
    <row r="2532" spans="1:3" ht="15" customHeight="1" x14ac:dyDescent="0.25">
      <c r="A2532" t="s">
        <v>4833</v>
      </c>
      <c r="B2532">
        <v>18</v>
      </c>
      <c r="C2532">
        <v>0.2</v>
      </c>
    </row>
    <row r="2533" spans="1:3" ht="15" customHeight="1" x14ac:dyDescent="0.25">
      <c r="A2533" t="s">
        <v>4834</v>
      </c>
      <c r="B2533">
        <v>18</v>
      </c>
      <c r="C2533">
        <v>0.2</v>
      </c>
    </row>
    <row r="2534" spans="1:3" ht="15" customHeight="1" x14ac:dyDescent="0.25">
      <c r="A2534" t="s">
        <v>4835</v>
      </c>
      <c r="B2534">
        <v>18</v>
      </c>
      <c r="C2534">
        <v>0.2</v>
      </c>
    </row>
    <row r="2535" spans="1:3" ht="15" customHeight="1" x14ac:dyDescent="0.25">
      <c r="A2535" t="s">
        <v>4836</v>
      </c>
      <c r="B2535">
        <v>18</v>
      </c>
      <c r="C2535">
        <v>0.2</v>
      </c>
    </row>
    <row r="2536" spans="1:3" ht="15" customHeight="1" x14ac:dyDescent="0.25">
      <c r="A2536" t="s">
        <v>4837</v>
      </c>
      <c r="B2536">
        <v>18.3</v>
      </c>
    </row>
    <row r="2537" spans="1:3" ht="15" customHeight="1" x14ac:dyDescent="0.25">
      <c r="A2537" t="s">
        <v>4838</v>
      </c>
      <c r="B2537">
        <v>18.3</v>
      </c>
    </row>
    <row r="2538" spans="1:3" ht="15" customHeight="1" x14ac:dyDescent="0.25">
      <c r="A2538" t="s">
        <v>4839</v>
      </c>
      <c r="B2538">
        <v>18.3</v>
      </c>
    </row>
    <row r="2539" spans="1:3" ht="15" customHeight="1" x14ac:dyDescent="0.25">
      <c r="A2539" t="s">
        <v>4840</v>
      </c>
      <c r="B2539">
        <v>18.3</v>
      </c>
    </row>
    <row r="2540" spans="1:3" ht="15" customHeight="1" x14ac:dyDescent="0.25">
      <c r="A2540" t="s">
        <v>4841</v>
      </c>
      <c r="B2540">
        <v>18.3</v>
      </c>
    </row>
    <row r="2541" spans="1:3" ht="15" customHeight="1" x14ac:dyDescent="0.25">
      <c r="A2541" t="s">
        <v>4842</v>
      </c>
      <c r="B2541">
        <v>18.3</v>
      </c>
    </row>
    <row r="2542" spans="1:3" ht="15" customHeight="1" x14ac:dyDescent="0.25">
      <c r="A2542" t="s">
        <v>4843</v>
      </c>
      <c r="B2542">
        <v>18.3</v>
      </c>
    </row>
    <row r="2543" spans="1:3" ht="15" customHeight="1" x14ac:dyDescent="0.25">
      <c r="A2543" t="s">
        <v>4844</v>
      </c>
      <c r="B2543">
        <v>18.3</v>
      </c>
    </row>
    <row r="2544" spans="1:3" ht="15" customHeight="1" x14ac:dyDescent="0.25">
      <c r="A2544" t="s">
        <v>4845</v>
      </c>
      <c r="B2544">
        <v>18.3</v>
      </c>
    </row>
    <row r="2545" spans="1:3" ht="15" customHeight="1" x14ac:dyDescent="0.25">
      <c r="A2545" t="s">
        <v>4846</v>
      </c>
      <c r="B2545">
        <v>18.3</v>
      </c>
    </row>
    <row r="2546" spans="1:3" ht="15" customHeight="1" x14ac:dyDescent="0.25">
      <c r="A2546" t="s">
        <v>4847</v>
      </c>
      <c r="B2546">
        <v>18.3</v>
      </c>
      <c r="C2546">
        <v>0.2</v>
      </c>
    </row>
    <row r="2547" spans="1:3" ht="15" customHeight="1" x14ac:dyDescent="0.25">
      <c r="A2547" t="s">
        <v>4848</v>
      </c>
      <c r="B2547">
        <v>18.3</v>
      </c>
      <c r="C2547">
        <v>0.2</v>
      </c>
    </row>
    <row r="2548" spans="1:3" ht="15" customHeight="1" x14ac:dyDescent="0.25">
      <c r="A2548" t="s">
        <v>4849</v>
      </c>
      <c r="B2548">
        <v>18.3</v>
      </c>
    </row>
    <row r="2549" spans="1:3" ht="15" customHeight="1" x14ac:dyDescent="0.25">
      <c r="A2549" t="s">
        <v>4850</v>
      </c>
      <c r="B2549">
        <v>18.3</v>
      </c>
      <c r="C2549">
        <v>0.2</v>
      </c>
    </row>
    <row r="2550" spans="1:3" ht="15" customHeight="1" x14ac:dyDescent="0.25">
      <c r="A2550" t="s">
        <v>4851</v>
      </c>
      <c r="B2550">
        <v>18.3</v>
      </c>
    </row>
    <row r="2551" spans="1:3" ht="15" customHeight="1" x14ac:dyDescent="0.25">
      <c r="A2551" t="s">
        <v>4852</v>
      </c>
      <c r="B2551">
        <v>18.3</v>
      </c>
    </row>
    <row r="2552" spans="1:3" ht="15" customHeight="1" x14ac:dyDescent="0.25">
      <c r="A2552" t="s">
        <v>4853</v>
      </c>
      <c r="B2552">
        <v>18.3</v>
      </c>
    </row>
    <row r="2553" spans="1:3" ht="15" customHeight="1" x14ac:dyDescent="0.25">
      <c r="A2553" t="s">
        <v>4854</v>
      </c>
      <c r="B2553">
        <v>18.3</v>
      </c>
    </row>
    <row r="2554" spans="1:3" ht="15" customHeight="1" x14ac:dyDescent="0.25">
      <c r="A2554" t="s">
        <v>4855</v>
      </c>
      <c r="B2554">
        <v>18.3</v>
      </c>
      <c r="C2554">
        <v>0.2</v>
      </c>
    </row>
    <row r="2555" spans="1:3" ht="15" customHeight="1" x14ac:dyDescent="0.25">
      <c r="A2555" t="s">
        <v>4856</v>
      </c>
      <c r="B2555">
        <v>18.3</v>
      </c>
    </row>
    <row r="2556" spans="1:3" ht="15" customHeight="1" x14ac:dyDescent="0.25">
      <c r="A2556" t="s">
        <v>4857</v>
      </c>
      <c r="B2556">
        <v>18.3</v>
      </c>
      <c r="C2556">
        <v>0.05</v>
      </c>
    </row>
    <row r="2557" spans="1:3" ht="15" customHeight="1" x14ac:dyDescent="0.25">
      <c r="A2557" t="s">
        <v>4858</v>
      </c>
      <c r="B2557">
        <v>18.3</v>
      </c>
      <c r="C2557">
        <v>0.2</v>
      </c>
    </row>
    <row r="2558" spans="1:3" ht="15" customHeight="1" x14ac:dyDescent="0.25">
      <c r="A2558" t="s">
        <v>4859</v>
      </c>
      <c r="B2558">
        <v>18.3</v>
      </c>
    </row>
    <row r="2559" spans="1:3" ht="15" customHeight="1" x14ac:dyDescent="0.25">
      <c r="A2559" t="s">
        <v>4860</v>
      </c>
      <c r="B2559">
        <v>18.3</v>
      </c>
    </row>
    <row r="2560" spans="1:3" ht="15" customHeight="1" x14ac:dyDescent="0.25">
      <c r="A2560" t="s">
        <v>4861</v>
      </c>
      <c r="B2560">
        <v>18.3</v>
      </c>
    </row>
    <row r="2561" spans="1:3" ht="15" customHeight="1" x14ac:dyDescent="0.25">
      <c r="A2561" t="s">
        <v>4862</v>
      </c>
      <c r="B2561">
        <v>18.3</v>
      </c>
    </row>
    <row r="2562" spans="1:3" ht="15" customHeight="1" x14ac:dyDescent="0.25">
      <c r="A2562" t="s">
        <v>4863</v>
      </c>
      <c r="B2562">
        <v>18.3</v>
      </c>
    </row>
    <row r="2563" spans="1:3" ht="15" customHeight="1" x14ac:dyDescent="0.25">
      <c r="A2563" t="s">
        <v>4864</v>
      </c>
      <c r="B2563">
        <v>18.3</v>
      </c>
    </row>
    <row r="2564" spans="1:3" ht="15" customHeight="1" x14ac:dyDescent="0.25">
      <c r="A2564" t="s">
        <v>4865</v>
      </c>
      <c r="B2564">
        <v>18.3</v>
      </c>
    </row>
    <row r="2565" spans="1:3" ht="15" customHeight="1" x14ac:dyDescent="0.25">
      <c r="A2565" t="s">
        <v>4866</v>
      </c>
      <c r="B2565">
        <v>18.3</v>
      </c>
    </row>
    <row r="2566" spans="1:3" ht="15" customHeight="1" x14ac:dyDescent="0.25">
      <c r="A2566" t="s">
        <v>4867</v>
      </c>
      <c r="B2566">
        <v>18.3</v>
      </c>
    </row>
    <row r="2567" spans="1:3" ht="15" customHeight="1" x14ac:dyDescent="0.25">
      <c r="A2567" t="s">
        <v>4868</v>
      </c>
      <c r="B2567">
        <v>18.3</v>
      </c>
      <c r="C2567">
        <v>0.2</v>
      </c>
    </row>
    <row r="2568" spans="1:3" ht="15" customHeight="1" x14ac:dyDescent="0.25">
      <c r="A2568" t="s">
        <v>4869</v>
      </c>
      <c r="B2568">
        <v>18.3</v>
      </c>
      <c r="C2568">
        <v>0.05</v>
      </c>
    </row>
    <row r="2569" spans="1:3" ht="15" customHeight="1" x14ac:dyDescent="0.25">
      <c r="A2569" t="s">
        <v>4870</v>
      </c>
      <c r="B2569">
        <v>18.3</v>
      </c>
      <c r="C2569">
        <v>0.1</v>
      </c>
    </row>
    <row r="2570" spans="1:3" ht="15" customHeight="1" x14ac:dyDescent="0.25">
      <c r="A2570" t="s">
        <v>4871</v>
      </c>
      <c r="B2570">
        <v>19</v>
      </c>
      <c r="C2570">
        <v>0.05</v>
      </c>
    </row>
    <row r="2571" spans="1:3" ht="15" customHeight="1" x14ac:dyDescent="0.25">
      <c r="A2571" t="s">
        <v>4872</v>
      </c>
      <c r="B2571">
        <v>19</v>
      </c>
      <c r="C2571">
        <v>0.05</v>
      </c>
    </row>
    <row r="2572" spans="1:3" ht="15" customHeight="1" x14ac:dyDescent="0.25">
      <c r="A2572" t="s">
        <v>4873</v>
      </c>
      <c r="B2572">
        <v>18.3</v>
      </c>
    </row>
    <row r="2573" spans="1:3" ht="15" customHeight="1" x14ac:dyDescent="0.25">
      <c r="A2573" t="s">
        <v>4874</v>
      </c>
      <c r="B2573">
        <v>18.3</v>
      </c>
    </row>
    <row r="2574" spans="1:3" ht="15" customHeight="1" x14ac:dyDescent="0.25">
      <c r="A2574" t="s">
        <v>4875</v>
      </c>
      <c r="B2574">
        <v>18.3</v>
      </c>
    </row>
    <row r="2575" spans="1:3" ht="15" customHeight="1" x14ac:dyDescent="0.25">
      <c r="A2575" t="s">
        <v>4876</v>
      </c>
      <c r="B2575">
        <v>18.3</v>
      </c>
    </row>
    <row r="2576" spans="1:3" ht="15" customHeight="1" x14ac:dyDescent="0.25">
      <c r="A2576" t="s">
        <v>4877</v>
      </c>
      <c r="B2576">
        <v>18.3</v>
      </c>
    </row>
    <row r="2577" spans="1:3" ht="15" customHeight="1" x14ac:dyDescent="0.25">
      <c r="A2577" t="s">
        <v>4878</v>
      </c>
      <c r="B2577">
        <v>18.3</v>
      </c>
    </row>
    <row r="2578" spans="1:3" ht="15" customHeight="1" x14ac:dyDescent="0.25">
      <c r="A2578" t="s">
        <v>4879</v>
      </c>
      <c r="B2578">
        <v>18.3</v>
      </c>
    </row>
    <row r="2579" spans="1:3" ht="15" customHeight="1" x14ac:dyDescent="0.25">
      <c r="A2579" t="s">
        <v>4880</v>
      </c>
      <c r="B2579">
        <v>18.3</v>
      </c>
      <c r="C2579">
        <v>0.05</v>
      </c>
    </row>
    <row r="2580" spans="1:3" ht="15" customHeight="1" x14ac:dyDescent="0.25">
      <c r="A2580" t="s">
        <v>4881</v>
      </c>
      <c r="B2580">
        <v>18.3</v>
      </c>
    </row>
    <row r="2581" spans="1:3" ht="15" customHeight="1" x14ac:dyDescent="0.25">
      <c r="A2581" t="s">
        <v>4882</v>
      </c>
      <c r="B2581">
        <v>18.3</v>
      </c>
    </row>
    <row r="2582" spans="1:3" ht="15" customHeight="1" x14ac:dyDescent="0.25">
      <c r="A2582" t="s">
        <v>4883</v>
      </c>
      <c r="B2582">
        <v>18.3</v>
      </c>
    </row>
    <row r="2583" spans="1:3" ht="15" customHeight="1" x14ac:dyDescent="0.25">
      <c r="A2583" t="s">
        <v>4884</v>
      </c>
      <c r="B2583">
        <v>18.3</v>
      </c>
    </row>
    <row r="2584" spans="1:3" ht="15" customHeight="1" x14ac:dyDescent="0.25">
      <c r="A2584" t="s">
        <v>4885</v>
      </c>
      <c r="B2584">
        <v>18.3</v>
      </c>
    </row>
    <row r="2585" spans="1:3" ht="15" customHeight="1" x14ac:dyDescent="0.25">
      <c r="A2585" t="s">
        <v>4886</v>
      </c>
      <c r="B2585">
        <v>18.3</v>
      </c>
      <c r="C2585">
        <v>0.2</v>
      </c>
    </row>
    <row r="2586" spans="1:3" ht="15" customHeight="1" x14ac:dyDescent="0.25">
      <c r="A2586" t="s">
        <v>4887</v>
      </c>
      <c r="B2586">
        <v>18.3</v>
      </c>
      <c r="C2586">
        <v>0.2</v>
      </c>
    </row>
    <row r="2587" spans="1:3" ht="15" customHeight="1" x14ac:dyDescent="0.25">
      <c r="A2587" t="s">
        <v>4888</v>
      </c>
      <c r="B2587">
        <v>18.3</v>
      </c>
      <c r="C2587">
        <v>0.2</v>
      </c>
    </row>
    <row r="2588" spans="1:3" ht="15" customHeight="1" x14ac:dyDescent="0.25">
      <c r="A2588" t="s">
        <v>4889</v>
      </c>
      <c r="B2588">
        <v>18.3</v>
      </c>
      <c r="C2588">
        <v>0.2</v>
      </c>
    </row>
    <row r="2589" spans="1:3" ht="15" customHeight="1" x14ac:dyDescent="0.25">
      <c r="A2589" t="s">
        <v>4890</v>
      </c>
      <c r="B2589">
        <v>18.3</v>
      </c>
      <c r="C2589">
        <v>0.2</v>
      </c>
    </row>
    <row r="2590" spans="1:3" ht="15" customHeight="1" x14ac:dyDescent="0.25">
      <c r="A2590" t="s">
        <v>4891</v>
      </c>
      <c r="B2590">
        <v>18.3</v>
      </c>
      <c r="C2590">
        <v>0.2</v>
      </c>
    </row>
    <row r="2591" spans="1:3" ht="15" customHeight="1" x14ac:dyDescent="0.25">
      <c r="A2591" t="s">
        <v>4892</v>
      </c>
      <c r="B2591">
        <v>18.3</v>
      </c>
    </row>
    <row r="2592" spans="1:3" ht="15" customHeight="1" x14ac:dyDescent="0.25">
      <c r="A2592" t="s">
        <v>4893</v>
      </c>
      <c r="B2592">
        <v>18.3</v>
      </c>
    </row>
    <row r="2593" spans="1:3" ht="15" customHeight="1" x14ac:dyDescent="0.25">
      <c r="A2593" t="s">
        <v>4894</v>
      </c>
      <c r="B2593">
        <v>18.3</v>
      </c>
    </row>
    <row r="2594" spans="1:3" ht="15" customHeight="1" x14ac:dyDescent="0.25">
      <c r="A2594" t="s">
        <v>4895</v>
      </c>
      <c r="B2594">
        <v>18.3</v>
      </c>
      <c r="C2594">
        <v>0.2</v>
      </c>
    </row>
    <row r="2595" spans="1:3" ht="15" customHeight="1" x14ac:dyDescent="0.25">
      <c r="A2595" t="s">
        <v>4896</v>
      </c>
      <c r="B2595">
        <v>18.3</v>
      </c>
    </row>
    <row r="2596" spans="1:3" ht="15" customHeight="1" x14ac:dyDescent="0.25">
      <c r="A2596" t="s">
        <v>4897</v>
      </c>
      <c r="B2596">
        <v>18.3</v>
      </c>
    </row>
    <row r="2597" spans="1:3" ht="15" customHeight="1" x14ac:dyDescent="0.25">
      <c r="A2597" t="s">
        <v>4898</v>
      </c>
      <c r="B2597">
        <v>18.3</v>
      </c>
    </row>
    <row r="2598" spans="1:3" ht="15" customHeight="1" x14ac:dyDescent="0.25">
      <c r="A2598" t="s">
        <v>4899</v>
      </c>
      <c r="B2598">
        <v>18.3</v>
      </c>
    </row>
    <row r="2599" spans="1:3" ht="15" customHeight="1" x14ac:dyDescent="0.25">
      <c r="A2599" t="s">
        <v>4900</v>
      </c>
      <c r="B2599">
        <v>18.3</v>
      </c>
    </row>
    <row r="2600" spans="1:3" ht="15" customHeight="1" x14ac:dyDescent="0.25">
      <c r="A2600" t="s">
        <v>4901</v>
      </c>
      <c r="B2600">
        <v>18.3</v>
      </c>
      <c r="C2600">
        <v>0.2</v>
      </c>
    </row>
    <row r="2601" spans="1:3" ht="15" customHeight="1" x14ac:dyDescent="0.25">
      <c r="A2601" t="s">
        <v>4902</v>
      </c>
      <c r="B2601">
        <v>18.3</v>
      </c>
      <c r="C2601">
        <v>0.2</v>
      </c>
    </row>
    <row r="2602" spans="1:3" ht="15" customHeight="1" x14ac:dyDescent="0.25">
      <c r="A2602" t="s">
        <v>4903</v>
      </c>
      <c r="B2602">
        <v>18.3</v>
      </c>
      <c r="C2602">
        <v>0.2</v>
      </c>
    </row>
    <row r="2603" spans="1:3" ht="15" customHeight="1" x14ac:dyDescent="0.25">
      <c r="A2603" t="s">
        <v>4904</v>
      </c>
      <c r="B2603">
        <v>18.3</v>
      </c>
      <c r="C2603">
        <v>0.2</v>
      </c>
    </row>
    <row r="2604" spans="1:3" ht="15" customHeight="1" x14ac:dyDescent="0.25">
      <c r="A2604" t="s">
        <v>4905</v>
      </c>
      <c r="B2604">
        <v>18.3</v>
      </c>
      <c r="C2604">
        <v>0.2</v>
      </c>
    </row>
    <row r="2605" spans="1:3" ht="15" customHeight="1" x14ac:dyDescent="0.25">
      <c r="A2605" t="s">
        <v>4906</v>
      </c>
      <c r="B2605">
        <v>18.3</v>
      </c>
      <c r="C2605">
        <v>0.2</v>
      </c>
    </row>
    <row r="2606" spans="1:3" ht="15" customHeight="1" x14ac:dyDescent="0.25">
      <c r="A2606" t="s">
        <v>4907</v>
      </c>
      <c r="B2606">
        <v>18.3</v>
      </c>
      <c r="C2606">
        <v>0.2</v>
      </c>
    </row>
    <row r="2607" spans="1:3" ht="15" customHeight="1" x14ac:dyDescent="0.25">
      <c r="A2607" t="s">
        <v>4908</v>
      </c>
      <c r="B2607">
        <v>18.3</v>
      </c>
      <c r="C2607">
        <v>0.2</v>
      </c>
    </row>
    <row r="2608" spans="1:3" ht="15" customHeight="1" x14ac:dyDescent="0.25">
      <c r="A2608" t="s">
        <v>4909</v>
      </c>
      <c r="B2608">
        <v>18.3</v>
      </c>
      <c r="C2608">
        <v>0.2</v>
      </c>
    </row>
    <row r="2609" spans="1:3" ht="15" customHeight="1" x14ac:dyDescent="0.25">
      <c r="A2609" t="s">
        <v>4910</v>
      </c>
      <c r="B2609">
        <v>18.3</v>
      </c>
      <c r="C2609">
        <v>0.2</v>
      </c>
    </row>
    <row r="2610" spans="1:3" ht="15" customHeight="1" x14ac:dyDescent="0.25">
      <c r="A2610" t="s">
        <v>4911</v>
      </c>
      <c r="B2610">
        <v>18.3</v>
      </c>
      <c r="C2610">
        <v>0.2</v>
      </c>
    </row>
    <row r="2611" spans="1:3" ht="15" customHeight="1" x14ac:dyDescent="0.25">
      <c r="A2611" t="s">
        <v>4912</v>
      </c>
      <c r="B2611">
        <v>18.3</v>
      </c>
      <c r="C2611">
        <v>0.2</v>
      </c>
    </row>
    <row r="2612" spans="1:3" ht="15" customHeight="1" x14ac:dyDescent="0.25">
      <c r="A2612" t="s">
        <v>4913</v>
      </c>
      <c r="B2612">
        <v>18.3</v>
      </c>
      <c r="C2612">
        <v>0.2</v>
      </c>
    </row>
    <row r="2613" spans="1:3" ht="15" customHeight="1" x14ac:dyDescent="0.25">
      <c r="A2613" t="s">
        <v>4914</v>
      </c>
      <c r="B2613">
        <v>18.3</v>
      </c>
      <c r="C2613">
        <v>0.2</v>
      </c>
    </row>
    <row r="2614" spans="1:3" ht="15" customHeight="1" x14ac:dyDescent="0.25">
      <c r="A2614" t="s">
        <v>4915</v>
      </c>
      <c r="B2614">
        <v>18.3</v>
      </c>
    </row>
    <row r="2615" spans="1:3" ht="15" customHeight="1" x14ac:dyDescent="0.25">
      <c r="A2615" t="s">
        <v>4916</v>
      </c>
      <c r="B2615">
        <v>18.3</v>
      </c>
    </row>
    <row r="2616" spans="1:3" ht="15" customHeight="1" x14ac:dyDescent="0.25">
      <c r="A2616" t="s">
        <v>4917</v>
      </c>
      <c r="B2616">
        <v>18.3</v>
      </c>
    </row>
    <row r="2617" spans="1:3" ht="15" customHeight="1" x14ac:dyDescent="0.25">
      <c r="A2617" t="s">
        <v>4918</v>
      </c>
      <c r="B2617">
        <v>18.3</v>
      </c>
    </row>
    <row r="2618" spans="1:3" ht="15" customHeight="1" x14ac:dyDescent="0.25">
      <c r="A2618" t="s">
        <v>4919</v>
      </c>
      <c r="B2618">
        <v>18.3</v>
      </c>
      <c r="C2618">
        <v>0.2</v>
      </c>
    </row>
    <row r="2619" spans="1:3" ht="15" customHeight="1" x14ac:dyDescent="0.25">
      <c r="A2619" t="s">
        <v>4920</v>
      </c>
      <c r="B2619">
        <v>18.3</v>
      </c>
      <c r="C2619">
        <v>0.2</v>
      </c>
    </row>
    <row r="2620" spans="1:3" ht="15" customHeight="1" x14ac:dyDescent="0.25">
      <c r="A2620" t="s">
        <v>4921</v>
      </c>
      <c r="B2620">
        <v>18.3</v>
      </c>
      <c r="C2620">
        <v>0.2</v>
      </c>
    </row>
    <row r="2621" spans="1:3" ht="15" customHeight="1" x14ac:dyDescent="0.25">
      <c r="A2621" t="s">
        <v>4922</v>
      </c>
      <c r="B2621">
        <v>18.3</v>
      </c>
      <c r="C2621">
        <v>0.2</v>
      </c>
    </row>
    <row r="2622" spans="1:3" ht="15" customHeight="1" x14ac:dyDescent="0.25">
      <c r="A2622" t="s">
        <v>4923</v>
      </c>
      <c r="B2622">
        <v>18.3</v>
      </c>
      <c r="C2622">
        <v>0.2</v>
      </c>
    </row>
    <row r="2623" spans="1:3" ht="15" customHeight="1" x14ac:dyDescent="0.25">
      <c r="A2623" t="s">
        <v>4924</v>
      </c>
      <c r="B2623">
        <v>18.3</v>
      </c>
      <c r="C2623">
        <v>0.2</v>
      </c>
    </row>
    <row r="2624" spans="1:3" ht="15" customHeight="1" x14ac:dyDescent="0.25">
      <c r="A2624" t="s">
        <v>4925</v>
      </c>
      <c r="B2624">
        <v>18.3</v>
      </c>
      <c r="C2624">
        <v>0.2</v>
      </c>
    </row>
    <row r="2625" spans="1:3" ht="15" customHeight="1" x14ac:dyDescent="0.25">
      <c r="A2625" t="s">
        <v>4926</v>
      </c>
      <c r="B2625">
        <v>18.3</v>
      </c>
      <c r="C2625">
        <v>0.2</v>
      </c>
    </row>
    <row r="2626" spans="1:3" ht="15" customHeight="1" x14ac:dyDescent="0.25">
      <c r="A2626" t="s">
        <v>4927</v>
      </c>
      <c r="B2626">
        <v>18.3</v>
      </c>
      <c r="C2626">
        <v>0.2</v>
      </c>
    </row>
    <row r="2627" spans="1:3" ht="15" customHeight="1" x14ac:dyDescent="0.25">
      <c r="A2627" t="s">
        <v>4928</v>
      </c>
      <c r="B2627">
        <v>18.3</v>
      </c>
      <c r="C2627">
        <v>0.2</v>
      </c>
    </row>
    <row r="2628" spans="1:3" ht="15" customHeight="1" x14ac:dyDescent="0.25">
      <c r="A2628" t="s">
        <v>4929</v>
      </c>
      <c r="B2628">
        <v>18.3</v>
      </c>
      <c r="C2628">
        <v>0.2</v>
      </c>
    </row>
    <row r="2629" spans="1:3" ht="15" customHeight="1" x14ac:dyDescent="0.25">
      <c r="A2629" t="s">
        <v>4930</v>
      </c>
      <c r="B2629">
        <v>18.3</v>
      </c>
      <c r="C2629">
        <v>0.2</v>
      </c>
    </row>
    <row r="2630" spans="1:3" ht="15" customHeight="1" x14ac:dyDescent="0.25">
      <c r="A2630" t="s">
        <v>4931</v>
      </c>
      <c r="B2630">
        <v>18.3</v>
      </c>
      <c r="C2630">
        <v>0.2</v>
      </c>
    </row>
    <row r="2631" spans="1:3" ht="15" customHeight="1" x14ac:dyDescent="0.25">
      <c r="A2631" t="s">
        <v>4932</v>
      </c>
      <c r="B2631">
        <v>18.3</v>
      </c>
      <c r="C2631">
        <v>0.2</v>
      </c>
    </row>
    <row r="2632" spans="1:3" ht="15" customHeight="1" x14ac:dyDescent="0.25">
      <c r="A2632" t="s">
        <v>4933</v>
      </c>
      <c r="B2632">
        <v>18.3</v>
      </c>
      <c r="C2632">
        <v>0.2</v>
      </c>
    </row>
    <row r="2633" spans="1:3" ht="15" customHeight="1" x14ac:dyDescent="0.25">
      <c r="A2633" t="s">
        <v>4934</v>
      </c>
      <c r="B2633">
        <v>18.3</v>
      </c>
      <c r="C2633">
        <v>0.2</v>
      </c>
    </row>
    <row r="2634" spans="1:3" ht="15" customHeight="1" x14ac:dyDescent="0.25">
      <c r="A2634" t="s">
        <v>4935</v>
      </c>
      <c r="B2634">
        <v>18.3</v>
      </c>
    </row>
    <row r="2635" spans="1:3" ht="15" customHeight="1" x14ac:dyDescent="0.25">
      <c r="A2635" t="s">
        <v>4936</v>
      </c>
      <c r="B2635">
        <v>18.3</v>
      </c>
      <c r="C2635">
        <v>0.2</v>
      </c>
    </row>
    <row r="2636" spans="1:3" ht="15" customHeight="1" x14ac:dyDescent="0.25">
      <c r="A2636" t="s">
        <v>4937</v>
      </c>
      <c r="B2636">
        <v>18.3</v>
      </c>
      <c r="C2636">
        <v>0.2</v>
      </c>
    </row>
    <row r="2637" spans="1:3" ht="15" customHeight="1" x14ac:dyDescent="0.25">
      <c r="A2637" t="s">
        <v>4938</v>
      </c>
      <c r="B2637">
        <v>18.3</v>
      </c>
      <c r="C2637">
        <v>0.2</v>
      </c>
    </row>
    <row r="2638" spans="1:3" ht="15" customHeight="1" x14ac:dyDescent="0.25">
      <c r="A2638" t="s">
        <v>4939</v>
      </c>
      <c r="B2638">
        <v>18.3</v>
      </c>
      <c r="C2638">
        <v>0.2</v>
      </c>
    </row>
    <row r="2639" spans="1:3" ht="15" customHeight="1" x14ac:dyDescent="0.25">
      <c r="A2639" t="s">
        <v>4940</v>
      </c>
      <c r="B2639">
        <v>18.3</v>
      </c>
      <c r="C2639">
        <v>0.2</v>
      </c>
    </row>
    <row r="2640" spans="1:3" ht="15" customHeight="1" x14ac:dyDescent="0.25">
      <c r="A2640" t="s">
        <v>4941</v>
      </c>
      <c r="B2640">
        <v>18.3</v>
      </c>
      <c r="C2640">
        <v>0.2</v>
      </c>
    </row>
    <row r="2641" spans="1:3" ht="15" customHeight="1" x14ac:dyDescent="0.25">
      <c r="A2641" t="s">
        <v>4942</v>
      </c>
      <c r="B2641">
        <v>18.3</v>
      </c>
      <c r="C2641">
        <v>0.2</v>
      </c>
    </row>
    <row r="2642" spans="1:3" ht="15" customHeight="1" x14ac:dyDescent="0.25">
      <c r="A2642" t="s">
        <v>4943</v>
      </c>
      <c r="B2642">
        <v>18.3</v>
      </c>
      <c r="C2642">
        <v>0.2</v>
      </c>
    </row>
    <row r="2643" spans="1:3" ht="15" customHeight="1" x14ac:dyDescent="0.25">
      <c r="A2643" t="s">
        <v>4944</v>
      </c>
      <c r="B2643">
        <v>18.3</v>
      </c>
    </row>
    <row r="2644" spans="1:3" ht="15" customHeight="1" x14ac:dyDescent="0.25">
      <c r="A2644" t="s">
        <v>4945</v>
      </c>
      <c r="B2644">
        <v>18.3</v>
      </c>
    </row>
    <row r="2645" spans="1:3" ht="15" customHeight="1" x14ac:dyDescent="0.25">
      <c r="A2645" t="s">
        <v>4946</v>
      </c>
      <c r="B2645">
        <v>18.3</v>
      </c>
    </row>
    <row r="2646" spans="1:3" ht="15" customHeight="1" x14ac:dyDescent="0.25">
      <c r="A2646" t="s">
        <v>4947</v>
      </c>
      <c r="B2646">
        <v>18.3</v>
      </c>
    </row>
    <row r="2647" spans="1:3" ht="15" customHeight="1" x14ac:dyDescent="0.25">
      <c r="A2647" t="s">
        <v>4948</v>
      </c>
      <c r="B2647">
        <v>18.3</v>
      </c>
    </row>
    <row r="2648" spans="1:3" ht="15" customHeight="1" x14ac:dyDescent="0.25">
      <c r="A2648" t="s">
        <v>4949</v>
      </c>
      <c r="B2648">
        <v>18.3</v>
      </c>
      <c r="C2648">
        <v>0.2</v>
      </c>
    </row>
    <row r="2649" spans="1:3" ht="15" customHeight="1" x14ac:dyDescent="0.25">
      <c r="A2649" t="s">
        <v>4950</v>
      </c>
      <c r="B2649">
        <v>18.3</v>
      </c>
      <c r="C2649">
        <v>0.2</v>
      </c>
    </row>
    <row r="2650" spans="1:3" ht="15" customHeight="1" x14ac:dyDescent="0.25">
      <c r="A2650" t="s">
        <v>4951</v>
      </c>
      <c r="B2650">
        <v>18.3</v>
      </c>
    </row>
    <row r="2651" spans="1:3" ht="15" customHeight="1" x14ac:dyDescent="0.25">
      <c r="A2651" t="s">
        <v>4952</v>
      </c>
      <c r="B2651">
        <v>18.3</v>
      </c>
    </row>
    <row r="2652" spans="1:3" ht="15" customHeight="1" x14ac:dyDescent="0.25">
      <c r="A2652" t="s">
        <v>4953</v>
      </c>
      <c r="B2652">
        <v>18.3</v>
      </c>
      <c r="C2652">
        <v>0.2</v>
      </c>
    </row>
    <row r="2653" spans="1:3" ht="15" customHeight="1" x14ac:dyDescent="0.25">
      <c r="A2653" t="s">
        <v>4954</v>
      </c>
      <c r="B2653">
        <v>18.3</v>
      </c>
      <c r="C2653">
        <v>0.2</v>
      </c>
    </row>
    <row r="2654" spans="1:3" ht="15" customHeight="1" x14ac:dyDescent="0.25">
      <c r="A2654" t="s">
        <v>4955</v>
      </c>
      <c r="B2654">
        <v>18.3</v>
      </c>
      <c r="C2654">
        <v>0.2</v>
      </c>
    </row>
    <row r="2655" spans="1:3" ht="15" customHeight="1" x14ac:dyDescent="0.25">
      <c r="A2655" t="s">
        <v>4956</v>
      </c>
      <c r="B2655">
        <v>18.3</v>
      </c>
      <c r="C2655">
        <v>0.2</v>
      </c>
    </row>
    <row r="2656" spans="1:3" ht="15" customHeight="1" x14ac:dyDescent="0.25">
      <c r="A2656" t="s">
        <v>4957</v>
      </c>
      <c r="B2656">
        <v>18.3</v>
      </c>
    </row>
    <row r="2657" spans="1:3" ht="15" customHeight="1" x14ac:dyDescent="0.25">
      <c r="A2657" t="s">
        <v>4958</v>
      </c>
      <c r="B2657">
        <v>18.3</v>
      </c>
      <c r="C2657">
        <v>0.2</v>
      </c>
    </row>
    <row r="2658" spans="1:3" ht="15" customHeight="1" x14ac:dyDescent="0.25">
      <c r="A2658" t="s">
        <v>4959</v>
      </c>
      <c r="B2658">
        <v>18.3</v>
      </c>
    </row>
    <row r="2659" spans="1:3" ht="15" customHeight="1" x14ac:dyDescent="0.25">
      <c r="A2659" t="s">
        <v>4960</v>
      </c>
      <c r="B2659">
        <v>18.3</v>
      </c>
    </row>
    <row r="2660" spans="1:3" ht="15" customHeight="1" x14ac:dyDescent="0.25">
      <c r="A2660" t="s">
        <v>4961</v>
      </c>
      <c r="B2660">
        <v>18.3</v>
      </c>
    </row>
    <row r="2661" spans="1:3" ht="15" customHeight="1" x14ac:dyDescent="0.25">
      <c r="A2661" t="s">
        <v>4962</v>
      </c>
      <c r="B2661">
        <v>18.3</v>
      </c>
    </row>
    <row r="2662" spans="1:3" ht="15" customHeight="1" x14ac:dyDescent="0.25">
      <c r="A2662" t="s">
        <v>4963</v>
      </c>
      <c r="B2662">
        <v>18.3</v>
      </c>
    </row>
    <row r="2663" spans="1:3" ht="15" customHeight="1" x14ac:dyDescent="0.25">
      <c r="A2663" t="s">
        <v>4964</v>
      </c>
      <c r="B2663">
        <v>18.3</v>
      </c>
    </row>
    <row r="2664" spans="1:3" ht="15" customHeight="1" x14ac:dyDescent="0.25">
      <c r="A2664" t="s">
        <v>4965</v>
      </c>
      <c r="B2664">
        <v>18.3</v>
      </c>
    </row>
    <row r="2665" spans="1:3" ht="15" customHeight="1" x14ac:dyDescent="0.25">
      <c r="A2665" t="s">
        <v>4966</v>
      </c>
      <c r="B2665">
        <v>18.3</v>
      </c>
    </row>
    <row r="2666" spans="1:3" ht="15" customHeight="1" x14ac:dyDescent="0.25">
      <c r="A2666" t="s">
        <v>4967</v>
      </c>
      <c r="B2666">
        <v>18.3</v>
      </c>
    </row>
    <row r="2667" spans="1:3" ht="15" customHeight="1" x14ac:dyDescent="0.25">
      <c r="A2667" t="s">
        <v>4968</v>
      </c>
      <c r="B2667">
        <v>18.3</v>
      </c>
    </row>
    <row r="2668" spans="1:3" ht="15" customHeight="1" x14ac:dyDescent="0.25">
      <c r="A2668" t="s">
        <v>4969</v>
      </c>
      <c r="B2668">
        <v>18.3</v>
      </c>
    </row>
    <row r="2669" spans="1:3" ht="15" customHeight="1" x14ac:dyDescent="0.25">
      <c r="A2669" t="s">
        <v>4970</v>
      </c>
      <c r="B2669">
        <v>18.3</v>
      </c>
    </row>
    <row r="2670" spans="1:3" ht="15" customHeight="1" x14ac:dyDescent="0.25">
      <c r="A2670" t="s">
        <v>4971</v>
      </c>
      <c r="B2670">
        <v>18.3</v>
      </c>
    </row>
    <row r="2671" spans="1:3" ht="15" customHeight="1" x14ac:dyDescent="0.25">
      <c r="A2671" t="s">
        <v>4972</v>
      </c>
      <c r="B2671">
        <v>18.3</v>
      </c>
      <c r="C2671">
        <v>0.2</v>
      </c>
    </row>
    <row r="2672" spans="1:3" ht="15" customHeight="1" x14ac:dyDescent="0.25">
      <c r="A2672" t="s">
        <v>4973</v>
      </c>
      <c r="B2672">
        <v>18.3</v>
      </c>
      <c r="C2672">
        <v>0.2</v>
      </c>
    </row>
    <row r="2673" spans="1:3" ht="15" customHeight="1" x14ac:dyDescent="0.25">
      <c r="A2673" t="s">
        <v>4974</v>
      </c>
      <c r="B2673">
        <v>18.3</v>
      </c>
    </row>
    <row r="2674" spans="1:3" ht="15" customHeight="1" x14ac:dyDescent="0.25">
      <c r="A2674" t="s">
        <v>4975</v>
      </c>
      <c r="B2674">
        <v>18.3</v>
      </c>
    </row>
    <row r="2675" spans="1:3" ht="15" customHeight="1" x14ac:dyDescent="0.25">
      <c r="A2675" t="s">
        <v>4976</v>
      </c>
      <c r="B2675">
        <v>18.3</v>
      </c>
      <c r="C2675">
        <v>0.2</v>
      </c>
    </row>
    <row r="2676" spans="1:3" ht="15" customHeight="1" x14ac:dyDescent="0.25">
      <c r="A2676" t="s">
        <v>4977</v>
      </c>
      <c r="B2676">
        <v>18.3</v>
      </c>
      <c r="C2676">
        <v>0.2</v>
      </c>
    </row>
    <row r="2677" spans="1:3" ht="15" customHeight="1" x14ac:dyDescent="0.25">
      <c r="A2677" t="s">
        <v>4978</v>
      </c>
      <c r="B2677">
        <v>18.3</v>
      </c>
    </row>
    <row r="2678" spans="1:3" ht="15" customHeight="1" x14ac:dyDescent="0.25">
      <c r="A2678" t="s">
        <v>4979</v>
      </c>
      <c r="B2678">
        <v>18.3</v>
      </c>
    </row>
    <row r="2679" spans="1:3" ht="15" customHeight="1" x14ac:dyDescent="0.25">
      <c r="A2679" t="s">
        <v>4980</v>
      </c>
      <c r="B2679">
        <v>18.3</v>
      </c>
    </row>
    <row r="2680" spans="1:3" ht="15" customHeight="1" x14ac:dyDescent="0.25">
      <c r="A2680" t="s">
        <v>4981</v>
      </c>
      <c r="B2680">
        <v>18.3</v>
      </c>
    </row>
    <row r="2681" spans="1:3" ht="15" customHeight="1" x14ac:dyDescent="0.25">
      <c r="A2681" t="s">
        <v>4982</v>
      </c>
      <c r="B2681">
        <v>18.3</v>
      </c>
    </row>
    <row r="2682" spans="1:3" ht="15" customHeight="1" x14ac:dyDescent="0.25">
      <c r="A2682" t="s">
        <v>4983</v>
      </c>
      <c r="B2682">
        <v>18.3</v>
      </c>
      <c r="C2682">
        <v>0.2</v>
      </c>
    </row>
    <row r="2683" spans="1:3" ht="15" customHeight="1" x14ac:dyDescent="0.25">
      <c r="A2683" t="s">
        <v>4984</v>
      </c>
      <c r="B2683">
        <v>18.3</v>
      </c>
      <c r="C2683">
        <v>0.2</v>
      </c>
    </row>
    <row r="2684" spans="1:3" ht="15" customHeight="1" x14ac:dyDescent="0.25">
      <c r="A2684" t="s">
        <v>4985</v>
      </c>
      <c r="B2684">
        <v>18.3</v>
      </c>
      <c r="C2684">
        <v>0.2</v>
      </c>
    </row>
    <row r="2685" spans="1:3" ht="15" customHeight="1" x14ac:dyDescent="0.25">
      <c r="A2685" t="s">
        <v>4986</v>
      </c>
      <c r="B2685">
        <v>18.3</v>
      </c>
    </row>
    <row r="2686" spans="1:3" ht="15" customHeight="1" x14ac:dyDescent="0.25">
      <c r="A2686" t="s">
        <v>4987</v>
      </c>
      <c r="B2686">
        <v>18.3</v>
      </c>
      <c r="C2686">
        <v>0.2</v>
      </c>
    </row>
    <row r="2687" spans="1:3" ht="15" customHeight="1" x14ac:dyDescent="0.25">
      <c r="A2687" t="s">
        <v>4988</v>
      </c>
      <c r="B2687">
        <v>18.3</v>
      </c>
      <c r="C2687">
        <v>0.2</v>
      </c>
    </row>
    <row r="2688" spans="1:3" ht="15" customHeight="1" x14ac:dyDescent="0.25">
      <c r="A2688" t="s">
        <v>4989</v>
      </c>
      <c r="B2688">
        <v>18.3</v>
      </c>
    </row>
    <row r="2689" spans="1:3" ht="15" customHeight="1" x14ac:dyDescent="0.25">
      <c r="A2689" t="s">
        <v>4990</v>
      </c>
      <c r="B2689">
        <v>18.3</v>
      </c>
      <c r="C2689">
        <v>0.2</v>
      </c>
    </row>
    <row r="2690" spans="1:3" ht="15" customHeight="1" x14ac:dyDescent="0.25">
      <c r="A2690" t="s">
        <v>4991</v>
      </c>
      <c r="B2690">
        <v>18.3</v>
      </c>
      <c r="C2690">
        <v>0.2</v>
      </c>
    </row>
    <row r="2691" spans="1:3" ht="15" customHeight="1" x14ac:dyDescent="0.25">
      <c r="A2691" t="s">
        <v>4992</v>
      </c>
      <c r="B2691">
        <v>18.3</v>
      </c>
      <c r="C2691">
        <v>0.2</v>
      </c>
    </row>
    <row r="2692" spans="1:3" ht="15" customHeight="1" x14ac:dyDescent="0.25">
      <c r="A2692" t="s">
        <v>4993</v>
      </c>
      <c r="B2692">
        <v>18.3</v>
      </c>
      <c r="C2692">
        <v>0.2</v>
      </c>
    </row>
    <row r="2693" spans="1:3" ht="15" customHeight="1" x14ac:dyDescent="0.25">
      <c r="A2693" t="s">
        <v>4994</v>
      </c>
      <c r="B2693">
        <v>18.3</v>
      </c>
      <c r="C2693">
        <v>0.2</v>
      </c>
    </row>
    <row r="2694" spans="1:3" ht="15" customHeight="1" x14ac:dyDescent="0.25">
      <c r="A2694" t="s">
        <v>4995</v>
      </c>
      <c r="B2694">
        <v>18.3</v>
      </c>
      <c r="C2694">
        <v>0.2</v>
      </c>
    </row>
    <row r="2695" spans="1:3" ht="15" customHeight="1" x14ac:dyDescent="0.25">
      <c r="A2695" t="s">
        <v>4996</v>
      </c>
      <c r="B2695">
        <v>18.3</v>
      </c>
      <c r="C2695">
        <v>0.2</v>
      </c>
    </row>
    <row r="2696" spans="1:3" ht="15" customHeight="1" x14ac:dyDescent="0.25">
      <c r="A2696" t="s">
        <v>4997</v>
      </c>
      <c r="B2696">
        <v>18.3</v>
      </c>
      <c r="C2696">
        <v>0.2</v>
      </c>
    </row>
    <row r="2697" spans="1:3" ht="15" customHeight="1" x14ac:dyDescent="0.25">
      <c r="A2697" t="s">
        <v>4998</v>
      </c>
      <c r="B2697">
        <v>18.3</v>
      </c>
      <c r="C2697">
        <v>0.2</v>
      </c>
    </row>
    <row r="2698" spans="1:3" ht="15" customHeight="1" x14ac:dyDescent="0.25">
      <c r="A2698" t="s">
        <v>4999</v>
      </c>
      <c r="B2698">
        <v>18.3</v>
      </c>
      <c r="C2698">
        <v>0.2</v>
      </c>
    </row>
    <row r="2699" spans="1:3" ht="15" customHeight="1" x14ac:dyDescent="0.25">
      <c r="A2699" t="s">
        <v>5000</v>
      </c>
      <c r="B2699">
        <v>18.3</v>
      </c>
      <c r="C2699">
        <v>0.2</v>
      </c>
    </row>
    <row r="2700" spans="1:3" ht="15" customHeight="1" x14ac:dyDescent="0.25">
      <c r="A2700" t="s">
        <v>5001</v>
      </c>
      <c r="B2700">
        <v>18.3</v>
      </c>
      <c r="C2700">
        <v>0.2</v>
      </c>
    </row>
    <row r="2701" spans="1:3" ht="15" customHeight="1" x14ac:dyDescent="0.25">
      <c r="A2701" t="s">
        <v>5002</v>
      </c>
      <c r="B2701">
        <v>19</v>
      </c>
      <c r="C2701">
        <v>0.2</v>
      </c>
    </row>
    <row r="2702" spans="1:3" ht="15" customHeight="1" x14ac:dyDescent="0.25">
      <c r="A2702" t="s">
        <v>5003</v>
      </c>
      <c r="B2702">
        <v>19</v>
      </c>
      <c r="C2702">
        <v>0.2</v>
      </c>
    </row>
    <row r="2703" spans="1:3" ht="15" customHeight="1" x14ac:dyDescent="0.25">
      <c r="A2703" t="s">
        <v>5004</v>
      </c>
      <c r="B2703">
        <v>19</v>
      </c>
      <c r="C2703">
        <v>0.2</v>
      </c>
    </row>
    <row r="2704" spans="1:3" ht="15" customHeight="1" x14ac:dyDescent="0.25">
      <c r="A2704" t="s">
        <v>5005</v>
      </c>
      <c r="B2704">
        <v>19</v>
      </c>
      <c r="C2704">
        <v>0.2</v>
      </c>
    </row>
    <row r="2705" spans="1:3" ht="15" customHeight="1" x14ac:dyDescent="0.25">
      <c r="A2705" t="s">
        <v>5006</v>
      </c>
      <c r="B2705">
        <v>19</v>
      </c>
      <c r="C2705">
        <v>0.2</v>
      </c>
    </row>
    <row r="2706" spans="1:3" ht="15" customHeight="1" x14ac:dyDescent="0.25">
      <c r="A2706" t="s">
        <v>5007</v>
      </c>
      <c r="B2706">
        <v>19</v>
      </c>
      <c r="C2706">
        <v>0.2</v>
      </c>
    </row>
    <row r="2707" spans="1:3" ht="15" customHeight="1" x14ac:dyDescent="0.25">
      <c r="A2707" t="s">
        <v>5008</v>
      </c>
      <c r="B2707">
        <v>18.3</v>
      </c>
    </row>
    <row r="2708" spans="1:3" ht="15" customHeight="1" x14ac:dyDescent="0.25">
      <c r="A2708" t="s">
        <v>5009</v>
      </c>
      <c r="B2708">
        <v>18.3</v>
      </c>
    </row>
    <row r="2709" spans="1:3" ht="15" customHeight="1" x14ac:dyDescent="0.25">
      <c r="A2709" t="s">
        <v>5010</v>
      </c>
      <c r="B2709">
        <v>18.3</v>
      </c>
    </row>
    <row r="2710" spans="1:3" ht="15" customHeight="1" x14ac:dyDescent="0.25">
      <c r="A2710" t="s">
        <v>5011</v>
      </c>
      <c r="B2710">
        <v>18.3</v>
      </c>
    </row>
    <row r="2711" spans="1:3" ht="15" customHeight="1" x14ac:dyDescent="0.25">
      <c r="A2711" t="s">
        <v>5012</v>
      </c>
      <c r="B2711">
        <v>18.3</v>
      </c>
    </row>
    <row r="2712" spans="1:3" ht="15" customHeight="1" x14ac:dyDescent="0.25">
      <c r="A2712" t="s">
        <v>5013</v>
      </c>
      <c r="B2712">
        <v>18.3</v>
      </c>
    </row>
    <row r="2713" spans="1:3" ht="15" customHeight="1" x14ac:dyDescent="0.25">
      <c r="A2713" t="s">
        <v>5014</v>
      </c>
      <c r="B2713">
        <v>18.3</v>
      </c>
    </row>
    <row r="2714" spans="1:3" ht="15" customHeight="1" x14ac:dyDescent="0.25">
      <c r="A2714" t="s">
        <v>5015</v>
      </c>
      <c r="B2714">
        <v>18.3</v>
      </c>
    </row>
    <row r="2715" spans="1:3" ht="15" customHeight="1" x14ac:dyDescent="0.25">
      <c r="A2715" t="s">
        <v>5016</v>
      </c>
      <c r="B2715">
        <v>18.3</v>
      </c>
    </row>
    <row r="2716" spans="1:3" ht="15" customHeight="1" x14ac:dyDescent="0.25">
      <c r="A2716" t="s">
        <v>5017</v>
      </c>
      <c r="B2716">
        <v>18.3</v>
      </c>
      <c r="C2716">
        <v>0.2</v>
      </c>
    </row>
    <row r="2717" spans="1:3" ht="15" customHeight="1" x14ac:dyDescent="0.25">
      <c r="A2717" t="s">
        <v>5018</v>
      </c>
      <c r="B2717">
        <v>18.3</v>
      </c>
    </row>
    <row r="2718" spans="1:3" ht="15" customHeight="1" x14ac:dyDescent="0.25">
      <c r="A2718" t="s">
        <v>5019</v>
      </c>
      <c r="B2718">
        <v>18.3</v>
      </c>
    </row>
    <row r="2719" spans="1:3" ht="15" customHeight="1" x14ac:dyDescent="0.25">
      <c r="A2719" t="s">
        <v>5020</v>
      </c>
      <c r="B2719">
        <v>18.3</v>
      </c>
    </row>
    <row r="2720" spans="1:3" ht="15" customHeight="1" x14ac:dyDescent="0.25">
      <c r="A2720" t="s">
        <v>5021</v>
      </c>
      <c r="B2720">
        <v>18.3</v>
      </c>
      <c r="C2720">
        <v>0.2</v>
      </c>
    </row>
    <row r="2721" spans="1:3" ht="15" customHeight="1" x14ac:dyDescent="0.25">
      <c r="A2721" t="s">
        <v>5022</v>
      </c>
      <c r="B2721">
        <v>18.3</v>
      </c>
      <c r="C2721">
        <v>0.2</v>
      </c>
    </row>
    <row r="2722" spans="1:3" ht="15" customHeight="1" x14ac:dyDescent="0.25">
      <c r="A2722" t="s">
        <v>5023</v>
      </c>
      <c r="B2722">
        <v>18.3</v>
      </c>
      <c r="C2722">
        <v>0.05</v>
      </c>
    </row>
    <row r="2723" spans="1:3" ht="15" customHeight="1" x14ac:dyDescent="0.25">
      <c r="A2723" t="s">
        <v>5024</v>
      </c>
      <c r="B2723">
        <v>18.3</v>
      </c>
      <c r="C2723">
        <v>0.05</v>
      </c>
    </row>
    <row r="2724" spans="1:3" ht="15" customHeight="1" x14ac:dyDescent="0.25">
      <c r="A2724" t="s">
        <v>5025</v>
      </c>
      <c r="B2724">
        <v>19</v>
      </c>
      <c r="C2724">
        <v>0.05</v>
      </c>
    </row>
    <row r="2725" spans="1:3" ht="15" customHeight="1" x14ac:dyDescent="0.25">
      <c r="A2725" t="s">
        <v>5026</v>
      </c>
      <c r="B2725">
        <v>19</v>
      </c>
      <c r="C2725">
        <v>0.05</v>
      </c>
    </row>
    <row r="2726" spans="1:3" ht="15" customHeight="1" x14ac:dyDescent="0.25">
      <c r="A2726" t="s">
        <v>5027</v>
      </c>
      <c r="B2726">
        <v>19</v>
      </c>
      <c r="C2726">
        <v>0.05</v>
      </c>
    </row>
    <row r="2727" spans="1:3" ht="15" customHeight="1" x14ac:dyDescent="0.25">
      <c r="A2727" t="s">
        <v>5028</v>
      </c>
      <c r="B2727">
        <v>18.3</v>
      </c>
      <c r="C2727">
        <v>0.2</v>
      </c>
    </row>
    <row r="2728" spans="1:3" ht="15" customHeight="1" x14ac:dyDescent="0.25">
      <c r="A2728" t="s">
        <v>5029</v>
      </c>
      <c r="B2728">
        <v>18.3</v>
      </c>
      <c r="C2728">
        <v>0.2</v>
      </c>
    </row>
    <row r="2729" spans="1:3" ht="15" customHeight="1" x14ac:dyDescent="0.25">
      <c r="A2729" t="s">
        <v>5030</v>
      </c>
      <c r="B2729">
        <v>18.3</v>
      </c>
      <c r="C2729">
        <v>0.2</v>
      </c>
    </row>
    <row r="2730" spans="1:3" ht="15" customHeight="1" x14ac:dyDescent="0.25">
      <c r="A2730" t="s">
        <v>5031</v>
      </c>
      <c r="B2730">
        <v>18.3</v>
      </c>
      <c r="C2730">
        <v>0.2</v>
      </c>
    </row>
    <row r="2731" spans="1:3" ht="15" customHeight="1" x14ac:dyDescent="0.25">
      <c r="A2731" t="s">
        <v>5032</v>
      </c>
      <c r="B2731">
        <v>18.3</v>
      </c>
      <c r="C2731">
        <v>0.2</v>
      </c>
    </row>
    <row r="2732" spans="1:3" ht="15" customHeight="1" x14ac:dyDescent="0.25">
      <c r="A2732" t="s">
        <v>5033</v>
      </c>
      <c r="B2732">
        <v>18.3</v>
      </c>
      <c r="C2732">
        <v>0.2</v>
      </c>
    </row>
    <row r="2733" spans="1:3" ht="15" customHeight="1" x14ac:dyDescent="0.25">
      <c r="A2733" t="s">
        <v>5034</v>
      </c>
      <c r="B2733">
        <v>18.3</v>
      </c>
      <c r="C2733">
        <v>0.05</v>
      </c>
    </row>
    <row r="2734" spans="1:3" ht="15" customHeight="1" x14ac:dyDescent="0.25">
      <c r="A2734" t="s">
        <v>5035</v>
      </c>
      <c r="B2734">
        <v>18.3</v>
      </c>
      <c r="C2734">
        <v>0.05</v>
      </c>
    </row>
    <row r="2735" spans="1:3" ht="15" customHeight="1" x14ac:dyDescent="0.25">
      <c r="A2735" t="s">
        <v>5036</v>
      </c>
      <c r="B2735">
        <v>18.3</v>
      </c>
      <c r="C2735">
        <v>0.05</v>
      </c>
    </row>
    <row r="2736" spans="1:3" ht="15" customHeight="1" x14ac:dyDescent="0.25">
      <c r="A2736" t="s">
        <v>5037</v>
      </c>
      <c r="B2736">
        <v>18.3</v>
      </c>
      <c r="C2736">
        <v>0.05</v>
      </c>
    </row>
    <row r="2737" spans="1:3" ht="15" customHeight="1" x14ac:dyDescent="0.25">
      <c r="A2737" t="s">
        <v>5038</v>
      </c>
      <c r="B2737">
        <v>18.3</v>
      </c>
      <c r="C2737">
        <v>0.2</v>
      </c>
    </row>
    <row r="2738" spans="1:3" ht="15" customHeight="1" x14ac:dyDescent="0.25">
      <c r="A2738" t="s">
        <v>5039</v>
      </c>
      <c r="B2738">
        <v>18.3</v>
      </c>
    </row>
    <row r="2739" spans="1:3" ht="15" customHeight="1" x14ac:dyDescent="0.25">
      <c r="A2739" t="s">
        <v>5040</v>
      </c>
      <c r="B2739">
        <v>18.3</v>
      </c>
      <c r="C2739">
        <v>0.2</v>
      </c>
    </row>
    <row r="2740" spans="1:3" ht="15" customHeight="1" x14ac:dyDescent="0.25">
      <c r="A2740" t="s">
        <v>5041</v>
      </c>
      <c r="B2740">
        <v>18.3</v>
      </c>
      <c r="C2740">
        <v>0.2</v>
      </c>
    </row>
    <row r="2741" spans="1:3" ht="15" customHeight="1" x14ac:dyDescent="0.25">
      <c r="A2741" t="s">
        <v>5042</v>
      </c>
      <c r="B2741">
        <v>18.3</v>
      </c>
    </row>
    <row r="2742" spans="1:3" ht="15" customHeight="1" x14ac:dyDescent="0.25">
      <c r="A2742" t="s">
        <v>5043</v>
      </c>
      <c r="B2742">
        <v>18.3</v>
      </c>
    </row>
    <row r="2743" spans="1:3" ht="15" customHeight="1" x14ac:dyDescent="0.25">
      <c r="A2743" t="s">
        <v>5044</v>
      </c>
      <c r="B2743">
        <v>18.3</v>
      </c>
      <c r="C2743">
        <v>0.2</v>
      </c>
    </row>
    <row r="2744" spans="1:3" ht="15" customHeight="1" x14ac:dyDescent="0.25">
      <c r="A2744" t="s">
        <v>5045</v>
      </c>
      <c r="B2744">
        <v>18.3</v>
      </c>
    </row>
    <row r="2745" spans="1:3" ht="15" customHeight="1" x14ac:dyDescent="0.25">
      <c r="A2745" t="s">
        <v>5046</v>
      </c>
      <c r="B2745">
        <v>18.3</v>
      </c>
    </row>
    <row r="2746" spans="1:3" ht="15" customHeight="1" x14ac:dyDescent="0.25">
      <c r="A2746" t="s">
        <v>5047</v>
      </c>
      <c r="B2746">
        <v>18.3</v>
      </c>
    </row>
    <row r="2747" spans="1:3" ht="15" customHeight="1" x14ac:dyDescent="0.25">
      <c r="A2747" t="s">
        <v>5048</v>
      </c>
      <c r="B2747">
        <v>18.3</v>
      </c>
    </row>
    <row r="2748" spans="1:3" ht="15" customHeight="1" x14ac:dyDescent="0.25">
      <c r="A2748" t="s">
        <v>5049</v>
      </c>
      <c r="B2748">
        <v>18.3</v>
      </c>
    </row>
    <row r="2749" spans="1:3" ht="15" customHeight="1" x14ac:dyDescent="0.25">
      <c r="A2749" t="s">
        <v>5050</v>
      </c>
      <c r="B2749">
        <v>18.3</v>
      </c>
    </row>
    <row r="2750" spans="1:3" ht="15" customHeight="1" x14ac:dyDescent="0.25">
      <c r="A2750" t="s">
        <v>5051</v>
      </c>
      <c r="B2750">
        <v>18.3</v>
      </c>
    </row>
    <row r="2751" spans="1:3" ht="15" customHeight="1" x14ac:dyDescent="0.25">
      <c r="A2751" t="s">
        <v>5052</v>
      </c>
      <c r="B2751">
        <v>18.3</v>
      </c>
      <c r="C2751">
        <v>0.05</v>
      </c>
    </row>
    <row r="2752" spans="1:3" ht="15" customHeight="1" x14ac:dyDescent="0.25">
      <c r="A2752" t="s">
        <v>5053</v>
      </c>
      <c r="B2752">
        <v>18.3</v>
      </c>
    </row>
    <row r="2753" spans="1:3" ht="15" customHeight="1" x14ac:dyDescent="0.25">
      <c r="A2753" t="s">
        <v>5054</v>
      </c>
      <c r="B2753">
        <v>18.3</v>
      </c>
    </row>
    <row r="2754" spans="1:3" ht="15" customHeight="1" x14ac:dyDescent="0.25">
      <c r="A2754" t="s">
        <v>5055</v>
      </c>
      <c r="B2754">
        <v>18.3</v>
      </c>
      <c r="C2754">
        <v>0.2</v>
      </c>
    </row>
    <row r="2755" spans="1:3" ht="15" customHeight="1" x14ac:dyDescent="0.25">
      <c r="A2755" t="s">
        <v>5056</v>
      </c>
      <c r="B2755">
        <v>18.3</v>
      </c>
      <c r="C2755">
        <v>0.2</v>
      </c>
    </row>
    <row r="2756" spans="1:3" ht="15" customHeight="1" x14ac:dyDescent="0.25">
      <c r="A2756" t="s">
        <v>5057</v>
      </c>
      <c r="B2756">
        <v>18.3</v>
      </c>
    </row>
    <row r="2757" spans="1:3" ht="15" customHeight="1" x14ac:dyDescent="0.25">
      <c r="A2757" t="s">
        <v>5058</v>
      </c>
      <c r="B2757">
        <v>18.3</v>
      </c>
      <c r="C2757">
        <v>0.2</v>
      </c>
    </row>
    <row r="2758" spans="1:3" ht="15" customHeight="1" x14ac:dyDescent="0.25">
      <c r="A2758" t="s">
        <v>5059</v>
      </c>
      <c r="B2758">
        <v>18.3</v>
      </c>
      <c r="C2758">
        <v>0.2</v>
      </c>
    </row>
    <row r="2759" spans="1:3" ht="15" customHeight="1" x14ac:dyDescent="0.25">
      <c r="A2759" t="s">
        <v>5060</v>
      </c>
      <c r="B2759">
        <v>18.3</v>
      </c>
      <c r="C2759">
        <v>0.2</v>
      </c>
    </row>
    <row r="2760" spans="1:3" ht="15" customHeight="1" x14ac:dyDescent="0.25">
      <c r="A2760" t="s">
        <v>5061</v>
      </c>
      <c r="B2760">
        <v>18.3</v>
      </c>
    </row>
    <row r="2761" spans="1:3" ht="15" customHeight="1" x14ac:dyDescent="0.25">
      <c r="A2761" t="s">
        <v>5062</v>
      </c>
      <c r="B2761">
        <v>18.3</v>
      </c>
    </row>
    <row r="2762" spans="1:3" ht="15" customHeight="1" x14ac:dyDescent="0.25">
      <c r="A2762" t="s">
        <v>5063</v>
      </c>
      <c r="B2762">
        <v>18.3</v>
      </c>
    </row>
    <row r="2763" spans="1:3" ht="15" customHeight="1" x14ac:dyDescent="0.25">
      <c r="A2763" t="s">
        <v>5064</v>
      </c>
      <c r="B2763">
        <v>18.3</v>
      </c>
      <c r="C2763">
        <v>0.05</v>
      </c>
    </row>
    <row r="2764" spans="1:3" ht="15" customHeight="1" x14ac:dyDescent="0.25">
      <c r="A2764" t="s">
        <v>5065</v>
      </c>
      <c r="B2764">
        <v>18.3</v>
      </c>
    </row>
    <row r="2765" spans="1:3" ht="15" customHeight="1" x14ac:dyDescent="0.25">
      <c r="A2765" t="s">
        <v>5066</v>
      </c>
      <c r="B2765">
        <v>18.3</v>
      </c>
    </row>
    <row r="2766" spans="1:3" ht="15" customHeight="1" x14ac:dyDescent="0.25">
      <c r="A2766" t="s">
        <v>5067</v>
      </c>
      <c r="B2766">
        <v>18.3</v>
      </c>
      <c r="C2766">
        <v>0.2</v>
      </c>
    </row>
    <row r="2767" spans="1:3" ht="15" customHeight="1" x14ac:dyDescent="0.25">
      <c r="A2767" t="s">
        <v>5068</v>
      </c>
      <c r="B2767">
        <v>18.3</v>
      </c>
    </row>
    <row r="2768" spans="1:3" ht="15" customHeight="1" x14ac:dyDescent="0.25">
      <c r="A2768" t="s">
        <v>5069</v>
      </c>
      <c r="B2768">
        <v>18.3</v>
      </c>
      <c r="C2768">
        <v>0.2</v>
      </c>
    </row>
    <row r="2769" spans="1:3" ht="15" customHeight="1" x14ac:dyDescent="0.25">
      <c r="A2769" t="s">
        <v>5070</v>
      </c>
      <c r="B2769">
        <v>18.3</v>
      </c>
      <c r="C2769">
        <v>0.2</v>
      </c>
    </row>
    <row r="2770" spans="1:3" ht="15" customHeight="1" x14ac:dyDescent="0.25">
      <c r="A2770" t="s">
        <v>1015</v>
      </c>
      <c r="B2770">
        <v>18.3</v>
      </c>
      <c r="C2770">
        <v>0.2</v>
      </c>
    </row>
    <row r="2771" spans="1:3" ht="15" customHeight="1" x14ac:dyDescent="0.25">
      <c r="A2771" t="s">
        <v>5071</v>
      </c>
      <c r="B2771">
        <v>18.3</v>
      </c>
      <c r="C2771">
        <v>0.2</v>
      </c>
    </row>
    <row r="2772" spans="1:3" ht="15" customHeight="1" x14ac:dyDescent="0.25">
      <c r="A2772" t="s">
        <v>5072</v>
      </c>
      <c r="B2772">
        <v>18.3</v>
      </c>
    </row>
    <row r="2773" spans="1:3" ht="15" customHeight="1" x14ac:dyDescent="0.25">
      <c r="A2773" t="s">
        <v>5073</v>
      </c>
      <c r="B2773">
        <v>18.3</v>
      </c>
      <c r="C2773">
        <v>0.2</v>
      </c>
    </row>
    <row r="2774" spans="1:3" ht="15" customHeight="1" x14ac:dyDescent="0.25">
      <c r="A2774" t="s">
        <v>5074</v>
      </c>
      <c r="B2774">
        <v>18.3</v>
      </c>
      <c r="C2774">
        <v>0.05</v>
      </c>
    </row>
    <row r="2775" spans="1:3" ht="15" customHeight="1" x14ac:dyDescent="0.25">
      <c r="A2775" t="s">
        <v>5075</v>
      </c>
      <c r="B2775">
        <v>18.3</v>
      </c>
      <c r="C2775">
        <v>0.05</v>
      </c>
    </row>
    <row r="2776" spans="1:3" ht="15" customHeight="1" x14ac:dyDescent="0.25">
      <c r="A2776" t="s">
        <v>5076</v>
      </c>
      <c r="B2776">
        <v>18.3</v>
      </c>
    </row>
    <row r="2777" spans="1:3" ht="15" customHeight="1" x14ac:dyDescent="0.25">
      <c r="A2777" t="s">
        <v>5077</v>
      </c>
      <c r="B2777">
        <v>18.3</v>
      </c>
      <c r="C2777">
        <v>0.2</v>
      </c>
    </row>
    <row r="2778" spans="1:3" ht="15" customHeight="1" x14ac:dyDescent="0.25">
      <c r="A2778" t="s">
        <v>5078</v>
      </c>
      <c r="B2778">
        <v>18.3</v>
      </c>
      <c r="C2778">
        <v>0.2</v>
      </c>
    </row>
    <row r="2779" spans="1:3" ht="15" customHeight="1" x14ac:dyDescent="0.25">
      <c r="A2779" t="s">
        <v>5079</v>
      </c>
      <c r="B2779">
        <v>18.3</v>
      </c>
      <c r="C2779">
        <v>0.2</v>
      </c>
    </row>
    <row r="2780" spans="1:3" ht="15" customHeight="1" x14ac:dyDescent="0.25">
      <c r="A2780" t="s">
        <v>5080</v>
      </c>
      <c r="B2780">
        <v>18.3</v>
      </c>
      <c r="C2780">
        <v>0.2</v>
      </c>
    </row>
    <row r="2781" spans="1:3" ht="15" customHeight="1" x14ac:dyDescent="0.25">
      <c r="A2781" t="s">
        <v>5081</v>
      </c>
      <c r="B2781">
        <v>18.3</v>
      </c>
      <c r="C2781">
        <v>0.2</v>
      </c>
    </row>
    <row r="2782" spans="1:3" ht="15" customHeight="1" x14ac:dyDescent="0.25">
      <c r="A2782" t="s">
        <v>5082</v>
      </c>
      <c r="B2782">
        <v>18.3</v>
      </c>
      <c r="C2782">
        <v>0.2</v>
      </c>
    </row>
    <row r="2783" spans="1:3" ht="15" customHeight="1" x14ac:dyDescent="0.25">
      <c r="A2783" t="s">
        <v>5083</v>
      </c>
      <c r="B2783">
        <v>18.3</v>
      </c>
      <c r="C2783">
        <v>0.2</v>
      </c>
    </row>
    <row r="2784" spans="1:3" ht="15" customHeight="1" x14ac:dyDescent="0.25">
      <c r="A2784" t="s">
        <v>5084</v>
      </c>
      <c r="B2784">
        <v>18.3</v>
      </c>
      <c r="C2784">
        <v>0.2</v>
      </c>
    </row>
    <row r="2785" spans="1:3" ht="15" customHeight="1" x14ac:dyDescent="0.25">
      <c r="A2785" t="s">
        <v>5085</v>
      </c>
      <c r="B2785">
        <v>18.3</v>
      </c>
      <c r="C2785">
        <v>0.05</v>
      </c>
    </row>
    <row r="2786" spans="1:3" ht="15" customHeight="1" x14ac:dyDescent="0.25">
      <c r="A2786" t="s">
        <v>5086</v>
      </c>
      <c r="B2786">
        <v>18.3</v>
      </c>
      <c r="C2786">
        <v>0.05</v>
      </c>
    </row>
    <row r="2787" spans="1:3" ht="15" customHeight="1" x14ac:dyDescent="0.25">
      <c r="A2787" t="s">
        <v>5087</v>
      </c>
      <c r="B2787">
        <v>18.3</v>
      </c>
      <c r="C2787">
        <v>0.2</v>
      </c>
    </row>
    <row r="2788" spans="1:3" ht="15" customHeight="1" x14ac:dyDescent="0.25">
      <c r="A2788" t="s">
        <v>5088</v>
      </c>
      <c r="B2788">
        <v>19</v>
      </c>
      <c r="C2788">
        <v>0.05</v>
      </c>
    </row>
    <row r="2789" spans="1:3" ht="15" customHeight="1" x14ac:dyDescent="0.25">
      <c r="A2789" t="s">
        <v>5089</v>
      </c>
      <c r="B2789">
        <v>19</v>
      </c>
      <c r="C2789">
        <v>0.05</v>
      </c>
    </row>
    <row r="2790" spans="1:3" ht="15" customHeight="1" x14ac:dyDescent="0.25">
      <c r="A2790" t="s">
        <v>5090</v>
      </c>
      <c r="B2790">
        <v>19</v>
      </c>
      <c r="C2790">
        <v>0.05</v>
      </c>
    </row>
    <row r="2791" spans="1:3" ht="15" customHeight="1" x14ac:dyDescent="0.25">
      <c r="A2791" t="s">
        <v>5091</v>
      </c>
      <c r="B2791">
        <v>19</v>
      </c>
      <c r="C2791">
        <v>0.05</v>
      </c>
    </row>
    <row r="2792" spans="1:3" ht="15" customHeight="1" x14ac:dyDescent="0.25">
      <c r="A2792" t="s">
        <v>5092</v>
      </c>
      <c r="B2792">
        <v>18.3</v>
      </c>
      <c r="C2792">
        <v>0.1</v>
      </c>
    </row>
    <row r="2793" spans="1:3" ht="15" customHeight="1" x14ac:dyDescent="0.25">
      <c r="A2793" t="s">
        <v>5093</v>
      </c>
      <c r="B2793">
        <v>18.3</v>
      </c>
      <c r="C2793">
        <v>0.2</v>
      </c>
    </row>
    <row r="2794" spans="1:3" ht="15" customHeight="1" x14ac:dyDescent="0.25">
      <c r="A2794" t="s">
        <v>5094</v>
      </c>
      <c r="B2794">
        <v>18.3</v>
      </c>
    </row>
    <row r="2795" spans="1:3" ht="15" customHeight="1" x14ac:dyDescent="0.25">
      <c r="A2795" t="s">
        <v>5095</v>
      </c>
      <c r="B2795">
        <v>18.3</v>
      </c>
      <c r="C2795">
        <v>0.1</v>
      </c>
    </row>
    <row r="2796" spans="1:3" ht="15" customHeight="1" x14ac:dyDescent="0.25">
      <c r="A2796" t="s">
        <v>5096</v>
      </c>
      <c r="B2796">
        <v>18.3</v>
      </c>
      <c r="C2796">
        <v>0.2</v>
      </c>
    </row>
    <row r="2797" spans="1:3" ht="15" customHeight="1" x14ac:dyDescent="0.25">
      <c r="A2797" t="s">
        <v>5097</v>
      </c>
      <c r="B2797">
        <v>18.3</v>
      </c>
    </row>
    <row r="2798" spans="1:3" ht="15" customHeight="1" x14ac:dyDescent="0.25">
      <c r="A2798" t="s">
        <v>5098</v>
      </c>
      <c r="B2798">
        <v>18.3</v>
      </c>
    </row>
    <row r="2799" spans="1:3" ht="15" customHeight="1" x14ac:dyDescent="0.25">
      <c r="A2799" t="s">
        <v>5099</v>
      </c>
      <c r="B2799">
        <v>18.3</v>
      </c>
    </row>
    <row r="2800" spans="1:3" ht="15" customHeight="1" x14ac:dyDescent="0.25">
      <c r="A2800" t="s">
        <v>5100</v>
      </c>
      <c r="B2800">
        <v>18.3</v>
      </c>
      <c r="C2800">
        <v>0.2</v>
      </c>
    </row>
    <row r="2801" spans="1:3" ht="15" customHeight="1" x14ac:dyDescent="0.25">
      <c r="A2801" t="s">
        <v>5101</v>
      </c>
      <c r="B2801">
        <v>18.3</v>
      </c>
      <c r="C2801">
        <v>0.2</v>
      </c>
    </row>
    <row r="2802" spans="1:3" ht="15" customHeight="1" x14ac:dyDescent="0.25">
      <c r="A2802" t="s">
        <v>5102</v>
      </c>
      <c r="B2802">
        <v>18.3</v>
      </c>
    </row>
    <row r="2803" spans="1:3" ht="15" customHeight="1" x14ac:dyDescent="0.25">
      <c r="A2803" t="s">
        <v>5103</v>
      </c>
      <c r="B2803">
        <v>18.3</v>
      </c>
    </row>
    <row r="2804" spans="1:3" ht="15" customHeight="1" x14ac:dyDescent="0.25">
      <c r="A2804" t="s">
        <v>5104</v>
      </c>
      <c r="B2804">
        <v>18.3</v>
      </c>
    </row>
    <row r="2805" spans="1:3" ht="15" customHeight="1" x14ac:dyDescent="0.25">
      <c r="A2805" t="s">
        <v>5105</v>
      </c>
      <c r="B2805">
        <v>18.3</v>
      </c>
      <c r="C2805">
        <v>0.2</v>
      </c>
    </row>
    <row r="2806" spans="1:3" ht="15" customHeight="1" x14ac:dyDescent="0.25">
      <c r="A2806" t="s">
        <v>5106</v>
      </c>
      <c r="B2806">
        <v>18.3</v>
      </c>
      <c r="C2806">
        <v>0.2</v>
      </c>
    </row>
    <row r="2807" spans="1:3" ht="15" customHeight="1" x14ac:dyDescent="0.25">
      <c r="A2807" t="s">
        <v>5107</v>
      </c>
      <c r="B2807">
        <v>18.3</v>
      </c>
      <c r="C2807">
        <v>0.2</v>
      </c>
    </row>
    <row r="2808" spans="1:3" ht="15" customHeight="1" x14ac:dyDescent="0.25">
      <c r="A2808" t="s">
        <v>5108</v>
      </c>
      <c r="B2808">
        <v>18.3</v>
      </c>
    </row>
    <row r="2809" spans="1:3" ht="15" customHeight="1" x14ac:dyDescent="0.25">
      <c r="A2809" t="s">
        <v>5109</v>
      </c>
      <c r="B2809">
        <v>18.3</v>
      </c>
    </row>
    <row r="2810" spans="1:3" ht="15" customHeight="1" x14ac:dyDescent="0.25">
      <c r="A2810" t="s">
        <v>5110</v>
      </c>
      <c r="B2810">
        <v>18.3</v>
      </c>
      <c r="C2810">
        <v>0.2</v>
      </c>
    </row>
    <row r="2811" spans="1:3" ht="15" customHeight="1" x14ac:dyDescent="0.25">
      <c r="A2811" t="s">
        <v>5111</v>
      </c>
      <c r="B2811">
        <v>18.3</v>
      </c>
    </row>
    <row r="2812" spans="1:3" ht="15" customHeight="1" x14ac:dyDescent="0.25">
      <c r="A2812" t="s">
        <v>5112</v>
      </c>
      <c r="B2812">
        <v>18.3</v>
      </c>
      <c r="C2812">
        <v>0.2</v>
      </c>
    </row>
    <row r="2813" spans="1:3" ht="15" customHeight="1" x14ac:dyDescent="0.25">
      <c r="A2813" t="s">
        <v>5113</v>
      </c>
      <c r="B2813">
        <v>18.3</v>
      </c>
    </row>
    <row r="2814" spans="1:3" ht="15" customHeight="1" x14ac:dyDescent="0.25">
      <c r="A2814" t="s">
        <v>5114</v>
      </c>
      <c r="B2814">
        <v>18.3</v>
      </c>
    </row>
    <row r="2815" spans="1:3" ht="15" customHeight="1" x14ac:dyDescent="0.25">
      <c r="A2815" t="s">
        <v>5115</v>
      </c>
      <c r="B2815">
        <v>18.3</v>
      </c>
    </row>
    <row r="2816" spans="1:3" ht="15" customHeight="1" x14ac:dyDescent="0.25">
      <c r="A2816" t="s">
        <v>5116</v>
      </c>
      <c r="B2816">
        <v>18.3</v>
      </c>
    </row>
    <row r="2817" spans="1:3" ht="15" customHeight="1" x14ac:dyDescent="0.25">
      <c r="A2817" t="s">
        <v>5117</v>
      </c>
      <c r="B2817">
        <v>18.3</v>
      </c>
      <c r="C2817">
        <v>0.2</v>
      </c>
    </row>
    <row r="2818" spans="1:3" ht="15" customHeight="1" x14ac:dyDescent="0.25">
      <c r="A2818" t="s">
        <v>5118</v>
      </c>
      <c r="B2818">
        <v>18.3</v>
      </c>
      <c r="C2818">
        <v>0.2</v>
      </c>
    </row>
    <row r="2819" spans="1:3" ht="15" customHeight="1" x14ac:dyDescent="0.25">
      <c r="A2819" t="s">
        <v>870</v>
      </c>
      <c r="B2819">
        <v>18.3</v>
      </c>
      <c r="C2819">
        <v>0.2</v>
      </c>
    </row>
    <row r="2820" spans="1:3" ht="15" customHeight="1" x14ac:dyDescent="0.25">
      <c r="A2820" t="s">
        <v>5119</v>
      </c>
      <c r="B2820">
        <v>18.3</v>
      </c>
      <c r="C2820">
        <v>0.2</v>
      </c>
    </row>
    <row r="2821" spans="1:3" ht="15" customHeight="1" x14ac:dyDescent="0.25">
      <c r="A2821" t="s">
        <v>5120</v>
      </c>
      <c r="B2821">
        <v>18.3</v>
      </c>
      <c r="C2821">
        <v>0.2</v>
      </c>
    </row>
    <row r="2822" spans="1:3" ht="15" customHeight="1" x14ac:dyDescent="0.25">
      <c r="A2822" t="s">
        <v>5121</v>
      </c>
      <c r="B2822">
        <v>18.3</v>
      </c>
      <c r="C2822">
        <v>0.2</v>
      </c>
    </row>
    <row r="2823" spans="1:3" ht="15" customHeight="1" x14ac:dyDescent="0.25">
      <c r="A2823" t="s">
        <v>5122</v>
      </c>
      <c r="B2823">
        <v>18.3</v>
      </c>
      <c r="C2823">
        <v>0.2</v>
      </c>
    </row>
    <row r="2824" spans="1:3" ht="15" customHeight="1" x14ac:dyDescent="0.25">
      <c r="A2824" t="s">
        <v>5123</v>
      </c>
      <c r="B2824">
        <v>18.3</v>
      </c>
      <c r="C2824">
        <v>0.2</v>
      </c>
    </row>
    <row r="2825" spans="1:3" ht="15" customHeight="1" x14ac:dyDescent="0.25">
      <c r="A2825" t="s">
        <v>5124</v>
      </c>
      <c r="B2825">
        <v>18.3</v>
      </c>
      <c r="C2825">
        <v>0.2</v>
      </c>
    </row>
    <row r="2826" spans="1:3" ht="15" customHeight="1" x14ac:dyDescent="0.25">
      <c r="A2826" t="s">
        <v>5125</v>
      </c>
      <c r="B2826">
        <v>18.3</v>
      </c>
      <c r="C2826">
        <v>0.2</v>
      </c>
    </row>
    <row r="2827" spans="1:3" ht="15" customHeight="1" x14ac:dyDescent="0.25">
      <c r="A2827" t="s">
        <v>5126</v>
      </c>
      <c r="B2827">
        <v>18.3</v>
      </c>
      <c r="C2827">
        <v>0.2</v>
      </c>
    </row>
    <row r="2828" spans="1:3" ht="15" customHeight="1" x14ac:dyDescent="0.25">
      <c r="A2828" t="s">
        <v>5127</v>
      </c>
      <c r="B2828">
        <v>18.3</v>
      </c>
    </row>
    <row r="2829" spans="1:3" ht="15" customHeight="1" x14ac:dyDescent="0.25">
      <c r="A2829" t="s">
        <v>5128</v>
      </c>
      <c r="B2829">
        <v>18.3</v>
      </c>
    </row>
    <row r="2830" spans="1:3" ht="15" customHeight="1" x14ac:dyDescent="0.25">
      <c r="A2830" t="s">
        <v>5129</v>
      </c>
      <c r="B2830">
        <v>18.3</v>
      </c>
    </row>
    <row r="2831" spans="1:3" ht="15" customHeight="1" x14ac:dyDescent="0.25">
      <c r="A2831" t="s">
        <v>5130</v>
      </c>
      <c r="B2831">
        <v>18.3</v>
      </c>
      <c r="C2831">
        <v>0.2</v>
      </c>
    </row>
    <row r="2832" spans="1:3" ht="15" customHeight="1" x14ac:dyDescent="0.25">
      <c r="A2832" t="s">
        <v>5131</v>
      </c>
      <c r="B2832">
        <v>18.3</v>
      </c>
    </row>
    <row r="2833" spans="1:3" ht="15" customHeight="1" x14ac:dyDescent="0.25">
      <c r="A2833" t="s">
        <v>5132</v>
      </c>
      <c r="B2833">
        <v>18.3</v>
      </c>
      <c r="C2833">
        <v>0.2</v>
      </c>
    </row>
    <row r="2834" spans="1:3" ht="15" customHeight="1" x14ac:dyDescent="0.25">
      <c r="A2834" t="s">
        <v>5133</v>
      </c>
      <c r="B2834">
        <v>18.3</v>
      </c>
    </row>
    <row r="2835" spans="1:3" ht="15" customHeight="1" x14ac:dyDescent="0.25">
      <c r="A2835" t="s">
        <v>5134</v>
      </c>
      <c r="B2835">
        <v>18.3</v>
      </c>
    </row>
    <row r="2836" spans="1:3" ht="15" customHeight="1" x14ac:dyDescent="0.25">
      <c r="A2836" t="s">
        <v>5135</v>
      </c>
      <c r="B2836">
        <v>18.3</v>
      </c>
      <c r="C2836">
        <v>0.05</v>
      </c>
    </row>
    <row r="2837" spans="1:3" ht="15" customHeight="1" x14ac:dyDescent="0.25">
      <c r="A2837" t="s">
        <v>5136</v>
      </c>
      <c r="B2837">
        <v>18.3</v>
      </c>
      <c r="C2837">
        <v>0.2</v>
      </c>
    </row>
    <row r="2838" spans="1:3" ht="15" customHeight="1" x14ac:dyDescent="0.25">
      <c r="A2838" t="s">
        <v>5137</v>
      </c>
      <c r="B2838">
        <v>18.3</v>
      </c>
      <c r="C2838">
        <v>0.3</v>
      </c>
    </row>
    <row r="2839" spans="1:3" ht="15" customHeight="1" x14ac:dyDescent="0.25">
      <c r="A2839" t="s">
        <v>5138</v>
      </c>
      <c r="B2839">
        <v>18.3</v>
      </c>
    </row>
    <row r="2840" spans="1:3" ht="15" customHeight="1" x14ac:dyDescent="0.25">
      <c r="A2840" t="s">
        <v>5139</v>
      </c>
      <c r="B2840">
        <v>18.3</v>
      </c>
      <c r="C2840">
        <v>0.3</v>
      </c>
    </row>
    <row r="2841" spans="1:3" ht="15" customHeight="1" x14ac:dyDescent="0.25">
      <c r="A2841" t="s">
        <v>5140</v>
      </c>
      <c r="B2841">
        <v>18.3</v>
      </c>
      <c r="C2841">
        <v>0.05</v>
      </c>
    </row>
    <row r="2842" spans="1:3" ht="15" customHeight="1" x14ac:dyDescent="0.25">
      <c r="A2842" t="s">
        <v>5141</v>
      </c>
      <c r="B2842">
        <v>18.3</v>
      </c>
      <c r="C2842">
        <v>0.2</v>
      </c>
    </row>
    <row r="2843" spans="1:3" ht="15" customHeight="1" x14ac:dyDescent="0.25">
      <c r="A2843" t="s">
        <v>5142</v>
      </c>
      <c r="B2843">
        <v>18.3</v>
      </c>
      <c r="C2843">
        <v>0.3</v>
      </c>
    </row>
    <row r="2844" spans="1:3" ht="15" customHeight="1" x14ac:dyDescent="0.25">
      <c r="A2844" t="s">
        <v>5143</v>
      </c>
      <c r="B2844">
        <v>18.3</v>
      </c>
      <c r="C2844">
        <v>0.05</v>
      </c>
    </row>
    <row r="2845" spans="1:3" ht="15" customHeight="1" x14ac:dyDescent="0.25">
      <c r="A2845" t="s">
        <v>5144</v>
      </c>
      <c r="B2845">
        <v>18.3</v>
      </c>
      <c r="C2845">
        <v>0.05</v>
      </c>
    </row>
    <row r="2846" spans="1:3" ht="15" customHeight="1" x14ac:dyDescent="0.25">
      <c r="A2846" t="s">
        <v>5145</v>
      </c>
      <c r="B2846">
        <v>18.3</v>
      </c>
      <c r="C2846">
        <v>0.3</v>
      </c>
    </row>
    <row r="2847" spans="1:3" ht="15" customHeight="1" x14ac:dyDescent="0.25">
      <c r="A2847" t="s">
        <v>5146</v>
      </c>
      <c r="B2847">
        <v>18.3</v>
      </c>
    </row>
    <row r="2848" spans="1:3" ht="15" customHeight="1" x14ac:dyDescent="0.25">
      <c r="A2848" t="s">
        <v>5147</v>
      </c>
      <c r="B2848">
        <v>18.3</v>
      </c>
      <c r="C2848">
        <v>0.3</v>
      </c>
    </row>
    <row r="2849" spans="1:3" ht="15" customHeight="1" x14ac:dyDescent="0.25">
      <c r="A2849" t="s">
        <v>5148</v>
      </c>
      <c r="B2849">
        <v>18.3</v>
      </c>
      <c r="C2849">
        <v>0.3</v>
      </c>
    </row>
    <row r="2850" spans="1:3" ht="15" customHeight="1" x14ac:dyDescent="0.25">
      <c r="A2850" t="s">
        <v>5149</v>
      </c>
      <c r="B2850">
        <v>18.3</v>
      </c>
      <c r="C2850">
        <v>0.3</v>
      </c>
    </row>
    <row r="2851" spans="1:3" ht="15" customHeight="1" x14ac:dyDescent="0.25">
      <c r="A2851" t="s">
        <v>5150</v>
      </c>
      <c r="B2851">
        <v>18.3</v>
      </c>
      <c r="C2851">
        <v>0.3</v>
      </c>
    </row>
    <row r="2852" spans="1:3" ht="15" customHeight="1" x14ac:dyDescent="0.25">
      <c r="A2852" t="s">
        <v>5151</v>
      </c>
      <c r="B2852">
        <v>18.3</v>
      </c>
      <c r="C2852">
        <v>0.3</v>
      </c>
    </row>
    <row r="2853" spans="1:3" ht="15" customHeight="1" x14ac:dyDescent="0.25">
      <c r="A2853" t="s">
        <v>5152</v>
      </c>
      <c r="B2853">
        <v>18.3</v>
      </c>
      <c r="C2853">
        <v>0.3</v>
      </c>
    </row>
    <row r="2854" spans="1:3" ht="15" customHeight="1" x14ac:dyDescent="0.25">
      <c r="A2854" t="s">
        <v>5153</v>
      </c>
      <c r="B2854">
        <v>18.3</v>
      </c>
      <c r="C2854">
        <v>0.3</v>
      </c>
    </row>
    <row r="2855" spans="1:3" ht="15" customHeight="1" x14ac:dyDescent="0.25">
      <c r="A2855" t="s">
        <v>5154</v>
      </c>
      <c r="B2855">
        <v>18.3</v>
      </c>
      <c r="C2855">
        <v>0.3</v>
      </c>
    </row>
    <row r="2856" spans="1:3" ht="15" customHeight="1" x14ac:dyDescent="0.25">
      <c r="A2856" t="s">
        <v>5155</v>
      </c>
      <c r="B2856">
        <v>18.3</v>
      </c>
      <c r="C2856">
        <v>0.2</v>
      </c>
    </row>
    <row r="2857" spans="1:3" ht="15" customHeight="1" x14ac:dyDescent="0.25">
      <c r="A2857" t="s">
        <v>5156</v>
      </c>
      <c r="B2857">
        <v>18.3</v>
      </c>
      <c r="C2857">
        <v>0.2</v>
      </c>
    </row>
    <row r="2858" spans="1:3" ht="15" customHeight="1" x14ac:dyDescent="0.25">
      <c r="A2858" t="s">
        <v>5157</v>
      </c>
      <c r="B2858">
        <v>18.3</v>
      </c>
      <c r="C2858">
        <v>0.3</v>
      </c>
    </row>
    <row r="2859" spans="1:3" ht="15" customHeight="1" x14ac:dyDescent="0.25">
      <c r="A2859" t="s">
        <v>5158</v>
      </c>
      <c r="B2859">
        <v>18.3</v>
      </c>
    </row>
    <row r="2860" spans="1:3" ht="15" customHeight="1" x14ac:dyDescent="0.25">
      <c r="A2860" t="s">
        <v>5159</v>
      </c>
      <c r="B2860">
        <v>18.3</v>
      </c>
      <c r="C2860">
        <v>0.3</v>
      </c>
    </row>
    <row r="2861" spans="1:3" ht="15" customHeight="1" x14ac:dyDescent="0.25">
      <c r="A2861" t="s">
        <v>5160</v>
      </c>
      <c r="B2861">
        <v>18.3</v>
      </c>
      <c r="C2861">
        <v>0.3</v>
      </c>
    </row>
    <row r="2862" spans="1:3" ht="15" customHeight="1" x14ac:dyDescent="0.25">
      <c r="A2862" t="s">
        <v>5161</v>
      </c>
      <c r="B2862">
        <v>18.3</v>
      </c>
      <c r="C2862">
        <v>0.1</v>
      </c>
    </row>
    <row r="2863" spans="1:3" ht="15" customHeight="1" x14ac:dyDescent="0.25">
      <c r="A2863" t="s">
        <v>5162</v>
      </c>
      <c r="B2863">
        <v>18.3</v>
      </c>
    </row>
    <row r="2864" spans="1:3" ht="15" customHeight="1" x14ac:dyDescent="0.25">
      <c r="A2864" t="s">
        <v>5163</v>
      </c>
      <c r="B2864">
        <v>18.3</v>
      </c>
    </row>
    <row r="2865" spans="1:3" ht="15" customHeight="1" x14ac:dyDescent="0.25">
      <c r="A2865" t="s">
        <v>5164</v>
      </c>
      <c r="B2865">
        <v>18.3</v>
      </c>
      <c r="C2865">
        <v>0.3</v>
      </c>
    </row>
    <row r="2866" spans="1:3" ht="15" customHeight="1" x14ac:dyDescent="0.25">
      <c r="A2866" t="s">
        <v>5165</v>
      </c>
      <c r="B2866">
        <v>18.3</v>
      </c>
      <c r="C2866">
        <v>0.3</v>
      </c>
    </row>
    <row r="2867" spans="1:3" ht="15" customHeight="1" x14ac:dyDescent="0.25">
      <c r="A2867" t="s">
        <v>5166</v>
      </c>
      <c r="B2867">
        <v>18.3</v>
      </c>
      <c r="C2867">
        <v>0.3</v>
      </c>
    </row>
    <row r="2868" spans="1:3" ht="15" customHeight="1" x14ac:dyDescent="0.25">
      <c r="A2868" t="s">
        <v>5167</v>
      </c>
      <c r="B2868">
        <v>18.3</v>
      </c>
      <c r="C2868">
        <v>0.2</v>
      </c>
    </row>
    <row r="2869" spans="1:3" ht="15" customHeight="1" x14ac:dyDescent="0.25">
      <c r="A2869" t="s">
        <v>5168</v>
      </c>
      <c r="B2869">
        <v>18.3</v>
      </c>
      <c r="C2869">
        <v>0.2</v>
      </c>
    </row>
    <row r="2870" spans="1:3" ht="15" customHeight="1" x14ac:dyDescent="0.25">
      <c r="A2870" t="s">
        <v>5169</v>
      </c>
      <c r="B2870">
        <v>18.3</v>
      </c>
      <c r="C2870">
        <v>0.2</v>
      </c>
    </row>
    <row r="2871" spans="1:3" ht="15" customHeight="1" x14ac:dyDescent="0.25">
      <c r="A2871" t="s">
        <v>5170</v>
      </c>
      <c r="B2871">
        <v>18.3</v>
      </c>
      <c r="C2871">
        <v>0.2</v>
      </c>
    </row>
    <row r="2872" spans="1:3" ht="15" customHeight="1" x14ac:dyDescent="0.25">
      <c r="A2872" t="s">
        <v>5171</v>
      </c>
      <c r="B2872">
        <v>18.3</v>
      </c>
      <c r="C2872">
        <v>0.2</v>
      </c>
    </row>
    <row r="2873" spans="1:3" ht="15" customHeight="1" x14ac:dyDescent="0.25">
      <c r="A2873" t="s">
        <v>5172</v>
      </c>
      <c r="B2873">
        <v>18.3</v>
      </c>
      <c r="C2873">
        <v>0.2</v>
      </c>
    </row>
    <row r="2874" spans="1:3" ht="15" customHeight="1" x14ac:dyDescent="0.25">
      <c r="A2874" t="s">
        <v>1052</v>
      </c>
      <c r="B2874">
        <v>18.3</v>
      </c>
      <c r="C2874">
        <v>0.05</v>
      </c>
    </row>
    <row r="2875" spans="1:3" ht="15" customHeight="1" x14ac:dyDescent="0.25">
      <c r="A2875" t="s">
        <v>997</v>
      </c>
      <c r="B2875">
        <v>18.3</v>
      </c>
      <c r="C2875">
        <v>0.05</v>
      </c>
    </row>
    <row r="2876" spans="1:3" ht="15" customHeight="1" x14ac:dyDescent="0.25">
      <c r="A2876" t="s">
        <v>5173</v>
      </c>
      <c r="B2876">
        <v>18.3</v>
      </c>
      <c r="C2876">
        <v>0.2</v>
      </c>
    </row>
    <row r="2877" spans="1:3" ht="15" customHeight="1" x14ac:dyDescent="0.25">
      <c r="A2877" t="s">
        <v>5174</v>
      </c>
      <c r="B2877">
        <v>18.3</v>
      </c>
    </row>
    <row r="2878" spans="1:3" ht="15" customHeight="1" x14ac:dyDescent="0.25">
      <c r="A2878" t="s">
        <v>5175</v>
      </c>
      <c r="B2878">
        <v>18.3</v>
      </c>
    </row>
    <row r="2879" spans="1:3" ht="15" customHeight="1" x14ac:dyDescent="0.25">
      <c r="A2879" t="s">
        <v>5176</v>
      </c>
      <c r="B2879">
        <v>18.3</v>
      </c>
    </row>
    <row r="2880" spans="1:3" ht="15" customHeight="1" x14ac:dyDescent="0.25">
      <c r="A2880" t="s">
        <v>5177</v>
      </c>
      <c r="B2880">
        <v>18.3</v>
      </c>
      <c r="C2880">
        <v>0.05</v>
      </c>
    </row>
    <row r="2881" spans="1:3" ht="15" customHeight="1" x14ac:dyDescent="0.25">
      <c r="A2881" t="s">
        <v>5178</v>
      </c>
      <c r="B2881">
        <v>18.3</v>
      </c>
      <c r="C2881">
        <v>0.05</v>
      </c>
    </row>
    <row r="2882" spans="1:3" ht="15" customHeight="1" x14ac:dyDescent="0.25">
      <c r="A2882" t="s">
        <v>5179</v>
      </c>
      <c r="B2882">
        <v>18.3</v>
      </c>
      <c r="C2882">
        <v>0.2</v>
      </c>
    </row>
    <row r="2883" spans="1:3" ht="15" customHeight="1" x14ac:dyDescent="0.25">
      <c r="A2883" t="s">
        <v>166</v>
      </c>
      <c r="B2883">
        <v>18.3</v>
      </c>
      <c r="C2883">
        <v>0.05</v>
      </c>
    </row>
    <row r="2884" spans="1:3" ht="15" customHeight="1" x14ac:dyDescent="0.25">
      <c r="A2884" t="s">
        <v>5180</v>
      </c>
      <c r="B2884">
        <v>18.3</v>
      </c>
      <c r="C2884">
        <v>0.05</v>
      </c>
    </row>
    <row r="2885" spans="1:3" ht="15" customHeight="1" x14ac:dyDescent="0.25">
      <c r="A2885" t="s">
        <v>5181</v>
      </c>
      <c r="B2885">
        <v>18.3</v>
      </c>
    </row>
    <row r="2886" spans="1:3" ht="15" customHeight="1" x14ac:dyDescent="0.25">
      <c r="A2886" t="s">
        <v>5182</v>
      </c>
      <c r="B2886">
        <v>18.3</v>
      </c>
      <c r="C2886">
        <v>0.2</v>
      </c>
    </row>
    <row r="2887" spans="1:3" ht="15" customHeight="1" x14ac:dyDescent="0.25">
      <c r="A2887" t="s">
        <v>5183</v>
      </c>
      <c r="B2887">
        <v>18.3</v>
      </c>
      <c r="C2887">
        <v>0.2</v>
      </c>
    </row>
    <row r="2888" spans="1:3" ht="15" customHeight="1" x14ac:dyDescent="0.25">
      <c r="A2888" t="s">
        <v>5184</v>
      </c>
      <c r="B2888">
        <v>18.3</v>
      </c>
      <c r="C2888">
        <v>0.2</v>
      </c>
    </row>
    <row r="2889" spans="1:3" ht="15" customHeight="1" x14ac:dyDescent="0.25">
      <c r="A2889" t="s">
        <v>444</v>
      </c>
      <c r="B2889">
        <v>19</v>
      </c>
      <c r="C2889">
        <v>0.05</v>
      </c>
    </row>
    <row r="2890" spans="1:3" ht="15" customHeight="1" x14ac:dyDescent="0.25">
      <c r="A2890" t="s">
        <v>967</v>
      </c>
      <c r="B2890">
        <v>19</v>
      </c>
      <c r="C2890">
        <v>0.05</v>
      </c>
    </row>
    <row r="2891" spans="1:3" ht="15" customHeight="1" x14ac:dyDescent="0.25">
      <c r="A2891" t="s">
        <v>5185</v>
      </c>
      <c r="B2891">
        <v>19</v>
      </c>
      <c r="C2891">
        <v>0.2</v>
      </c>
    </row>
    <row r="2892" spans="1:3" ht="15" customHeight="1" x14ac:dyDescent="0.25">
      <c r="A2892" t="s">
        <v>1740</v>
      </c>
      <c r="B2892">
        <v>19</v>
      </c>
      <c r="C2892">
        <v>0.1</v>
      </c>
    </row>
    <row r="2893" spans="1:3" ht="15" customHeight="1" x14ac:dyDescent="0.25">
      <c r="A2893" t="s">
        <v>5186</v>
      </c>
      <c r="B2893">
        <v>19</v>
      </c>
      <c r="C2893">
        <v>0.1</v>
      </c>
    </row>
    <row r="2894" spans="1:3" ht="15" customHeight="1" x14ac:dyDescent="0.25">
      <c r="A2894" t="s">
        <v>5187</v>
      </c>
      <c r="B2894">
        <v>19</v>
      </c>
      <c r="C2894">
        <v>0.2</v>
      </c>
    </row>
    <row r="2895" spans="1:3" ht="15" customHeight="1" x14ac:dyDescent="0.25">
      <c r="A2895" t="s">
        <v>671</v>
      </c>
      <c r="B2895">
        <v>19</v>
      </c>
      <c r="C2895">
        <v>0.05</v>
      </c>
    </row>
    <row r="2896" spans="1:3" ht="15" customHeight="1" x14ac:dyDescent="0.25">
      <c r="A2896" t="s">
        <v>5188</v>
      </c>
      <c r="B2896">
        <v>19</v>
      </c>
      <c r="C2896">
        <v>0.05</v>
      </c>
    </row>
    <row r="2897" spans="1:3" ht="15" customHeight="1" x14ac:dyDescent="0.25">
      <c r="A2897" t="s">
        <v>5189</v>
      </c>
      <c r="B2897">
        <v>19</v>
      </c>
      <c r="C2897">
        <v>0.2</v>
      </c>
    </row>
    <row r="2898" spans="1:3" ht="15" customHeight="1" x14ac:dyDescent="0.25">
      <c r="A2898" t="s">
        <v>1652</v>
      </c>
      <c r="B2898">
        <v>19</v>
      </c>
      <c r="C2898">
        <v>0.05</v>
      </c>
    </row>
    <row r="2899" spans="1:3" ht="15" customHeight="1" x14ac:dyDescent="0.25">
      <c r="A2899" t="s">
        <v>1684</v>
      </c>
      <c r="B2899">
        <v>19</v>
      </c>
      <c r="C2899">
        <v>0.05</v>
      </c>
    </row>
    <row r="2900" spans="1:3" ht="15" customHeight="1" x14ac:dyDescent="0.25">
      <c r="A2900" t="s">
        <v>5190</v>
      </c>
      <c r="B2900">
        <v>19</v>
      </c>
      <c r="C2900">
        <v>0.05</v>
      </c>
    </row>
    <row r="2901" spans="1:3" ht="15" customHeight="1" x14ac:dyDescent="0.25">
      <c r="A2901" t="s">
        <v>5191</v>
      </c>
      <c r="B2901">
        <v>18.3</v>
      </c>
      <c r="C2901">
        <v>0.2</v>
      </c>
    </row>
    <row r="2902" spans="1:3" ht="15" customHeight="1" x14ac:dyDescent="0.25">
      <c r="A2902" t="s">
        <v>5192</v>
      </c>
      <c r="B2902">
        <v>18.3</v>
      </c>
      <c r="C2902">
        <v>0.2</v>
      </c>
    </row>
    <row r="2903" spans="1:3" ht="15" customHeight="1" x14ac:dyDescent="0.25">
      <c r="A2903" t="s">
        <v>5193</v>
      </c>
      <c r="B2903">
        <v>18.3</v>
      </c>
      <c r="C2903">
        <v>0.3</v>
      </c>
    </row>
    <row r="2904" spans="1:3" ht="15" customHeight="1" x14ac:dyDescent="0.25">
      <c r="A2904" t="s">
        <v>5194</v>
      </c>
      <c r="B2904">
        <v>18.3</v>
      </c>
      <c r="C2904">
        <v>0.3</v>
      </c>
    </row>
    <row r="2905" spans="1:3" ht="15" customHeight="1" x14ac:dyDescent="0.25">
      <c r="A2905" t="s">
        <v>5195</v>
      </c>
      <c r="B2905">
        <v>18.3</v>
      </c>
      <c r="C2905">
        <v>0.3</v>
      </c>
    </row>
    <row r="2906" spans="1:3" ht="15" customHeight="1" x14ac:dyDescent="0.25">
      <c r="A2906" t="s">
        <v>5196</v>
      </c>
      <c r="B2906">
        <v>30.1</v>
      </c>
      <c r="C2906">
        <v>0.3</v>
      </c>
    </row>
    <row r="2907" spans="1:3" ht="15" customHeight="1" x14ac:dyDescent="0.25">
      <c r="A2907" t="s">
        <v>5197</v>
      </c>
      <c r="B2907">
        <v>30.1</v>
      </c>
      <c r="C2907">
        <v>0.3</v>
      </c>
    </row>
    <row r="2908" spans="1:3" ht="15" customHeight="1" x14ac:dyDescent="0.25">
      <c r="A2908" t="s">
        <v>5198</v>
      </c>
      <c r="B2908">
        <v>30.1</v>
      </c>
      <c r="C2908">
        <v>0.3</v>
      </c>
    </row>
    <row r="2909" spans="1:3" ht="15" customHeight="1" x14ac:dyDescent="0.25">
      <c r="A2909" t="s">
        <v>5199</v>
      </c>
      <c r="B2909">
        <v>30.1</v>
      </c>
      <c r="C2909">
        <v>0.3</v>
      </c>
    </row>
    <row r="2910" spans="1:3" ht="15" customHeight="1" x14ac:dyDescent="0.25">
      <c r="A2910" t="s">
        <v>5200</v>
      </c>
      <c r="B2910">
        <v>30.1</v>
      </c>
      <c r="C2910">
        <v>0.3</v>
      </c>
    </row>
    <row r="2911" spans="1:3" ht="15" customHeight="1" x14ac:dyDescent="0.25">
      <c r="A2911" t="s">
        <v>5201</v>
      </c>
      <c r="B2911">
        <v>30.1</v>
      </c>
      <c r="C2911">
        <v>0.3</v>
      </c>
    </row>
    <row r="2912" spans="1:3" ht="15" customHeight="1" x14ac:dyDescent="0.25">
      <c r="A2912" t="s">
        <v>5202</v>
      </c>
      <c r="B2912">
        <v>30.1</v>
      </c>
      <c r="C2912">
        <v>0.3</v>
      </c>
    </row>
    <row r="2913" spans="1:3" ht="15" customHeight="1" x14ac:dyDescent="0.25">
      <c r="A2913" t="s">
        <v>5203</v>
      </c>
      <c r="B2913">
        <v>30.1</v>
      </c>
      <c r="C2913">
        <v>0.3</v>
      </c>
    </row>
    <row r="2914" spans="1:3" ht="15" customHeight="1" x14ac:dyDescent="0.25">
      <c r="A2914" t="s">
        <v>5204</v>
      </c>
      <c r="B2914">
        <v>30.1</v>
      </c>
      <c r="C2914">
        <v>0.3</v>
      </c>
    </row>
    <row r="2915" spans="1:3" ht="15" customHeight="1" x14ac:dyDescent="0.25">
      <c r="A2915" t="s">
        <v>5205</v>
      </c>
      <c r="B2915">
        <v>32.4</v>
      </c>
      <c r="C2915">
        <v>0.2</v>
      </c>
    </row>
    <row r="2916" spans="1:3" ht="15" customHeight="1" x14ac:dyDescent="0.25">
      <c r="A2916" t="s">
        <v>5206</v>
      </c>
      <c r="B2916">
        <v>32.4</v>
      </c>
      <c r="C2916">
        <v>0.2</v>
      </c>
    </row>
    <row r="2917" spans="1:3" ht="15" customHeight="1" x14ac:dyDescent="0.25">
      <c r="A2917" t="s">
        <v>5207</v>
      </c>
      <c r="B2917">
        <v>32.4</v>
      </c>
      <c r="C2917">
        <v>0.2</v>
      </c>
    </row>
    <row r="2918" spans="1:3" ht="15" customHeight="1" x14ac:dyDescent="0.25">
      <c r="A2918" t="s">
        <v>5208</v>
      </c>
      <c r="B2918">
        <v>32.4</v>
      </c>
      <c r="C2918">
        <v>0.2</v>
      </c>
    </row>
    <row r="2919" spans="1:3" ht="15" customHeight="1" x14ac:dyDescent="0.25">
      <c r="A2919" t="s">
        <v>5209</v>
      </c>
      <c r="B2919">
        <v>32.4</v>
      </c>
      <c r="C2919">
        <v>0.2</v>
      </c>
    </row>
    <row r="2920" spans="1:3" ht="15" customHeight="1" x14ac:dyDescent="0.25">
      <c r="A2920" t="s">
        <v>5210</v>
      </c>
      <c r="B2920">
        <v>32.4</v>
      </c>
      <c r="C2920">
        <v>0.2</v>
      </c>
    </row>
    <row r="2921" spans="1:3" ht="15" customHeight="1" x14ac:dyDescent="0.25">
      <c r="A2921" t="s">
        <v>5211</v>
      </c>
      <c r="B2921">
        <v>32.4</v>
      </c>
      <c r="C2921">
        <v>0.1</v>
      </c>
    </row>
    <row r="2922" spans="1:3" ht="15" customHeight="1" x14ac:dyDescent="0.25">
      <c r="A2922" t="s">
        <v>5212</v>
      </c>
      <c r="B2922">
        <v>32.4</v>
      </c>
      <c r="C2922">
        <v>0.2</v>
      </c>
    </row>
    <row r="2923" spans="1:3" ht="15" customHeight="1" x14ac:dyDescent="0.25">
      <c r="A2923" t="s">
        <v>5213</v>
      </c>
      <c r="B2923">
        <v>32.4</v>
      </c>
      <c r="C2923">
        <v>0.2</v>
      </c>
    </row>
    <row r="2924" spans="1:3" ht="15" customHeight="1" x14ac:dyDescent="0.25">
      <c r="A2924" t="s">
        <v>5214</v>
      </c>
      <c r="B2924">
        <v>32.4</v>
      </c>
      <c r="C2924">
        <v>0.2</v>
      </c>
    </row>
    <row r="2925" spans="1:3" ht="15" customHeight="1" x14ac:dyDescent="0.25">
      <c r="A2925" t="s">
        <v>5215</v>
      </c>
      <c r="B2925">
        <v>32.4</v>
      </c>
      <c r="C2925">
        <v>0.2</v>
      </c>
    </row>
    <row r="2926" spans="1:3" ht="15" customHeight="1" x14ac:dyDescent="0.25">
      <c r="A2926" t="s">
        <v>5216</v>
      </c>
      <c r="B2926">
        <v>32.4</v>
      </c>
      <c r="C2926">
        <v>0.2</v>
      </c>
    </row>
    <row r="2927" spans="1:3" ht="15" customHeight="1" x14ac:dyDescent="0.25">
      <c r="A2927" t="s">
        <v>5217</v>
      </c>
      <c r="B2927">
        <v>32.4</v>
      </c>
      <c r="C2927">
        <v>0.2</v>
      </c>
    </row>
    <row r="2928" spans="1:3" ht="15" customHeight="1" x14ac:dyDescent="0.25">
      <c r="A2928" t="s">
        <v>5218</v>
      </c>
      <c r="B2928">
        <v>32.4</v>
      </c>
      <c r="C2928">
        <v>0.2</v>
      </c>
    </row>
    <row r="2929" spans="1:3" ht="15" customHeight="1" x14ac:dyDescent="0.25">
      <c r="A2929" t="s">
        <v>5219</v>
      </c>
      <c r="B2929">
        <v>32.4</v>
      </c>
      <c r="C2929">
        <v>0.2</v>
      </c>
    </row>
    <row r="2930" spans="1:3" ht="15" customHeight="1" x14ac:dyDescent="0.25">
      <c r="A2930" t="s">
        <v>5220</v>
      </c>
      <c r="B2930">
        <v>32.4</v>
      </c>
      <c r="C2930">
        <v>0.2</v>
      </c>
    </row>
    <row r="2931" spans="1:3" ht="15" customHeight="1" x14ac:dyDescent="0.25">
      <c r="A2931" t="s">
        <v>5221</v>
      </c>
      <c r="B2931">
        <v>32.4</v>
      </c>
      <c r="C2931">
        <v>0.2</v>
      </c>
    </row>
    <row r="2932" spans="1:3" ht="15" customHeight="1" x14ac:dyDescent="0.25">
      <c r="A2932" t="s">
        <v>5222</v>
      </c>
      <c r="B2932">
        <v>32.4</v>
      </c>
      <c r="C2932">
        <v>0.2</v>
      </c>
    </row>
    <row r="2933" spans="1:3" ht="15" customHeight="1" x14ac:dyDescent="0.25">
      <c r="A2933" t="s">
        <v>5223</v>
      </c>
      <c r="B2933">
        <v>32.4</v>
      </c>
      <c r="C2933">
        <v>0.1</v>
      </c>
    </row>
    <row r="2934" spans="1:3" ht="15" customHeight="1" x14ac:dyDescent="0.25">
      <c r="A2934" t="s">
        <v>5224</v>
      </c>
      <c r="B2934">
        <v>32.4</v>
      </c>
      <c r="C2934">
        <v>0.2</v>
      </c>
    </row>
    <row r="2935" spans="1:3" ht="15" customHeight="1" x14ac:dyDescent="0.25">
      <c r="A2935" t="s">
        <v>5225</v>
      </c>
      <c r="B2935">
        <v>32.4</v>
      </c>
      <c r="C2935">
        <v>0.2</v>
      </c>
    </row>
    <row r="2936" spans="1:3" ht="15" customHeight="1" x14ac:dyDescent="0.25">
      <c r="A2936" t="s">
        <v>5226</v>
      </c>
      <c r="B2936">
        <v>32.4</v>
      </c>
      <c r="C2936">
        <v>0.1</v>
      </c>
    </row>
    <row r="2937" spans="1:3" ht="15" customHeight="1" x14ac:dyDescent="0.25">
      <c r="A2937" t="s">
        <v>5227</v>
      </c>
      <c r="B2937">
        <v>32.4</v>
      </c>
      <c r="C2937">
        <v>0.1</v>
      </c>
    </row>
    <row r="2938" spans="1:3" ht="15" customHeight="1" x14ac:dyDescent="0.25">
      <c r="A2938" t="s">
        <v>5228</v>
      </c>
      <c r="B2938">
        <v>32.4</v>
      </c>
      <c r="C2938">
        <v>0.2</v>
      </c>
    </row>
    <row r="2939" spans="1:3" ht="15" customHeight="1" x14ac:dyDescent="0.25">
      <c r="A2939" t="s">
        <v>5229</v>
      </c>
      <c r="B2939">
        <v>32.4</v>
      </c>
      <c r="C2939">
        <v>0.2</v>
      </c>
    </row>
    <row r="2940" spans="1:3" ht="15" customHeight="1" x14ac:dyDescent="0.25">
      <c r="A2940" t="s">
        <v>5230</v>
      </c>
      <c r="B2940">
        <v>32.4</v>
      </c>
      <c r="C2940">
        <v>0.2</v>
      </c>
    </row>
    <row r="2941" spans="1:3" ht="15" customHeight="1" x14ac:dyDescent="0.25">
      <c r="A2941" t="s">
        <v>5231</v>
      </c>
      <c r="B2941">
        <v>32.4</v>
      </c>
      <c r="C2941">
        <v>0.2</v>
      </c>
    </row>
    <row r="2942" spans="1:3" ht="15" customHeight="1" x14ac:dyDescent="0.25">
      <c r="A2942" t="s">
        <v>5232</v>
      </c>
      <c r="B2942">
        <v>32.4</v>
      </c>
      <c r="C2942">
        <v>0.2</v>
      </c>
    </row>
    <row r="2943" spans="1:3" ht="15" customHeight="1" x14ac:dyDescent="0.25">
      <c r="A2943" t="s">
        <v>5233</v>
      </c>
      <c r="B2943">
        <v>32.4</v>
      </c>
      <c r="C2943">
        <v>0.2</v>
      </c>
    </row>
    <row r="2944" spans="1:3" ht="15" customHeight="1" x14ac:dyDescent="0.25">
      <c r="A2944" t="s">
        <v>5234</v>
      </c>
      <c r="B2944">
        <v>32.4</v>
      </c>
      <c r="C2944">
        <v>0.2</v>
      </c>
    </row>
    <row r="2945" spans="1:3" ht="15" customHeight="1" x14ac:dyDescent="0.25">
      <c r="A2945" t="s">
        <v>5235</v>
      </c>
      <c r="B2945">
        <v>32.4</v>
      </c>
      <c r="C2945">
        <v>0.1</v>
      </c>
    </row>
    <row r="2946" spans="1:3" ht="15" customHeight="1" x14ac:dyDescent="0.25">
      <c r="A2946" t="s">
        <v>5236</v>
      </c>
      <c r="B2946">
        <v>32.4</v>
      </c>
      <c r="C2946">
        <v>0.2</v>
      </c>
    </row>
    <row r="2947" spans="1:3" ht="15" customHeight="1" x14ac:dyDescent="0.25">
      <c r="A2947" t="s">
        <v>5237</v>
      </c>
      <c r="B2947">
        <v>32.4</v>
      </c>
      <c r="C2947">
        <v>0.2</v>
      </c>
    </row>
    <row r="2948" spans="1:3" ht="15" customHeight="1" x14ac:dyDescent="0.25">
      <c r="A2948" t="s">
        <v>5238</v>
      </c>
      <c r="B2948">
        <v>32.4</v>
      </c>
      <c r="C2948">
        <v>0.1</v>
      </c>
    </row>
    <row r="2949" spans="1:3" ht="15" customHeight="1" x14ac:dyDescent="0.25">
      <c r="A2949" t="s">
        <v>5239</v>
      </c>
      <c r="B2949">
        <v>32.4</v>
      </c>
      <c r="C2949">
        <v>0.2</v>
      </c>
    </row>
    <row r="2950" spans="1:3" ht="15" customHeight="1" x14ac:dyDescent="0.25">
      <c r="A2950" t="s">
        <v>5240</v>
      </c>
      <c r="B2950">
        <v>32.4</v>
      </c>
      <c r="C2950">
        <v>0.2</v>
      </c>
    </row>
    <row r="2951" spans="1:3" ht="15" customHeight="1" x14ac:dyDescent="0.25">
      <c r="A2951" t="s">
        <v>5241</v>
      </c>
      <c r="B2951">
        <v>32.4</v>
      </c>
      <c r="C2951">
        <v>0.1</v>
      </c>
    </row>
    <row r="2952" spans="1:3" ht="15" customHeight="1" x14ac:dyDescent="0.25">
      <c r="A2952" t="s">
        <v>5242</v>
      </c>
      <c r="B2952">
        <v>32.4</v>
      </c>
      <c r="C2952">
        <v>0.1</v>
      </c>
    </row>
    <row r="2953" spans="1:3" ht="15" customHeight="1" x14ac:dyDescent="0.25">
      <c r="A2953" t="s">
        <v>5243</v>
      </c>
      <c r="B2953">
        <v>32.4</v>
      </c>
      <c r="C2953">
        <v>0.2</v>
      </c>
    </row>
    <row r="2954" spans="1:3" ht="15" customHeight="1" x14ac:dyDescent="0.25">
      <c r="A2954" t="s">
        <v>5244</v>
      </c>
      <c r="B2954">
        <v>32.4</v>
      </c>
      <c r="C2954">
        <v>0.2</v>
      </c>
    </row>
    <row r="2955" spans="1:3" ht="15" customHeight="1" x14ac:dyDescent="0.25">
      <c r="A2955" t="s">
        <v>5245</v>
      </c>
      <c r="B2955">
        <v>32.4</v>
      </c>
      <c r="C2955">
        <v>0.2</v>
      </c>
    </row>
    <row r="2956" spans="1:3" ht="15" customHeight="1" x14ac:dyDescent="0.25">
      <c r="A2956" t="s">
        <v>5246</v>
      </c>
      <c r="B2956">
        <v>32.4</v>
      </c>
      <c r="C2956">
        <v>0.2</v>
      </c>
    </row>
    <row r="2957" spans="1:3" ht="15" customHeight="1" x14ac:dyDescent="0.25">
      <c r="A2957" t="s">
        <v>5247</v>
      </c>
      <c r="B2957">
        <v>32.4</v>
      </c>
      <c r="C2957">
        <v>0.1</v>
      </c>
    </row>
    <row r="2958" spans="1:3" ht="15" customHeight="1" x14ac:dyDescent="0.25">
      <c r="A2958" t="s">
        <v>5248</v>
      </c>
      <c r="B2958">
        <v>32.4</v>
      </c>
      <c r="C2958">
        <v>0.2</v>
      </c>
    </row>
    <row r="2959" spans="1:3" ht="15" customHeight="1" x14ac:dyDescent="0.25">
      <c r="A2959" t="s">
        <v>5249</v>
      </c>
      <c r="B2959">
        <v>32.4</v>
      </c>
      <c r="C2959">
        <v>0.2</v>
      </c>
    </row>
    <row r="2960" spans="1:3" ht="15" customHeight="1" x14ac:dyDescent="0.25">
      <c r="A2960" t="s">
        <v>5250</v>
      </c>
      <c r="B2960">
        <v>32.4</v>
      </c>
      <c r="C2960">
        <v>0.1</v>
      </c>
    </row>
    <row r="2961" spans="1:3" ht="15" customHeight="1" x14ac:dyDescent="0.25">
      <c r="A2961" t="s">
        <v>5251</v>
      </c>
      <c r="B2961">
        <v>32.4</v>
      </c>
      <c r="C2961">
        <v>0.2</v>
      </c>
    </row>
    <row r="2962" spans="1:3" ht="15" customHeight="1" x14ac:dyDescent="0.25">
      <c r="A2962" t="s">
        <v>5252</v>
      </c>
      <c r="B2962">
        <v>32.4</v>
      </c>
      <c r="C2962">
        <v>0.2</v>
      </c>
    </row>
    <row r="2963" spans="1:3" ht="15" customHeight="1" x14ac:dyDescent="0.25">
      <c r="A2963" t="s">
        <v>5253</v>
      </c>
      <c r="B2963">
        <v>32.4</v>
      </c>
      <c r="C2963">
        <v>0.1</v>
      </c>
    </row>
    <row r="2964" spans="1:3" ht="15" customHeight="1" x14ac:dyDescent="0.25">
      <c r="A2964" t="s">
        <v>5254</v>
      </c>
      <c r="B2964">
        <v>32.4</v>
      </c>
      <c r="C2964">
        <v>0.1</v>
      </c>
    </row>
    <row r="2965" spans="1:3" ht="15" customHeight="1" x14ac:dyDescent="0.25">
      <c r="A2965" t="s">
        <v>5255</v>
      </c>
      <c r="B2965">
        <v>32.4</v>
      </c>
      <c r="C2965">
        <v>0.2</v>
      </c>
    </row>
    <row r="2966" spans="1:3" ht="15" customHeight="1" x14ac:dyDescent="0.25">
      <c r="A2966" t="s">
        <v>5256</v>
      </c>
      <c r="B2966">
        <v>32.4</v>
      </c>
      <c r="C2966">
        <v>0.2</v>
      </c>
    </row>
    <row r="2967" spans="1:3" ht="15" customHeight="1" x14ac:dyDescent="0.25">
      <c r="A2967" t="s">
        <v>5257</v>
      </c>
      <c r="B2967">
        <v>32.4</v>
      </c>
      <c r="C2967">
        <v>0.2</v>
      </c>
    </row>
    <row r="2968" spans="1:3" ht="15" customHeight="1" x14ac:dyDescent="0.25">
      <c r="A2968" t="s">
        <v>5258</v>
      </c>
      <c r="B2968">
        <v>32.4</v>
      </c>
      <c r="C2968">
        <v>0.2</v>
      </c>
    </row>
    <row r="2969" spans="1:3" ht="15" customHeight="1" x14ac:dyDescent="0.25">
      <c r="A2969" t="s">
        <v>5259</v>
      </c>
      <c r="B2969">
        <v>32.4</v>
      </c>
      <c r="C2969">
        <v>0.1</v>
      </c>
    </row>
    <row r="2970" spans="1:3" ht="15" customHeight="1" x14ac:dyDescent="0.25">
      <c r="A2970" t="s">
        <v>5260</v>
      </c>
      <c r="B2970">
        <v>32.4</v>
      </c>
      <c r="C2970">
        <v>0.1</v>
      </c>
    </row>
    <row r="2971" spans="1:3" ht="15" customHeight="1" x14ac:dyDescent="0.25">
      <c r="A2971" t="s">
        <v>5261</v>
      </c>
      <c r="B2971">
        <v>32.4</v>
      </c>
      <c r="C2971">
        <v>0.2</v>
      </c>
    </row>
    <row r="2972" spans="1:3" ht="15" customHeight="1" x14ac:dyDescent="0.25">
      <c r="A2972" t="s">
        <v>5262</v>
      </c>
      <c r="B2972">
        <v>32.4</v>
      </c>
      <c r="C2972">
        <v>0.1</v>
      </c>
    </row>
    <row r="2973" spans="1:3" ht="15" customHeight="1" x14ac:dyDescent="0.25">
      <c r="A2973" t="s">
        <v>5263</v>
      </c>
      <c r="B2973">
        <v>32.4</v>
      </c>
      <c r="C2973">
        <v>0.1</v>
      </c>
    </row>
    <row r="2974" spans="1:3" ht="15" customHeight="1" x14ac:dyDescent="0.25">
      <c r="A2974" t="s">
        <v>5264</v>
      </c>
      <c r="B2974">
        <v>32.4</v>
      </c>
      <c r="C2974">
        <v>0.2</v>
      </c>
    </row>
    <row r="2975" spans="1:3" ht="15" customHeight="1" x14ac:dyDescent="0.25">
      <c r="A2975" t="s">
        <v>5265</v>
      </c>
      <c r="B2975">
        <v>32.4</v>
      </c>
      <c r="C2975">
        <v>0.2</v>
      </c>
    </row>
    <row r="2976" spans="1:3" ht="15" customHeight="1" x14ac:dyDescent="0.25">
      <c r="A2976" t="s">
        <v>5266</v>
      </c>
      <c r="B2976">
        <v>32.4</v>
      </c>
      <c r="C2976">
        <v>0.2</v>
      </c>
    </row>
    <row r="2977" spans="1:3" ht="15" customHeight="1" x14ac:dyDescent="0.25">
      <c r="A2977" t="s">
        <v>5267</v>
      </c>
      <c r="B2977">
        <v>32.4</v>
      </c>
      <c r="C2977">
        <v>0.2</v>
      </c>
    </row>
    <row r="2978" spans="1:3" ht="15" customHeight="1" x14ac:dyDescent="0.25">
      <c r="A2978" t="s">
        <v>5268</v>
      </c>
      <c r="B2978">
        <v>43.5</v>
      </c>
      <c r="C2978">
        <v>0.3</v>
      </c>
    </row>
    <row r="2979" spans="1:3" ht="15" customHeight="1" x14ac:dyDescent="0.25">
      <c r="A2979" t="s">
        <v>5269</v>
      </c>
      <c r="B2979">
        <v>43.5</v>
      </c>
      <c r="C2979">
        <v>0.3</v>
      </c>
    </row>
    <row r="2980" spans="1:3" ht="15" customHeight="1" x14ac:dyDescent="0.25">
      <c r="A2980" t="s">
        <v>5270</v>
      </c>
      <c r="B2980">
        <v>43.5</v>
      </c>
      <c r="C2980">
        <v>0.3</v>
      </c>
    </row>
    <row r="2981" spans="1:3" ht="15" customHeight="1" x14ac:dyDescent="0.25">
      <c r="A2981" t="s">
        <v>5271</v>
      </c>
      <c r="B2981">
        <v>43.5</v>
      </c>
      <c r="C2981">
        <v>0.3</v>
      </c>
    </row>
    <row r="2982" spans="1:3" ht="15" customHeight="1" x14ac:dyDescent="0.25">
      <c r="A2982" t="s">
        <v>5272</v>
      </c>
      <c r="B2982">
        <v>43.5</v>
      </c>
      <c r="C2982">
        <v>0.3</v>
      </c>
    </row>
    <row r="2983" spans="1:3" ht="15" customHeight="1" x14ac:dyDescent="0.25">
      <c r="A2983" t="s">
        <v>5273</v>
      </c>
      <c r="B2983">
        <v>43.5</v>
      </c>
      <c r="C2983">
        <v>0.3</v>
      </c>
    </row>
    <row r="2984" spans="1:3" ht="15" customHeight="1" x14ac:dyDescent="0.25">
      <c r="A2984" t="s">
        <v>5274</v>
      </c>
      <c r="B2984">
        <v>43.5</v>
      </c>
      <c r="C2984">
        <v>0.3</v>
      </c>
    </row>
    <row r="2985" spans="1:3" ht="15" customHeight="1" x14ac:dyDescent="0.25">
      <c r="A2985" t="s">
        <v>5275</v>
      </c>
      <c r="B2985">
        <v>43.5</v>
      </c>
      <c r="C2985">
        <v>0.3</v>
      </c>
    </row>
    <row r="2986" spans="1:3" ht="15" customHeight="1" x14ac:dyDescent="0.25">
      <c r="A2986" t="s">
        <v>5276</v>
      </c>
      <c r="B2986">
        <v>43.5</v>
      </c>
      <c r="C2986">
        <v>0.3</v>
      </c>
    </row>
    <row r="2987" spans="1:3" ht="15" customHeight="1" x14ac:dyDescent="0.25">
      <c r="A2987" t="s">
        <v>5277</v>
      </c>
      <c r="B2987">
        <v>50.1</v>
      </c>
      <c r="C2987">
        <v>0.3</v>
      </c>
    </row>
    <row r="2988" spans="1:3" ht="15" customHeight="1" x14ac:dyDescent="0.25">
      <c r="A2988" t="s">
        <v>5278</v>
      </c>
      <c r="B2988">
        <v>50.1</v>
      </c>
      <c r="C2988">
        <v>0.3</v>
      </c>
    </row>
    <row r="2989" spans="1:3" ht="15" customHeight="1" x14ac:dyDescent="0.25">
      <c r="A2989" t="s">
        <v>5279</v>
      </c>
      <c r="B2989">
        <v>50.1</v>
      </c>
      <c r="C2989">
        <v>0.3</v>
      </c>
    </row>
    <row r="2990" spans="1:3" ht="15" customHeight="1" x14ac:dyDescent="0.25">
      <c r="A2990" t="s">
        <v>5280</v>
      </c>
      <c r="B2990">
        <v>50.1</v>
      </c>
      <c r="C2990">
        <v>0.3</v>
      </c>
    </row>
    <row r="2991" spans="1:3" ht="15" customHeight="1" x14ac:dyDescent="0.25">
      <c r="A2991" t="s">
        <v>5281</v>
      </c>
      <c r="B2991">
        <v>50.1</v>
      </c>
    </row>
    <row r="2992" spans="1:3" ht="15" customHeight="1" x14ac:dyDescent="0.25">
      <c r="A2992" t="s">
        <v>5282</v>
      </c>
      <c r="B2992">
        <v>50.1</v>
      </c>
      <c r="C2992">
        <v>0.3</v>
      </c>
    </row>
    <row r="2993" spans="1:3" ht="15" customHeight="1" x14ac:dyDescent="0.25">
      <c r="A2993" t="s">
        <v>5283</v>
      </c>
      <c r="B2993">
        <v>50.1</v>
      </c>
      <c r="C2993">
        <v>0.3</v>
      </c>
    </row>
    <row r="2994" spans="1:3" ht="15" customHeight="1" x14ac:dyDescent="0.25">
      <c r="A2994" t="s">
        <v>5284</v>
      </c>
      <c r="B2994">
        <v>50.1</v>
      </c>
      <c r="C2994">
        <v>0.3</v>
      </c>
    </row>
    <row r="2995" spans="1:3" ht="15" customHeight="1" x14ac:dyDescent="0.25">
      <c r="A2995" t="s">
        <v>5285</v>
      </c>
      <c r="B2995">
        <v>50.1</v>
      </c>
      <c r="C2995">
        <v>0.3</v>
      </c>
    </row>
    <row r="2996" spans="1:3" ht="15" customHeight="1" x14ac:dyDescent="0.25">
      <c r="A2996" t="s">
        <v>5286</v>
      </c>
      <c r="B2996">
        <v>50.1</v>
      </c>
      <c r="C2996">
        <v>0.3</v>
      </c>
    </row>
    <row r="2997" spans="1:3" ht="15" customHeight="1" x14ac:dyDescent="0.25">
      <c r="A2997" t="s">
        <v>5287</v>
      </c>
      <c r="B2997">
        <v>50.1</v>
      </c>
      <c r="C2997">
        <v>0.3</v>
      </c>
    </row>
    <row r="2998" spans="1:3" ht="15" customHeight="1" x14ac:dyDescent="0.25">
      <c r="A2998" t="s">
        <v>5288</v>
      </c>
      <c r="B2998">
        <v>50.1</v>
      </c>
      <c r="C2998">
        <v>0.3</v>
      </c>
    </row>
    <row r="2999" spans="1:3" ht="15" customHeight="1" x14ac:dyDescent="0.25">
      <c r="A2999" t="s">
        <v>5289</v>
      </c>
      <c r="B2999">
        <v>44.3</v>
      </c>
    </row>
    <row r="3000" spans="1:3" ht="15" customHeight="1" x14ac:dyDescent="0.25">
      <c r="A3000" t="s">
        <v>5290</v>
      </c>
      <c r="B3000">
        <v>44.3</v>
      </c>
      <c r="C3000">
        <v>0.4</v>
      </c>
    </row>
    <row r="3001" spans="1:3" ht="15" customHeight="1" x14ac:dyDescent="0.25">
      <c r="A3001" t="s">
        <v>5291</v>
      </c>
      <c r="B3001">
        <v>44.3</v>
      </c>
      <c r="C3001">
        <v>0.4</v>
      </c>
    </row>
    <row r="3002" spans="1:3" ht="15" customHeight="1" x14ac:dyDescent="0.25">
      <c r="A3002" t="s">
        <v>5292</v>
      </c>
      <c r="B3002">
        <v>44.3</v>
      </c>
      <c r="C3002">
        <v>0.4</v>
      </c>
    </row>
    <row r="3003" spans="1:3" ht="15" customHeight="1" x14ac:dyDescent="0.25">
      <c r="A3003" t="s">
        <v>5293</v>
      </c>
      <c r="B3003">
        <v>44.3</v>
      </c>
    </row>
    <row r="3004" spans="1:3" ht="15" customHeight="1" x14ac:dyDescent="0.25">
      <c r="A3004" t="s">
        <v>735</v>
      </c>
      <c r="B3004">
        <v>44.3</v>
      </c>
      <c r="C3004">
        <v>0.4</v>
      </c>
    </row>
    <row r="3005" spans="1:3" ht="15" customHeight="1" x14ac:dyDescent="0.25">
      <c r="A3005" t="s">
        <v>5294</v>
      </c>
      <c r="B3005">
        <v>44.3</v>
      </c>
    </row>
    <row r="3006" spans="1:3" ht="15" customHeight="1" x14ac:dyDescent="0.25">
      <c r="A3006" t="s">
        <v>5295</v>
      </c>
      <c r="B3006">
        <v>44.3</v>
      </c>
    </row>
    <row r="3007" spans="1:3" ht="15" customHeight="1" x14ac:dyDescent="0.25">
      <c r="A3007" t="s">
        <v>5296</v>
      </c>
      <c r="B3007">
        <v>44.3</v>
      </c>
      <c r="C3007">
        <v>0.4</v>
      </c>
    </row>
    <row r="3008" spans="1:3" ht="15" customHeight="1" x14ac:dyDescent="0.25">
      <c r="A3008" t="s">
        <v>5297</v>
      </c>
      <c r="B3008">
        <v>44.3</v>
      </c>
    </row>
    <row r="3009" spans="1:3" ht="15" customHeight="1" x14ac:dyDescent="0.25">
      <c r="A3009" t="s">
        <v>5298</v>
      </c>
      <c r="B3009">
        <v>44.3</v>
      </c>
    </row>
    <row r="3010" spans="1:3" ht="15" customHeight="1" x14ac:dyDescent="0.25">
      <c r="A3010" t="s">
        <v>5299</v>
      </c>
      <c r="B3010">
        <v>44.3</v>
      </c>
    </row>
    <row r="3011" spans="1:3" ht="15" customHeight="1" x14ac:dyDescent="0.25">
      <c r="A3011" t="s">
        <v>5300</v>
      </c>
      <c r="B3011">
        <v>44.3</v>
      </c>
      <c r="C3011">
        <v>0.2</v>
      </c>
    </row>
    <row r="3012" spans="1:3" ht="15" customHeight="1" x14ac:dyDescent="0.25">
      <c r="A3012" t="s">
        <v>5301</v>
      </c>
      <c r="B3012">
        <v>44.3</v>
      </c>
      <c r="C3012">
        <v>0.2</v>
      </c>
    </row>
    <row r="3013" spans="1:3" ht="15" customHeight="1" x14ac:dyDescent="0.25">
      <c r="A3013" t="s">
        <v>5302</v>
      </c>
      <c r="B3013">
        <v>44.3</v>
      </c>
    </row>
    <row r="3014" spans="1:3" ht="15" customHeight="1" x14ac:dyDescent="0.25">
      <c r="A3014" t="s">
        <v>5303</v>
      </c>
      <c r="B3014">
        <v>44.3</v>
      </c>
    </row>
    <row r="3015" spans="1:3" ht="15" customHeight="1" x14ac:dyDescent="0.25">
      <c r="A3015" t="s">
        <v>5304</v>
      </c>
      <c r="B3015">
        <v>44.3</v>
      </c>
    </row>
    <row r="3016" spans="1:3" ht="15" customHeight="1" x14ac:dyDescent="0.25">
      <c r="A3016" t="s">
        <v>5305</v>
      </c>
      <c r="B3016">
        <v>44.3</v>
      </c>
    </row>
    <row r="3017" spans="1:3" ht="15" customHeight="1" x14ac:dyDescent="0.25">
      <c r="A3017" t="s">
        <v>5306</v>
      </c>
      <c r="B3017">
        <v>44.3</v>
      </c>
      <c r="C3017">
        <v>0.2</v>
      </c>
    </row>
    <row r="3018" spans="1:3" ht="15" customHeight="1" x14ac:dyDescent="0.25">
      <c r="A3018" t="s">
        <v>5307</v>
      </c>
      <c r="B3018">
        <v>44.3</v>
      </c>
      <c r="C3018">
        <v>0.2</v>
      </c>
    </row>
    <row r="3019" spans="1:3" ht="15" customHeight="1" x14ac:dyDescent="0.25">
      <c r="A3019" t="s">
        <v>5308</v>
      </c>
      <c r="B3019">
        <v>44.3</v>
      </c>
      <c r="C3019">
        <v>0.2</v>
      </c>
    </row>
    <row r="3020" spans="1:3" ht="15" customHeight="1" x14ac:dyDescent="0.25">
      <c r="A3020" t="s">
        <v>5309</v>
      </c>
      <c r="B3020">
        <v>44.3</v>
      </c>
      <c r="C3020">
        <v>0.2</v>
      </c>
    </row>
    <row r="3021" spans="1:3" ht="15" customHeight="1" x14ac:dyDescent="0.25">
      <c r="A3021" t="s">
        <v>5310</v>
      </c>
      <c r="B3021">
        <v>44.3</v>
      </c>
      <c r="C3021">
        <v>0.2</v>
      </c>
    </row>
    <row r="3022" spans="1:3" ht="15" customHeight="1" x14ac:dyDescent="0.25">
      <c r="A3022" t="s">
        <v>5311</v>
      </c>
      <c r="B3022">
        <v>44.3</v>
      </c>
      <c r="C3022">
        <v>0.2</v>
      </c>
    </row>
    <row r="3023" spans="1:3" ht="15" customHeight="1" x14ac:dyDescent="0.25">
      <c r="A3023" t="s">
        <v>5312</v>
      </c>
      <c r="B3023">
        <v>44.3</v>
      </c>
      <c r="C3023">
        <v>0.1</v>
      </c>
    </row>
    <row r="3024" spans="1:3" ht="15" customHeight="1" x14ac:dyDescent="0.25">
      <c r="A3024" t="s">
        <v>5313</v>
      </c>
      <c r="B3024">
        <v>44.3</v>
      </c>
      <c r="C3024">
        <v>0.2</v>
      </c>
    </row>
    <row r="3025" spans="1:3" ht="15" customHeight="1" x14ac:dyDescent="0.25">
      <c r="A3025" t="s">
        <v>5314</v>
      </c>
      <c r="B3025">
        <v>44.3</v>
      </c>
      <c r="C3025">
        <v>0.2</v>
      </c>
    </row>
    <row r="3026" spans="1:3" ht="15" customHeight="1" x14ac:dyDescent="0.25">
      <c r="A3026" t="s">
        <v>5315</v>
      </c>
      <c r="B3026">
        <v>44.3</v>
      </c>
      <c r="C3026">
        <v>0.2</v>
      </c>
    </row>
    <row r="3027" spans="1:3" ht="15" customHeight="1" x14ac:dyDescent="0.25">
      <c r="A3027" t="s">
        <v>5316</v>
      </c>
      <c r="B3027">
        <v>44.3</v>
      </c>
      <c r="C3027">
        <v>0.2</v>
      </c>
    </row>
    <row r="3028" spans="1:3" ht="15" customHeight="1" x14ac:dyDescent="0.25">
      <c r="A3028" t="s">
        <v>5317</v>
      </c>
      <c r="B3028">
        <v>44.3</v>
      </c>
      <c r="C3028">
        <v>0.2</v>
      </c>
    </row>
    <row r="3029" spans="1:3" ht="15" customHeight="1" x14ac:dyDescent="0.25">
      <c r="A3029" t="s">
        <v>5318</v>
      </c>
      <c r="B3029">
        <v>44.3</v>
      </c>
      <c r="C3029">
        <v>0.2</v>
      </c>
    </row>
    <row r="3030" spans="1:3" ht="15" customHeight="1" x14ac:dyDescent="0.25">
      <c r="A3030" t="s">
        <v>5319</v>
      </c>
      <c r="B3030">
        <v>44.3</v>
      </c>
      <c r="C3030">
        <v>0.2</v>
      </c>
    </row>
    <row r="3031" spans="1:3" ht="15" customHeight="1" x14ac:dyDescent="0.25">
      <c r="A3031" t="s">
        <v>5320</v>
      </c>
      <c r="B3031">
        <v>44.3</v>
      </c>
      <c r="C3031">
        <v>0.2</v>
      </c>
    </row>
    <row r="3032" spans="1:3" ht="15" customHeight="1" x14ac:dyDescent="0.25">
      <c r="A3032" t="s">
        <v>5321</v>
      </c>
      <c r="B3032">
        <v>44.3</v>
      </c>
      <c r="C3032">
        <v>0.2</v>
      </c>
    </row>
    <row r="3033" spans="1:3" ht="15" customHeight="1" x14ac:dyDescent="0.25">
      <c r="A3033" t="s">
        <v>5322</v>
      </c>
      <c r="B3033">
        <v>44.3</v>
      </c>
      <c r="C3033">
        <v>0.2</v>
      </c>
    </row>
    <row r="3034" spans="1:3" ht="15" customHeight="1" x14ac:dyDescent="0.25">
      <c r="A3034" t="s">
        <v>5323</v>
      </c>
      <c r="B3034">
        <v>44.3</v>
      </c>
      <c r="C3034">
        <v>0.2</v>
      </c>
    </row>
    <row r="3035" spans="1:3" ht="15" customHeight="1" x14ac:dyDescent="0.25">
      <c r="A3035" t="s">
        <v>5324</v>
      </c>
      <c r="B3035">
        <v>44.3</v>
      </c>
      <c r="C3035">
        <v>0.03</v>
      </c>
    </row>
    <row r="3036" spans="1:3" ht="15" customHeight="1" x14ac:dyDescent="0.25">
      <c r="A3036" t="s">
        <v>5325</v>
      </c>
      <c r="B3036">
        <v>44.3</v>
      </c>
      <c r="C3036">
        <v>0.1</v>
      </c>
    </row>
    <row r="3037" spans="1:3" ht="15" customHeight="1" x14ac:dyDescent="0.25">
      <c r="A3037" t="s">
        <v>5326</v>
      </c>
      <c r="B3037">
        <v>44.3</v>
      </c>
      <c r="C3037">
        <v>0.1</v>
      </c>
    </row>
    <row r="3038" spans="1:3" ht="15" customHeight="1" x14ac:dyDescent="0.25">
      <c r="A3038" t="s">
        <v>5327</v>
      </c>
      <c r="B3038">
        <v>44.3</v>
      </c>
    </row>
    <row r="3039" spans="1:3" ht="15" customHeight="1" x14ac:dyDescent="0.25">
      <c r="A3039" t="s">
        <v>5328</v>
      </c>
      <c r="B3039">
        <v>44.3</v>
      </c>
      <c r="C3039">
        <v>0.4</v>
      </c>
    </row>
    <row r="3040" spans="1:3" ht="15" customHeight="1" x14ac:dyDescent="0.25">
      <c r="A3040" t="s">
        <v>5329</v>
      </c>
      <c r="B3040">
        <v>44.3</v>
      </c>
      <c r="C3040">
        <v>0.4</v>
      </c>
    </row>
    <row r="3041" spans="1:3" ht="15" customHeight="1" x14ac:dyDescent="0.25">
      <c r="A3041" t="s">
        <v>5330</v>
      </c>
      <c r="B3041">
        <v>44.3</v>
      </c>
    </row>
    <row r="3042" spans="1:3" ht="15" customHeight="1" x14ac:dyDescent="0.25">
      <c r="A3042" t="s">
        <v>5331</v>
      </c>
      <c r="B3042">
        <v>44.3</v>
      </c>
      <c r="C3042">
        <v>0.4</v>
      </c>
    </row>
    <row r="3043" spans="1:3" ht="15" customHeight="1" x14ac:dyDescent="0.25">
      <c r="A3043" t="s">
        <v>5332</v>
      </c>
      <c r="B3043">
        <v>44.3</v>
      </c>
      <c r="C3043">
        <v>0.4</v>
      </c>
    </row>
    <row r="3044" spans="1:3" ht="15" customHeight="1" x14ac:dyDescent="0.25">
      <c r="A3044" t="s">
        <v>5333</v>
      </c>
      <c r="B3044">
        <v>44.3</v>
      </c>
    </row>
    <row r="3045" spans="1:3" ht="15" customHeight="1" x14ac:dyDescent="0.25">
      <c r="A3045" t="s">
        <v>5334</v>
      </c>
      <c r="B3045">
        <v>44.3</v>
      </c>
    </row>
    <row r="3046" spans="1:3" ht="15" customHeight="1" x14ac:dyDescent="0.25">
      <c r="A3046" t="s">
        <v>5335</v>
      </c>
      <c r="B3046">
        <v>44.3</v>
      </c>
    </row>
    <row r="3047" spans="1:3" ht="15" customHeight="1" x14ac:dyDescent="0.25">
      <c r="A3047" t="s">
        <v>5336</v>
      </c>
      <c r="B3047">
        <v>44.3</v>
      </c>
      <c r="C3047">
        <v>0.4</v>
      </c>
    </row>
    <row r="3048" spans="1:3" ht="15" customHeight="1" x14ac:dyDescent="0.25">
      <c r="A3048" t="s">
        <v>5337</v>
      </c>
      <c r="B3048">
        <v>44.3</v>
      </c>
      <c r="C3048">
        <v>0.4</v>
      </c>
    </row>
    <row r="3049" spans="1:3" ht="15" customHeight="1" x14ac:dyDescent="0.25">
      <c r="A3049" t="s">
        <v>5338</v>
      </c>
      <c r="B3049">
        <v>44.3</v>
      </c>
    </row>
    <row r="3050" spans="1:3" ht="15" customHeight="1" x14ac:dyDescent="0.25">
      <c r="A3050" t="s">
        <v>5339</v>
      </c>
      <c r="B3050">
        <v>44.3</v>
      </c>
    </row>
    <row r="3051" spans="1:3" ht="15" customHeight="1" x14ac:dyDescent="0.25">
      <c r="A3051" t="s">
        <v>5340</v>
      </c>
      <c r="B3051">
        <v>44.3</v>
      </c>
    </row>
    <row r="3052" spans="1:3" ht="15" customHeight="1" x14ac:dyDescent="0.25">
      <c r="A3052" t="s">
        <v>5341</v>
      </c>
      <c r="B3052">
        <v>44.3</v>
      </c>
      <c r="C3052">
        <v>0.2</v>
      </c>
    </row>
    <row r="3053" spans="1:3" ht="15" customHeight="1" x14ac:dyDescent="0.25">
      <c r="A3053" t="s">
        <v>5342</v>
      </c>
      <c r="B3053">
        <v>44.3</v>
      </c>
    </row>
    <row r="3054" spans="1:3" ht="15" customHeight="1" x14ac:dyDescent="0.25">
      <c r="A3054" t="s">
        <v>5343</v>
      </c>
      <c r="B3054">
        <v>44.3</v>
      </c>
    </row>
    <row r="3055" spans="1:3" ht="15" customHeight="1" x14ac:dyDescent="0.25">
      <c r="A3055" t="s">
        <v>5344</v>
      </c>
      <c r="B3055">
        <v>44.3</v>
      </c>
      <c r="C3055">
        <v>0.4</v>
      </c>
    </row>
    <row r="3056" spans="1:3" ht="15" customHeight="1" x14ac:dyDescent="0.25">
      <c r="A3056" t="s">
        <v>5345</v>
      </c>
      <c r="B3056">
        <v>44.3</v>
      </c>
      <c r="C3056">
        <v>0.4</v>
      </c>
    </row>
    <row r="3057" spans="1:3" ht="15" customHeight="1" x14ac:dyDescent="0.25">
      <c r="A3057" t="s">
        <v>5346</v>
      </c>
      <c r="B3057">
        <v>44.3</v>
      </c>
    </row>
    <row r="3058" spans="1:3" ht="15" customHeight="1" x14ac:dyDescent="0.25">
      <c r="A3058" t="s">
        <v>5347</v>
      </c>
      <c r="B3058">
        <v>44.3</v>
      </c>
      <c r="C3058">
        <v>0.4</v>
      </c>
    </row>
    <row r="3059" spans="1:3" ht="15" customHeight="1" x14ac:dyDescent="0.25">
      <c r="A3059" t="s">
        <v>5348</v>
      </c>
      <c r="B3059">
        <v>44.3</v>
      </c>
      <c r="C3059">
        <v>0.4</v>
      </c>
    </row>
    <row r="3060" spans="1:3" ht="15" customHeight="1" x14ac:dyDescent="0.25">
      <c r="A3060" t="s">
        <v>5349</v>
      </c>
      <c r="B3060">
        <v>44.3</v>
      </c>
      <c r="C3060">
        <v>0.4</v>
      </c>
    </row>
    <row r="3061" spans="1:3" ht="15" customHeight="1" x14ac:dyDescent="0.25">
      <c r="A3061" t="s">
        <v>5350</v>
      </c>
      <c r="B3061">
        <v>44.3</v>
      </c>
    </row>
    <row r="3062" spans="1:3" ht="15" customHeight="1" x14ac:dyDescent="0.25">
      <c r="A3062" t="s">
        <v>5351</v>
      </c>
      <c r="B3062">
        <v>44.3</v>
      </c>
    </row>
    <row r="3063" spans="1:3" ht="15" customHeight="1" x14ac:dyDescent="0.25">
      <c r="A3063" t="s">
        <v>5352</v>
      </c>
      <c r="B3063">
        <v>44.3</v>
      </c>
      <c r="C3063">
        <v>0.4</v>
      </c>
    </row>
    <row r="3064" spans="1:3" ht="15" customHeight="1" x14ac:dyDescent="0.25">
      <c r="A3064" t="s">
        <v>5353</v>
      </c>
      <c r="B3064">
        <v>44.3</v>
      </c>
      <c r="C3064">
        <v>0.4</v>
      </c>
    </row>
    <row r="3065" spans="1:3" ht="15" customHeight="1" x14ac:dyDescent="0.25">
      <c r="A3065" t="s">
        <v>5354</v>
      </c>
      <c r="B3065">
        <v>44.3</v>
      </c>
      <c r="C3065">
        <v>0.4</v>
      </c>
    </row>
    <row r="3066" spans="1:3" ht="15" customHeight="1" x14ac:dyDescent="0.25">
      <c r="A3066" t="s">
        <v>5355</v>
      </c>
      <c r="B3066">
        <v>44.3</v>
      </c>
    </row>
    <row r="3067" spans="1:3" ht="15" customHeight="1" x14ac:dyDescent="0.25">
      <c r="A3067" t="s">
        <v>5356</v>
      </c>
      <c r="B3067">
        <v>44.3</v>
      </c>
    </row>
    <row r="3068" spans="1:3" ht="15" customHeight="1" x14ac:dyDescent="0.25">
      <c r="A3068" t="s">
        <v>5357</v>
      </c>
      <c r="B3068">
        <v>44.3</v>
      </c>
    </row>
    <row r="3069" spans="1:3" ht="15" customHeight="1" x14ac:dyDescent="0.25">
      <c r="A3069" t="s">
        <v>5358</v>
      </c>
      <c r="B3069">
        <v>44.3</v>
      </c>
      <c r="C3069">
        <v>0.4</v>
      </c>
    </row>
    <row r="3070" spans="1:3" ht="15" customHeight="1" x14ac:dyDescent="0.25">
      <c r="A3070" t="s">
        <v>5359</v>
      </c>
      <c r="B3070">
        <v>44.3</v>
      </c>
    </row>
    <row r="3071" spans="1:3" ht="15" customHeight="1" x14ac:dyDescent="0.25">
      <c r="A3071" t="s">
        <v>5360</v>
      </c>
      <c r="B3071">
        <v>44.3</v>
      </c>
      <c r="C3071">
        <v>0.4</v>
      </c>
    </row>
    <row r="3072" spans="1:3" ht="15" customHeight="1" x14ac:dyDescent="0.25">
      <c r="A3072" t="s">
        <v>5361</v>
      </c>
      <c r="B3072">
        <v>44.3</v>
      </c>
      <c r="C3072">
        <v>0.4</v>
      </c>
    </row>
    <row r="3073" spans="1:3" ht="15" customHeight="1" x14ac:dyDescent="0.25">
      <c r="A3073" t="s">
        <v>5362</v>
      </c>
      <c r="B3073">
        <v>44.3</v>
      </c>
    </row>
    <row r="3074" spans="1:3" ht="15" customHeight="1" x14ac:dyDescent="0.25">
      <c r="A3074" t="s">
        <v>5363</v>
      </c>
      <c r="B3074">
        <v>44.3</v>
      </c>
      <c r="C3074">
        <v>0.4</v>
      </c>
    </row>
    <row r="3075" spans="1:3" ht="15" customHeight="1" x14ac:dyDescent="0.25">
      <c r="A3075" t="s">
        <v>5364</v>
      </c>
      <c r="B3075">
        <v>44.3</v>
      </c>
      <c r="C3075">
        <v>0.1</v>
      </c>
    </row>
    <row r="3076" spans="1:3" ht="15" customHeight="1" x14ac:dyDescent="0.25">
      <c r="A3076" t="s">
        <v>5365</v>
      </c>
      <c r="B3076">
        <v>44.3</v>
      </c>
      <c r="C3076">
        <v>0.4</v>
      </c>
    </row>
    <row r="3077" spans="1:3" ht="15" customHeight="1" x14ac:dyDescent="0.25">
      <c r="A3077" t="s">
        <v>5366</v>
      </c>
      <c r="B3077">
        <v>44.3</v>
      </c>
      <c r="C3077">
        <v>0.1</v>
      </c>
    </row>
    <row r="3078" spans="1:3" ht="15" customHeight="1" x14ac:dyDescent="0.25">
      <c r="A3078" t="s">
        <v>5367</v>
      </c>
      <c r="B3078">
        <v>44.3</v>
      </c>
      <c r="C3078">
        <v>0.4</v>
      </c>
    </row>
    <row r="3079" spans="1:3" ht="15" customHeight="1" x14ac:dyDescent="0.25">
      <c r="A3079" t="s">
        <v>5368</v>
      </c>
      <c r="B3079">
        <v>44.3</v>
      </c>
    </row>
    <row r="3080" spans="1:3" ht="15" customHeight="1" x14ac:dyDescent="0.25">
      <c r="A3080" t="s">
        <v>5369</v>
      </c>
      <c r="B3080">
        <v>44.3</v>
      </c>
      <c r="C3080">
        <v>0.4</v>
      </c>
    </row>
    <row r="3081" spans="1:3" ht="15" customHeight="1" x14ac:dyDescent="0.25">
      <c r="A3081" t="s">
        <v>5370</v>
      </c>
      <c r="B3081">
        <v>44.3</v>
      </c>
      <c r="C3081">
        <v>0.1</v>
      </c>
    </row>
    <row r="3082" spans="1:3" ht="15" customHeight="1" x14ac:dyDescent="0.25">
      <c r="A3082" t="s">
        <v>5371</v>
      </c>
      <c r="B3082">
        <v>44.3</v>
      </c>
      <c r="C3082">
        <v>0.4</v>
      </c>
    </row>
    <row r="3083" spans="1:3" ht="15" customHeight="1" x14ac:dyDescent="0.25">
      <c r="A3083" t="s">
        <v>5372</v>
      </c>
      <c r="B3083">
        <v>44.3</v>
      </c>
      <c r="C3083">
        <v>0.1</v>
      </c>
    </row>
    <row r="3084" spans="1:3" ht="15" customHeight="1" x14ac:dyDescent="0.25">
      <c r="A3084" t="s">
        <v>5373</v>
      </c>
      <c r="B3084">
        <v>44.3</v>
      </c>
      <c r="C3084">
        <v>0.1</v>
      </c>
    </row>
    <row r="3085" spans="1:3" ht="15" customHeight="1" x14ac:dyDescent="0.25">
      <c r="A3085" t="s">
        <v>5374</v>
      </c>
      <c r="B3085">
        <v>44.3</v>
      </c>
    </row>
    <row r="3086" spans="1:3" ht="15" customHeight="1" x14ac:dyDescent="0.25">
      <c r="A3086" t="s">
        <v>5375</v>
      </c>
      <c r="B3086">
        <v>44.3</v>
      </c>
      <c r="C3086">
        <v>0.1</v>
      </c>
    </row>
    <row r="3087" spans="1:3" ht="15" customHeight="1" x14ac:dyDescent="0.25">
      <c r="A3087" t="s">
        <v>5376</v>
      </c>
      <c r="B3087">
        <v>44.3</v>
      </c>
      <c r="C3087">
        <v>0.2</v>
      </c>
    </row>
    <row r="3088" spans="1:3" ht="15" customHeight="1" x14ac:dyDescent="0.25">
      <c r="A3088" t="s">
        <v>5377</v>
      </c>
      <c r="B3088">
        <v>44.3</v>
      </c>
      <c r="C3088">
        <v>0.2</v>
      </c>
    </row>
    <row r="3089" spans="1:3" ht="15" customHeight="1" x14ac:dyDescent="0.25">
      <c r="A3089" t="s">
        <v>5378</v>
      </c>
      <c r="B3089">
        <v>44.3</v>
      </c>
      <c r="C3089">
        <v>0.2</v>
      </c>
    </row>
    <row r="3090" spans="1:3" ht="15" customHeight="1" x14ac:dyDescent="0.25">
      <c r="A3090" t="s">
        <v>5379</v>
      </c>
      <c r="B3090">
        <v>43.7</v>
      </c>
      <c r="C3090">
        <v>0.03</v>
      </c>
    </row>
    <row r="3091" spans="1:3" ht="15" customHeight="1" x14ac:dyDescent="0.25">
      <c r="A3091" t="s">
        <v>5380</v>
      </c>
      <c r="B3091">
        <v>43.7</v>
      </c>
      <c r="C3091">
        <v>0.1</v>
      </c>
    </row>
    <row r="3092" spans="1:3" ht="15" customHeight="1" x14ac:dyDescent="0.25">
      <c r="A3092" t="s">
        <v>5381</v>
      </c>
      <c r="B3092">
        <v>43.7</v>
      </c>
      <c r="C3092">
        <v>0.1</v>
      </c>
    </row>
    <row r="3093" spans="1:3" ht="15" customHeight="1" x14ac:dyDescent="0.25">
      <c r="A3093" t="s">
        <v>5382</v>
      </c>
      <c r="B3093">
        <v>43.7</v>
      </c>
      <c r="C3093">
        <v>0.2</v>
      </c>
    </row>
    <row r="3094" spans="1:3" ht="15" customHeight="1" x14ac:dyDescent="0.25">
      <c r="A3094" t="s">
        <v>5383</v>
      </c>
      <c r="B3094">
        <v>43.7</v>
      </c>
      <c r="C3094">
        <v>0.2</v>
      </c>
    </row>
    <row r="3095" spans="1:3" ht="15" customHeight="1" x14ac:dyDescent="0.25">
      <c r="A3095" t="s">
        <v>833</v>
      </c>
      <c r="B3095">
        <v>43.7</v>
      </c>
      <c r="C3095">
        <v>0.2</v>
      </c>
    </row>
    <row r="3096" spans="1:3" ht="15" customHeight="1" x14ac:dyDescent="0.25">
      <c r="A3096" t="s">
        <v>5384</v>
      </c>
      <c r="B3096">
        <v>43.7</v>
      </c>
      <c r="C3096">
        <v>0.03</v>
      </c>
    </row>
    <row r="3097" spans="1:3" ht="15" customHeight="1" x14ac:dyDescent="0.25">
      <c r="A3097" t="s">
        <v>5385</v>
      </c>
      <c r="B3097">
        <v>43.7</v>
      </c>
      <c r="C3097">
        <v>0.1</v>
      </c>
    </row>
    <row r="3098" spans="1:3" ht="15" customHeight="1" x14ac:dyDescent="0.25">
      <c r="A3098" t="s">
        <v>5386</v>
      </c>
      <c r="B3098">
        <v>43.7</v>
      </c>
      <c r="C3098">
        <v>0.1</v>
      </c>
    </row>
    <row r="3099" spans="1:3" ht="15" customHeight="1" x14ac:dyDescent="0.25">
      <c r="A3099" t="s">
        <v>5387</v>
      </c>
      <c r="B3099">
        <v>43.7</v>
      </c>
      <c r="C3099">
        <v>0.03</v>
      </c>
    </row>
    <row r="3100" spans="1:3" ht="15" customHeight="1" x14ac:dyDescent="0.25">
      <c r="A3100" t="s">
        <v>5388</v>
      </c>
      <c r="B3100">
        <v>43.7</v>
      </c>
      <c r="C3100">
        <v>0.03</v>
      </c>
    </row>
    <row r="3101" spans="1:3" ht="15" customHeight="1" x14ac:dyDescent="0.25">
      <c r="A3101" t="s">
        <v>5389</v>
      </c>
      <c r="B3101">
        <v>43.7</v>
      </c>
      <c r="C3101">
        <v>0.03</v>
      </c>
    </row>
    <row r="3102" spans="1:3" ht="15" customHeight="1" x14ac:dyDescent="0.25">
      <c r="A3102" t="s">
        <v>5390</v>
      </c>
      <c r="B3102">
        <v>17.8</v>
      </c>
    </row>
    <row r="3103" spans="1:3" ht="15" customHeight="1" x14ac:dyDescent="0.25">
      <c r="A3103" t="s">
        <v>5391</v>
      </c>
      <c r="B3103">
        <v>17.8</v>
      </c>
    </row>
    <row r="3104" spans="1:3" ht="15" customHeight="1" x14ac:dyDescent="0.25">
      <c r="A3104" t="s">
        <v>5392</v>
      </c>
      <c r="B3104">
        <v>17.8</v>
      </c>
    </row>
    <row r="3105" spans="1:3" ht="15" customHeight="1" x14ac:dyDescent="0.25">
      <c r="A3105" t="s">
        <v>5393</v>
      </c>
      <c r="B3105">
        <v>17.8</v>
      </c>
    </row>
    <row r="3106" spans="1:3" ht="15" customHeight="1" x14ac:dyDescent="0.25">
      <c r="A3106" t="s">
        <v>5394</v>
      </c>
      <c r="B3106">
        <v>17.8</v>
      </c>
    </row>
    <row r="3107" spans="1:3" ht="15" customHeight="1" x14ac:dyDescent="0.25">
      <c r="A3107" t="s">
        <v>5395</v>
      </c>
      <c r="B3107">
        <v>17.8</v>
      </c>
    </row>
    <row r="3108" spans="1:3" ht="15" customHeight="1" x14ac:dyDescent="0.25">
      <c r="A3108" t="s">
        <v>5396</v>
      </c>
      <c r="B3108">
        <v>17.8</v>
      </c>
    </row>
    <row r="3109" spans="1:3" ht="15" customHeight="1" x14ac:dyDescent="0.25">
      <c r="A3109" t="s">
        <v>5397</v>
      </c>
      <c r="B3109">
        <v>56.3</v>
      </c>
      <c r="C3109">
        <v>0.1</v>
      </c>
    </row>
    <row r="3110" spans="1:3" ht="15" customHeight="1" x14ac:dyDescent="0.25">
      <c r="A3110" t="s">
        <v>5398</v>
      </c>
      <c r="B3110">
        <v>56.3</v>
      </c>
      <c r="C3110">
        <v>0.1</v>
      </c>
    </row>
    <row r="3111" spans="1:3" ht="15" customHeight="1" x14ac:dyDescent="0.25">
      <c r="A3111" t="s">
        <v>5399</v>
      </c>
      <c r="B3111">
        <v>56.3</v>
      </c>
      <c r="C3111">
        <v>0.1</v>
      </c>
    </row>
    <row r="3112" spans="1:3" ht="15" customHeight="1" x14ac:dyDescent="0.25">
      <c r="A3112" t="s">
        <v>5400</v>
      </c>
      <c r="B3112">
        <v>56.3</v>
      </c>
      <c r="C3112">
        <v>0.1</v>
      </c>
    </row>
    <row r="3113" spans="1:3" ht="15" customHeight="1" x14ac:dyDescent="0.25">
      <c r="A3113" t="s">
        <v>5401</v>
      </c>
      <c r="B3113">
        <v>56.3</v>
      </c>
      <c r="C3113">
        <v>0.1</v>
      </c>
    </row>
    <row r="3114" spans="1:3" ht="15" customHeight="1" x14ac:dyDescent="0.25">
      <c r="A3114" t="s">
        <v>5402</v>
      </c>
      <c r="B3114">
        <v>56.3</v>
      </c>
      <c r="C3114">
        <v>0.1</v>
      </c>
    </row>
    <row r="3115" spans="1:3" ht="15" customHeight="1" x14ac:dyDescent="0.25">
      <c r="A3115" t="s">
        <v>5403</v>
      </c>
      <c r="B3115">
        <v>56.3</v>
      </c>
      <c r="C3115">
        <v>0.1</v>
      </c>
    </row>
    <row r="3116" spans="1:3" ht="15" customHeight="1" x14ac:dyDescent="0.25">
      <c r="A3116" t="s">
        <v>5404</v>
      </c>
      <c r="B3116">
        <v>56.3</v>
      </c>
      <c r="C3116">
        <v>0.1</v>
      </c>
    </row>
    <row r="3117" spans="1:3" ht="15" customHeight="1" x14ac:dyDescent="0.25">
      <c r="A3117" t="s">
        <v>5405</v>
      </c>
      <c r="B3117">
        <v>56.3</v>
      </c>
      <c r="C3117">
        <v>0.1</v>
      </c>
    </row>
    <row r="3118" spans="1:3" ht="15" customHeight="1" x14ac:dyDescent="0.25">
      <c r="A3118" t="s">
        <v>5406</v>
      </c>
      <c r="B3118">
        <v>56.3</v>
      </c>
      <c r="C3118">
        <v>0.1</v>
      </c>
    </row>
    <row r="3119" spans="1:3" ht="15" customHeight="1" x14ac:dyDescent="0.25">
      <c r="A3119" t="s">
        <v>5407</v>
      </c>
      <c r="B3119">
        <v>56.3</v>
      </c>
      <c r="C3119">
        <v>0.1</v>
      </c>
    </row>
    <row r="3120" spans="1:3" ht="15" customHeight="1" x14ac:dyDescent="0.25">
      <c r="A3120" t="s">
        <v>5408</v>
      </c>
      <c r="B3120">
        <v>56.3</v>
      </c>
      <c r="C3120">
        <v>0.1</v>
      </c>
    </row>
    <row r="3121" spans="1:3" ht="15" customHeight="1" x14ac:dyDescent="0.25">
      <c r="A3121" t="s">
        <v>5409</v>
      </c>
      <c r="B3121">
        <v>56.3</v>
      </c>
      <c r="C3121">
        <v>0.1</v>
      </c>
    </row>
    <row r="3122" spans="1:3" ht="15" customHeight="1" x14ac:dyDescent="0.25">
      <c r="A3122" t="s">
        <v>5410</v>
      </c>
      <c r="B3122">
        <v>56.3</v>
      </c>
      <c r="C3122">
        <v>0.1</v>
      </c>
    </row>
    <row r="3123" spans="1:3" ht="15" customHeight="1" x14ac:dyDescent="0.25">
      <c r="A3123" t="s">
        <v>5411</v>
      </c>
      <c r="B3123">
        <v>56.3</v>
      </c>
      <c r="C3123">
        <v>0.1</v>
      </c>
    </row>
    <row r="3124" spans="1:3" ht="15" customHeight="1" x14ac:dyDescent="0.25">
      <c r="A3124" t="s">
        <v>5412</v>
      </c>
      <c r="B3124">
        <v>56.3</v>
      </c>
      <c r="C3124">
        <v>0.1</v>
      </c>
    </row>
    <row r="3125" spans="1:3" ht="15" customHeight="1" x14ac:dyDescent="0.25">
      <c r="A3125" t="s">
        <v>5413</v>
      </c>
      <c r="B3125">
        <v>56.3</v>
      </c>
      <c r="C3125">
        <v>0.1</v>
      </c>
    </row>
    <row r="3126" spans="1:3" ht="15" customHeight="1" x14ac:dyDescent="0.25">
      <c r="A3126" t="s">
        <v>5414</v>
      </c>
      <c r="B3126">
        <v>56.3</v>
      </c>
      <c r="C3126">
        <v>0.1</v>
      </c>
    </row>
    <row r="3127" spans="1:3" ht="15" customHeight="1" x14ac:dyDescent="0.25">
      <c r="A3127" t="s">
        <v>5415</v>
      </c>
      <c r="B3127">
        <v>56.3</v>
      </c>
      <c r="C3127">
        <v>0.1</v>
      </c>
    </row>
    <row r="3128" spans="1:3" ht="15" customHeight="1" x14ac:dyDescent="0.25">
      <c r="A3128" t="s">
        <v>5416</v>
      </c>
      <c r="B3128">
        <v>56.3</v>
      </c>
      <c r="C3128">
        <v>0.1</v>
      </c>
    </row>
    <row r="3129" spans="1:3" ht="15" customHeight="1" x14ac:dyDescent="0.25">
      <c r="A3129" t="s">
        <v>5417</v>
      </c>
      <c r="B3129">
        <v>56.3</v>
      </c>
      <c r="C3129">
        <v>0.1</v>
      </c>
    </row>
    <row r="3130" spans="1:3" ht="15" customHeight="1" x14ac:dyDescent="0.25">
      <c r="A3130" t="s">
        <v>5418</v>
      </c>
      <c r="B3130">
        <v>56.3</v>
      </c>
      <c r="C3130">
        <v>0.1</v>
      </c>
    </row>
    <row r="3131" spans="1:3" ht="15" customHeight="1" x14ac:dyDescent="0.25">
      <c r="A3131" t="s">
        <v>5419</v>
      </c>
      <c r="B3131">
        <v>56.3</v>
      </c>
      <c r="C3131">
        <v>0.1</v>
      </c>
    </row>
    <row r="3132" spans="1:3" ht="15" customHeight="1" x14ac:dyDescent="0.25">
      <c r="A3132" t="s">
        <v>5420</v>
      </c>
      <c r="B3132">
        <v>56.3</v>
      </c>
      <c r="C3132">
        <v>0.1</v>
      </c>
    </row>
    <row r="3133" spans="1:3" ht="15" customHeight="1" x14ac:dyDescent="0.25">
      <c r="A3133" t="s">
        <v>5421</v>
      </c>
      <c r="B3133">
        <v>56.3</v>
      </c>
      <c r="C3133">
        <v>0.1</v>
      </c>
    </row>
    <row r="3134" spans="1:3" ht="15" customHeight="1" x14ac:dyDescent="0.25">
      <c r="A3134" t="s">
        <v>5422</v>
      </c>
      <c r="B3134">
        <v>56.3</v>
      </c>
      <c r="C3134">
        <v>0.1</v>
      </c>
    </row>
    <row r="3135" spans="1:3" ht="15" customHeight="1" x14ac:dyDescent="0.25">
      <c r="A3135" t="s">
        <v>5423</v>
      </c>
      <c r="B3135">
        <v>56.3</v>
      </c>
      <c r="C3135">
        <v>0.1</v>
      </c>
    </row>
    <row r="3136" spans="1:3" ht="15" customHeight="1" x14ac:dyDescent="0.25">
      <c r="A3136" t="s">
        <v>5424</v>
      </c>
      <c r="B3136">
        <v>56.3</v>
      </c>
      <c r="C3136">
        <v>0.1</v>
      </c>
    </row>
    <row r="3137" spans="1:3" ht="15" customHeight="1" x14ac:dyDescent="0.25">
      <c r="A3137" t="s">
        <v>5425</v>
      </c>
      <c r="B3137">
        <v>56.3</v>
      </c>
      <c r="C3137">
        <v>0.1</v>
      </c>
    </row>
    <row r="3138" spans="1:3" ht="15" customHeight="1" x14ac:dyDescent="0.25">
      <c r="A3138" t="s">
        <v>5426</v>
      </c>
      <c r="B3138">
        <v>56.3</v>
      </c>
      <c r="C3138">
        <v>0.1</v>
      </c>
    </row>
    <row r="3139" spans="1:3" ht="15" customHeight="1" x14ac:dyDescent="0.25">
      <c r="A3139" t="s">
        <v>5427</v>
      </c>
      <c r="B3139">
        <v>55.6</v>
      </c>
      <c r="C3139">
        <v>0.1</v>
      </c>
    </row>
    <row r="3140" spans="1:3" ht="15" customHeight="1" x14ac:dyDescent="0.25">
      <c r="A3140" t="s">
        <v>5428</v>
      </c>
      <c r="B3140">
        <v>55.6</v>
      </c>
      <c r="C3140">
        <v>0.1</v>
      </c>
    </row>
    <row r="3141" spans="1:3" ht="15" customHeight="1" x14ac:dyDescent="0.25">
      <c r="A3141" t="s">
        <v>5429</v>
      </c>
      <c r="B3141">
        <v>55.6</v>
      </c>
      <c r="C3141">
        <v>0.1</v>
      </c>
    </row>
    <row r="3142" spans="1:3" ht="15" customHeight="1" x14ac:dyDescent="0.25">
      <c r="A3142" t="s">
        <v>5430</v>
      </c>
      <c r="B3142">
        <v>55.6</v>
      </c>
      <c r="C3142">
        <v>0.1</v>
      </c>
    </row>
    <row r="3143" spans="1:3" ht="15" customHeight="1" x14ac:dyDescent="0.25">
      <c r="A3143" t="s">
        <v>5431</v>
      </c>
      <c r="B3143">
        <v>55.6</v>
      </c>
      <c r="C3143">
        <v>0.1</v>
      </c>
    </row>
    <row r="3144" spans="1:3" ht="15" customHeight="1" x14ac:dyDescent="0.25">
      <c r="A3144" t="s">
        <v>5432</v>
      </c>
      <c r="B3144">
        <v>55.6</v>
      </c>
      <c r="C3144">
        <v>0.1</v>
      </c>
    </row>
    <row r="3145" spans="1:3" ht="15" customHeight="1" x14ac:dyDescent="0.25">
      <c r="A3145" t="s">
        <v>5433</v>
      </c>
      <c r="B3145">
        <v>55.6</v>
      </c>
      <c r="C3145">
        <v>0.1</v>
      </c>
    </row>
    <row r="3146" spans="1:3" ht="15" customHeight="1" x14ac:dyDescent="0.25">
      <c r="A3146" t="s">
        <v>5434</v>
      </c>
      <c r="B3146">
        <v>55.6</v>
      </c>
      <c r="C3146">
        <v>0.1</v>
      </c>
    </row>
    <row r="3147" spans="1:3" ht="15" customHeight="1" x14ac:dyDescent="0.25">
      <c r="A3147" t="s">
        <v>5435</v>
      </c>
      <c r="B3147">
        <v>55.6</v>
      </c>
      <c r="C3147">
        <v>0.1</v>
      </c>
    </row>
    <row r="3148" spans="1:3" ht="15" customHeight="1" x14ac:dyDescent="0.25">
      <c r="A3148" t="s">
        <v>5436</v>
      </c>
      <c r="B3148">
        <v>55.6</v>
      </c>
      <c r="C3148">
        <v>0.1</v>
      </c>
    </row>
    <row r="3149" spans="1:3" ht="15" customHeight="1" x14ac:dyDescent="0.25">
      <c r="A3149" t="s">
        <v>5437</v>
      </c>
      <c r="B3149">
        <v>55.6</v>
      </c>
      <c r="C3149">
        <v>0.1</v>
      </c>
    </row>
    <row r="3150" spans="1:3" ht="15" customHeight="1" x14ac:dyDescent="0.25">
      <c r="A3150" t="s">
        <v>5438</v>
      </c>
      <c r="B3150">
        <v>55.6</v>
      </c>
      <c r="C3150">
        <v>0.1</v>
      </c>
    </row>
    <row r="3151" spans="1:3" ht="15" customHeight="1" x14ac:dyDescent="0.25">
      <c r="A3151" t="s">
        <v>5439</v>
      </c>
      <c r="B3151">
        <v>33.1</v>
      </c>
      <c r="C3151">
        <v>0.1</v>
      </c>
    </row>
    <row r="3152" spans="1:3" ht="15" customHeight="1" x14ac:dyDescent="0.25">
      <c r="A3152" t="s">
        <v>5440</v>
      </c>
      <c r="B3152">
        <v>33.1</v>
      </c>
      <c r="C3152">
        <v>0.1</v>
      </c>
    </row>
    <row r="3153" spans="1:3" ht="15" customHeight="1" x14ac:dyDescent="0.25">
      <c r="A3153" t="s">
        <v>5441</v>
      </c>
      <c r="B3153">
        <v>33.1</v>
      </c>
      <c r="C3153">
        <v>0.1</v>
      </c>
    </row>
    <row r="3154" spans="1:3" ht="15" customHeight="1" x14ac:dyDescent="0.25">
      <c r="A3154" t="s">
        <v>5442</v>
      </c>
      <c r="B3154">
        <v>26.6</v>
      </c>
      <c r="C3154">
        <v>0.05</v>
      </c>
    </row>
    <row r="3155" spans="1:3" ht="15" customHeight="1" x14ac:dyDescent="0.25">
      <c r="A3155" t="s">
        <v>5443</v>
      </c>
      <c r="B3155">
        <v>26.6</v>
      </c>
      <c r="C3155">
        <v>0.05</v>
      </c>
    </row>
    <row r="3156" spans="1:3" ht="15" customHeight="1" x14ac:dyDescent="0.25">
      <c r="A3156" t="s">
        <v>5444</v>
      </c>
      <c r="B3156">
        <v>26.6</v>
      </c>
      <c r="C3156">
        <v>0.1</v>
      </c>
    </row>
    <row r="3157" spans="1:3" ht="15" customHeight="1" x14ac:dyDescent="0.25">
      <c r="A3157" t="s">
        <v>5445</v>
      </c>
      <c r="B3157">
        <v>26.6</v>
      </c>
      <c r="C3157">
        <v>0.1</v>
      </c>
    </row>
    <row r="3158" spans="1:3" ht="15" customHeight="1" x14ac:dyDescent="0.25">
      <c r="A3158" t="s">
        <v>5446</v>
      </c>
      <c r="B3158">
        <v>26.6</v>
      </c>
      <c r="C3158">
        <v>0.05</v>
      </c>
    </row>
    <row r="3159" spans="1:3" ht="15" customHeight="1" x14ac:dyDescent="0.25">
      <c r="A3159" t="s">
        <v>5447</v>
      </c>
      <c r="B3159">
        <v>26.6</v>
      </c>
      <c r="C3159">
        <v>0.05</v>
      </c>
    </row>
    <row r="3160" spans="1:3" ht="15" customHeight="1" x14ac:dyDescent="0.25">
      <c r="A3160" t="s">
        <v>5448</v>
      </c>
      <c r="B3160">
        <v>26.6</v>
      </c>
      <c r="C3160">
        <v>0.05</v>
      </c>
    </row>
    <row r="3161" spans="1:3" ht="15" customHeight="1" x14ac:dyDescent="0.25">
      <c r="A3161" t="s">
        <v>5449</v>
      </c>
      <c r="B3161">
        <v>26.6</v>
      </c>
      <c r="C3161">
        <v>0.05</v>
      </c>
    </row>
    <row r="3162" spans="1:3" ht="15" customHeight="1" x14ac:dyDescent="0.25">
      <c r="A3162" t="s">
        <v>5450</v>
      </c>
      <c r="B3162">
        <v>85</v>
      </c>
      <c r="C3162">
        <v>0.3</v>
      </c>
    </row>
    <row r="3163" spans="1:3" ht="15" customHeight="1" x14ac:dyDescent="0.25">
      <c r="A3163" t="s">
        <v>5451</v>
      </c>
      <c r="B3163">
        <v>85</v>
      </c>
      <c r="C3163">
        <v>0.3</v>
      </c>
    </row>
    <row r="3164" spans="1:3" ht="15" customHeight="1" x14ac:dyDescent="0.25">
      <c r="A3164" t="s">
        <v>5452</v>
      </c>
      <c r="B3164">
        <v>85</v>
      </c>
      <c r="C3164">
        <v>0.3</v>
      </c>
    </row>
    <row r="3165" spans="1:3" ht="15" customHeight="1" x14ac:dyDescent="0.25">
      <c r="A3165" t="s">
        <v>5453</v>
      </c>
      <c r="B3165">
        <v>85</v>
      </c>
      <c r="C3165">
        <v>0.3</v>
      </c>
    </row>
    <row r="3166" spans="1:3" ht="15" customHeight="1" x14ac:dyDescent="0.25">
      <c r="A3166" t="s">
        <v>5454</v>
      </c>
      <c r="B3166">
        <v>85</v>
      </c>
      <c r="C3166">
        <v>0.3</v>
      </c>
    </row>
    <row r="3167" spans="1:3" ht="15" customHeight="1" x14ac:dyDescent="0.25">
      <c r="A3167" t="s">
        <v>5455</v>
      </c>
      <c r="B3167">
        <v>85</v>
      </c>
      <c r="C3167">
        <v>0.3</v>
      </c>
    </row>
    <row r="3168" spans="1:3" ht="15" customHeight="1" x14ac:dyDescent="0.25">
      <c r="A3168" t="s">
        <v>5456</v>
      </c>
      <c r="B3168">
        <v>85</v>
      </c>
      <c r="C3168">
        <v>0.3</v>
      </c>
    </row>
    <row r="3169" spans="1:3" ht="15" customHeight="1" x14ac:dyDescent="0.25">
      <c r="A3169" t="s">
        <v>5457</v>
      </c>
      <c r="B3169">
        <v>85</v>
      </c>
      <c r="C3169">
        <v>0.3</v>
      </c>
    </row>
    <row r="3170" spans="1:3" ht="15" customHeight="1" x14ac:dyDescent="0.25">
      <c r="A3170" t="s">
        <v>5458</v>
      </c>
      <c r="B3170">
        <v>85</v>
      </c>
      <c r="C3170">
        <v>0.3</v>
      </c>
    </row>
    <row r="3171" spans="1:3" ht="15" customHeight="1" x14ac:dyDescent="0.25">
      <c r="A3171" t="s">
        <v>5459</v>
      </c>
      <c r="B3171">
        <v>85</v>
      </c>
      <c r="C3171">
        <v>0.3</v>
      </c>
    </row>
    <row r="3172" spans="1:3" ht="15" customHeight="1" x14ac:dyDescent="0.25">
      <c r="A3172" t="s">
        <v>5460</v>
      </c>
      <c r="B3172">
        <v>85</v>
      </c>
      <c r="C3172">
        <v>0.3</v>
      </c>
    </row>
    <row r="3173" spans="1:3" ht="15" customHeight="1" x14ac:dyDescent="0.25">
      <c r="A3173" t="s">
        <v>5461</v>
      </c>
      <c r="B3173">
        <v>85</v>
      </c>
      <c r="C3173">
        <v>0.3</v>
      </c>
    </row>
    <row r="3174" spans="1:3" ht="15" customHeight="1" x14ac:dyDescent="0.25">
      <c r="A3174" t="s">
        <v>5462</v>
      </c>
      <c r="B3174">
        <v>85</v>
      </c>
      <c r="C3174">
        <v>0.3</v>
      </c>
    </row>
    <row r="3175" spans="1:3" ht="15" customHeight="1" x14ac:dyDescent="0.25">
      <c r="A3175" t="s">
        <v>5463</v>
      </c>
      <c r="B3175">
        <v>85</v>
      </c>
      <c r="C3175">
        <v>0.3</v>
      </c>
    </row>
    <row r="3176" spans="1:3" ht="15" customHeight="1" x14ac:dyDescent="0.25">
      <c r="A3176" t="s">
        <v>5464</v>
      </c>
      <c r="B3176">
        <v>85</v>
      </c>
      <c r="C3176">
        <v>0.3</v>
      </c>
    </row>
    <row r="3177" spans="1:3" ht="15" customHeight="1" x14ac:dyDescent="0.25">
      <c r="A3177" t="s">
        <v>5465</v>
      </c>
      <c r="B3177">
        <v>85</v>
      </c>
      <c r="C3177">
        <v>0.3</v>
      </c>
    </row>
    <row r="3178" spans="1:3" ht="15" customHeight="1" x14ac:dyDescent="0.25">
      <c r="A3178" t="s">
        <v>5466</v>
      </c>
      <c r="B3178">
        <v>85</v>
      </c>
      <c r="C3178">
        <v>0.3</v>
      </c>
    </row>
    <row r="3179" spans="1:3" ht="15" customHeight="1" x14ac:dyDescent="0.25">
      <c r="A3179" t="s">
        <v>5467</v>
      </c>
      <c r="B3179">
        <v>85</v>
      </c>
      <c r="C3179">
        <v>0.3</v>
      </c>
    </row>
    <row r="3180" spans="1:3" ht="15" customHeight="1" x14ac:dyDescent="0.25">
      <c r="A3180" t="s">
        <v>5468</v>
      </c>
      <c r="B3180">
        <v>85</v>
      </c>
      <c r="C3180">
        <v>0.3</v>
      </c>
    </row>
    <row r="3181" spans="1:3" ht="15" customHeight="1" x14ac:dyDescent="0.25">
      <c r="A3181" t="s">
        <v>5469</v>
      </c>
      <c r="B3181">
        <v>85</v>
      </c>
      <c r="C3181">
        <v>0.3</v>
      </c>
    </row>
    <row r="3182" spans="1:3" ht="15" customHeight="1" x14ac:dyDescent="0.25">
      <c r="A3182" t="s">
        <v>5470</v>
      </c>
      <c r="B3182">
        <v>85</v>
      </c>
      <c r="C3182">
        <v>0.3</v>
      </c>
    </row>
    <row r="3183" spans="1:3" ht="15" customHeight="1" x14ac:dyDescent="0.25">
      <c r="A3183" t="s">
        <v>5471</v>
      </c>
      <c r="B3183">
        <v>34.4</v>
      </c>
      <c r="C3183">
        <v>0.1</v>
      </c>
    </row>
    <row r="3184" spans="1:3" ht="15" customHeight="1" x14ac:dyDescent="0.25">
      <c r="A3184" t="s">
        <v>5472</v>
      </c>
      <c r="B3184">
        <v>34.4</v>
      </c>
      <c r="C3184">
        <v>0.1</v>
      </c>
    </row>
    <row r="3185" spans="1:3" ht="15" customHeight="1" x14ac:dyDescent="0.25">
      <c r="A3185" t="s">
        <v>5473</v>
      </c>
      <c r="B3185">
        <v>17.5</v>
      </c>
      <c r="C3185">
        <v>0.1</v>
      </c>
    </row>
    <row r="3186" spans="1:3" ht="15" customHeight="1" x14ac:dyDescent="0.25">
      <c r="A3186" t="s">
        <v>834</v>
      </c>
      <c r="B3186">
        <v>17.5</v>
      </c>
      <c r="C3186">
        <v>0.1</v>
      </c>
    </row>
    <row r="3187" spans="1:3" ht="15" customHeight="1" x14ac:dyDescent="0.25">
      <c r="A3187" t="s">
        <v>5474</v>
      </c>
      <c r="B3187">
        <v>17.5</v>
      </c>
      <c r="C3187">
        <v>0.1</v>
      </c>
    </row>
    <row r="3188" spans="1:3" ht="15" customHeight="1" x14ac:dyDescent="0.25">
      <c r="A3188" t="s">
        <v>5475</v>
      </c>
      <c r="B3188">
        <v>17.5</v>
      </c>
      <c r="C3188">
        <v>0.1</v>
      </c>
    </row>
    <row r="3189" spans="1:3" ht="15" customHeight="1" x14ac:dyDescent="0.25">
      <c r="A3189" t="s">
        <v>5476</v>
      </c>
      <c r="B3189">
        <v>17.399999999999999</v>
      </c>
    </row>
    <row r="3190" spans="1:3" ht="15" customHeight="1" x14ac:dyDescent="0.25">
      <c r="A3190" t="s">
        <v>5477</v>
      </c>
      <c r="B3190">
        <v>17.399999999999999</v>
      </c>
    </row>
    <row r="3191" spans="1:3" ht="15" customHeight="1" x14ac:dyDescent="0.25">
      <c r="A3191" t="s">
        <v>5478</v>
      </c>
      <c r="B3191">
        <v>17.399999999999999</v>
      </c>
    </row>
    <row r="3192" spans="1:3" ht="15" customHeight="1" x14ac:dyDescent="0.25">
      <c r="A3192" t="s">
        <v>5479</v>
      </c>
      <c r="B3192">
        <v>17.399999999999999</v>
      </c>
    </row>
    <row r="3193" spans="1:3" ht="15" customHeight="1" x14ac:dyDescent="0.25">
      <c r="A3193" t="s">
        <v>5480</v>
      </c>
      <c r="B3193">
        <v>17.399999999999999</v>
      </c>
    </row>
    <row r="3194" spans="1:3" ht="15" customHeight="1" x14ac:dyDescent="0.25">
      <c r="A3194" t="s">
        <v>5481</v>
      </c>
      <c r="B3194">
        <v>17.399999999999999</v>
      </c>
    </row>
    <row r="3195" spans="1:3" ht="15" customHeight="1" x14ac:dyDescent="0.25">
      <c r="A3195" t="s">
        <v>5482</v>
      </c>
      <c r="B3195">
        <v>17.399999999999999</v>
      </c>
    </row>
    <row r="3196" spans="1:3" ht="15" customHeight="1" x14ac:dyDescent="0.25">
      <c r="A3196" t="s">
        <v>5483</v>
      </c>
      <c r="B3196">
        <v>28.2</v>
      </c>
    </row>
    <row r="3197" spans="1:3" ht="15" customHeight="1" x14ac:dyDescent="0.25">
      <c r="A3197" t="s">
        <v>5484</v>
      </c>
      <c r="B3197">
        <v>28.2</v>
      </c>
    </row>
    <row r="3198" spans="1:3" ht="15" customHeight="1" x14ac:dyDescent="0.25">
      <c r="A3198" t="s">
        <v>5485</v>
      </c>
      <c r="B3198">
        <v>28.2</v>
      </c>
    </row>
    <row r="3199" spans="1:3" ht="15" customHeight="1" x14ac:dyDescent="0.25">
      <c r="A3199" t="s">
        <v>5486</v>
      </c>
      <c r="B3199">
        <v>28.2</v>
      </c>
    </row>
    <row r="3200" spans="1:3" ht="15" customHeight="1" x14ac:dyDescent="0.25">
      <c r="A3200" t="s">
        <v>5487</v>
      </c>
      <c r="B3200">
        <v>28.2</v>
      </c>
    </row>
    <row r="3201" spans="1:3" ht="15" customHeight="1" x14ac:dyDescent="0.25">
      <c r="A3201" t="s">
        <v>5488</v>
      </c>
      <c r="B3201">
        <v>28.2</v>
      </c>
    </row>
    <row r="3202" spans="1:3" ht="15" customHeight="1" x14ac:dyDescent="0.25">
      <c r="A3202" t="s">
        <v>5489</v>
      </c>
      <c r="B3202">
        <v>28.2</v>
      </c>
    </row>
    <row r="3203" spans="1:3" ht="15" customHeight="1" x14ac:dyDescent="0.25">
      <c r="A3203" t="s">
        <v>5490</v>
      </c>
      <c r="B3203">
        <v>28.2</v>
      </c>
    </row>
    <row r="3204" spans="1:3" ht="15" customHeight="1" x14ac:dyDescent="0.25">
      <c r="A3204" t="s">
        <v>5491</v>
      </c>
      <c r="B3204">
        <v>28.2</v>
      </c>
    </row>
    <row r="3205" spans="1:3" ht="15" customHeight="1" x14ac:dyDescent="0.25">
      <c r="A3205" t="s">
        <v>5492</v>
      </c>
      <c r="B3205">
        <v>28.2</v>
      </c>
    </row>
    <row r="3206" spans="1:3" ht="15" customHeight="1" x14ac:dyDescent="0.25">
      <c r="A3206" t="s">
        <v>5493</v>
      </c>
      <c r="B3206">
        <v>85</v>
      </c>
      <c r="C3206">
        <v>0.3</v>
      </c>
    </row>
    <row r="3207" spans="1:3" ht="15" customHeight="1" x14ac:dyDescent="0.25">
      <c r="A3207" t="s">
        <v>5494</v>
      </c>
      <c r="B3207">
        <v>85</v>
      </c>
      <c r="C3207">
        <v>0.3</v>
      </c>
    </row>
    <row r="3208" spans="1:3" ht="15" customHeight="1" x14ac:dyDescent="0.25">
      <c r="A3208" t="s">
        <v>5495</v>
      </c>
      <c r="B3208">
        <v>85</v>
      </c>
      <c r="C3208">
        <v>0.3</v>
      </c>
    </row>
    <row r="3209" spans="1:3" ht="15" customHeight="1" x14ac:dyDescent="0.25">
      <c r="A3209" t="s">
        <v>5496</v>
      </c>
      <c r="B3209">
        <v>85</v>
      </c>
      <c r="C3209">
        <v>0.3</v>
      </c>
    </row>
    <row r="3210" spans="1:3" ht="15" customHeight="1" x14ac:dyDescent="0.25">
      <c r="A3210" t="s">
        <v>5497</v>
      </c>
      <c r="B3210">
        <v>85</v>
      </c>
      <c r="C3210">
        <v>0.3</v>
      </c>
    </row>
    <row r="3211" spans="1:3" ht="15" customHeight="1" x14ac:dyDescent="0.25">
      <c r="A3211" t="s">
        <v>5498</v>
      </c>
      <c r="B3211">
        <v>24.2</v>
      </c>
      <c r="C3211">
        <v>0.3</v>
      </c>
    </row>
    <row r="3212" spans="1:3" ht="15" customHeight="1" x14ac:dyDescent="0.25">
      <c r="A3212" t="s">
        <v>5499</v>
      </c>
      <c r="B3212">
        <v>24.2</v>
      </c>
      <c r="C3212">
        <v>0.3</v>
      </c>
    </row>
    <row r="3213" spans="1:3" ht="15" customHeight="1" x14ac:dyDescent="0.25">
      <c r="A3213" t="s">
        <v>5500</v>
      </c>
      <c r="B3213">
        <v>24.2</v>
      </c>
      <c r="C3213">
        <v>0.3</v>
      </c>
    </row>
    <row r="3214" spans="1:3" ht="15" customHeight="1" x14ac:dyDescent="0.25">
      <c r="A3214" t="s">
        <v>5501</v>
      </c>
      <c r="B3214">
        <v>24.2</v>
      </c>
      <c r="C3214">
        <v>0.3</v>
      </c>
    </row>
    <row r="3215" spans="1:3" ht="15" customHeight="1" x14ac:dyDescent="0.25">
      <c r="A3215" t="s">
        <v>5502</v>
      </c>
      <c r="B3215">
        <v>24.2</v>
      </c>
      <c r="C3215">
        <v>0.3</v>
      </c>
    </row>
    <row r="3216" spans="1:3" ht="15" customHeight="1" x14ac:dyDescent="0.25">
      <c r="A3216" t="s">
        <v>5503</v>
      </c>
      <c r="B3216">
        <v>24.2</v>
      </c>
      <c r="C3216">
        <v>0.3</v>
      </c>
    </row>
    <row r="3217" spans="1:3" ht="15" customHeight="1" x14ac:dyDescent="0.25">
      <c r="A3217" t="s">
        <v>5504</v>
      </c>
      <c r="B3217">
        <v>24.2</v>
      </c>
      <c r="C3217">
        <v>0.3</v>
      </c>
    </row>
    <row r="3218" spans="1:3" ht="15" customHeight="1" x14ac:dyDescent="0.25">
      <c r="A3218" t="s">
        <v>5505</v>
      </c>
      <c r="B3218">
        <v>24.2</v>
      </c>
      <c r="C3218">
        <v>0.3</v>
      </c>
    </row>
    <row r="3219" spans="1:3" ht="15" customHeight="1" x14ac:dyDescent="0.25">
      <c r="A3219" t="s">
        <v>5506</v>
      </c>
      <c r="B3219">
        <v>24.2</v>
      </c>
      <c r="C3219">
        <v>0.3</v>
      </c>
    </row>
    <row r="3220" spans="1:3" ht="15" customHeight="1" x14ac:dyDescent="0.25">
      <c r="A3220" t="s">
        <v>5507</v>
      </c>
      <c r="B3220">
        <v>24.2</v>
      </c>
      <c r="C3220">
        <v>0.3</v>
      </c>
    </row>
    <row r="3221" spans="1:3" ht="15" customHeight="1" x14ac:dyDescent="0.25">
      <c r="A3221" t="s">
        <v>5508</v>
      </c>
      <c r="B3221">
        <v>24.2</v>
      </c>
      <c r="C3221">
        <v>0.3</v>
      </c>
    </row>
    <row r="3222" spans="1:3" ht="15" customHeight="1" x14ac:dyDescent="0.25">
      <c r="A3222" t="s">
        <v>5509</v>
      </c>
      <c r="B3222">
        <v>24.2</v>
      </c>
      <c r="C3222">
        <v>0.3</v>
      </c>
    </row>
    <row r="3223" spans="1:3" ht="15" customHeight="1" x14ac:dyDescent="0.25">
      <c r="A3223" t="s">
        <v>5510</v>
      </c>
      <c r="B3223">
        <v>24.2</v>
      </c>
      <c r="C3223">
        <v>0.3</v>
      </c>
    </row>
    <row r="3224" spans="1:3" ht="15" customHeight="1" x14ac:dyDescent="0.25">
      <c r="A3224" t="s">
        <v>5511</v>
      </c>
      <c r="B3224">
        <v>24.2</v>
      </c>
      <c r="C3224">
        <v>0.3</v>
      </c>
    </row>
    <row r="3225" spans="1:3" ht="15" customHeight="1" x14ac:dyDescent="0.25">
      <c r="A3225" t="s">
        <v>5512</v>
      </c>
      <c r="B3225">
        <v>24.2</v>
      </c>
      <c r="C3225">
        <v>0.3</v>
      </c>
    </row>
    <row r="3226" spans="1:3" ht="15" customHeight="1" x14ac:dyDescent="0.25">
      <c r="A3226" t="s">
        <v>5513</v>
      </c>
      <c r="B3226">
        <v>24.2</v>
      </c>
      <c r="C3226">
        <v>0.3</v>
      </c>
    </row>
    <row r="3227" spans="1:3" ht="15" customHeight="1" x14ac:dyDescent="0.25">
      <c r="A3227" t="s">
        <v>5514</v>
      </c>
      <c r="B3227">
        <v>24.2</v>
      </c>
      <c r="C3227">
        <v>0.3</v>
      </c>
    </row>
    <row r="3228" spans="1:3" ht="15" customHeight="1" x14ac:dyDescent="0.25">
      <c r="A3228" t="s">
        <v>5515</v>
      </c>
      <c r="B3228">
        <v>24.2</v>
      </c>
    </row>
    <row r="3229" spans="1:3" ht="15" customHeight="1" x14ac:dyDescent="0.25">
      <c r="A3229" t="s">
        <v>5516</v>
      </c>
      <c r="B3229">
        <v>24.2</v>
      </c>
    </row>
    <row r="3230" spans="1:3" ht="15" customHeight="1" x14ac:dyDescent="0.25">
      <c r="A3230" t="s">
        <v>5517</v>
      </c>
      <c r="B3230">
        <v>24.2</v>
      </c>
    </row>
    <row r="3231" spans="1:3" ht="15" customHeight="1" x14ac:dyDescent="0.25">
      <c r="A3231" t="s">
        <v>5518</v>
      </c>
      <c r="B3231">
        <v>24.2</v>
      </c>
    </row>
    <row r="3232" spans="1:3" ht="15" customHeight="1" x14ac:dyDescent="0.25">
      <c r="A3232" t="s">
        <v>5519</v>
      </c>
      <c r="B3232">
        <v>24.2</v>
      </c>
    </row>
    <row r="3233" spans="1:3" ht="15" customHeight="1" x14ac:dyDescent="0.25">
      <c r="A3233" t="s">
        <v>5520</v>
      </c>
      <c r="B3233">
        <v>24.2</v>
      </c>
    </row>
    <row r="3234" spans="1:3" ht="15" customHeight="1" x14ac:dyDescent="0.25">
      <c r="A3234" t="s">
        <v>5521</v>
      </c>
      <c r="B3234">
        <v>24.2</v>
      </c>
    </row>
    <row r="3235" spans="1:3" ht="15" customHeight="1" x14ac:dyDescent="0.25">
      <c r="A3235" t="s">
        <v>5522</v>
      </c>
      <c r="B3235">
        <v>24.2</v>
      </c>
    </row>
    <row r="3236" spans="1:3" ht="15" customHeight="1" x14ac:dyDescent="0.25">
      <c r="A3236" t="s">
        <v>5523</v>
      </c>
      <c r="B3236">
        <v>24.2</v>
      </c>
    </row>
    <row r="3237" spans="1:3" ht="15" customHeight="1" x14ac:dyDescent="0.25">
      <c r="A3237" t="s">
        <v>5524</v>
      </c>
      <c r="B3237">
        <v>24.2</v>
      </c>
    </row>
    <row r="3238" spans="1:3" ht="15" customHeight="1" x14ac:dyDescent="0.25">
      <c r="A3238" t="s">
        <v>5525</v>
      </c>
      <c r="B3238">
        <v>24.2</v>
      </c>
      <c r="C3238">
        <v>0.3</v>
      </c>
    </row>
    <row r="3239" spans="1:3" ht="15" customHeight="1" x14ac:dyDescent="0.25">
      <c r="A3239" t="s">
        <v>5526</v>
      </c>
      <c r="B3239">
        <v>24.2</v>
      </c>
      <c r="C3239">
        <v>0.3</v>
      </c>
    </row>
    <row r="3240" spans="1:3" ht="15" customHeight="1" x14ac:dyDescent="0.25">
      <c r="A3240" t="s">
        <v>5527</v>
      </c>
      <c r="B3240">
        <v>24.2</v>
      </c>
    </row>
    <row r="3241" spans="1:3" ht="15" customHeight="1" x14ac:dyDescent="0.25">
      <c r="A3241" t="s">
        <v>5528</v>
      </c>
      <c r="B3241">
        <v>24.2</v>
      </c>
    </row>
    <row r="3242" spans="1:3" ht="15" customHeight="1" x14ac:dyDescent="0.25">
      <c r="A3242" t="s">
        <v>5529</v>
      </c>
      <c r="B3242">
        <v>24.2</v>
      </c>
      <c r="C3242">
        <v>0.3</v>
      </c>
    </row>
    <row r="3243" spans="1:3" ht="15" customHeight="1" x14ac:dyDescent="0.25">
      <c r="A3243" t="s">
        <v>5530</v>
      </c>
      <c r="B3243">
        <v>24.2</v>
      </c>
      <c r="C3243">
        <v>0.3</v>
      </c>
    </row>
    <row r="3244" spans="1:3" ht="15" customHeight="1" x14ac:dyDescent="0.25">
      <c r="A3244" t="s">
        <v>5531</v>
      </c>
      <c r="B3244">
        <v>24.2</v>
      </c>
      <c r="C3244">
        <v>0.3</v>
      </c>
    </row>
    <row r="3245" spans="1:3" ht="15" customHeight="1" x14ac:dyDescent="0.25">
      <c r="A3245" t="s">
        <v>5532</v>
      </c>
      <c r="B3245">
        <v>24.2</v>
      </c>
      <c r="C3245">
        <v>0.3</v>
      </c>
    </row>
    <row r="3246" spans="1:3" ht="15" customHeight="1" x14ac:dyDescent="0.25">
      <c r="A3246" t="s">
        <v>5533</v>
      </c>
      <c r="B3246">
        <v>24.2</v>
      </c>
      <c r="C3246">
        <v>0.3</v>
      </c>
    </row>
    <row r="3247" spans="1:3" ht="15" customHeight="1" x14ac:dyDescent="0.25">
      <c r="A3247" t="s">
        <v>5534</v>
      </c>
      <c r="B3247">
        <v>24.2</v>
      </c>
      <c r="C3247">
        <v>0.3</v>
      </c>
    </row>
    <row r="3248" spans="1:3" ht="15" customHeight="1" x14ac:dyDescent="0.25">
      <c r="A3248" t="s">
        <v>5535</v>
      </c>
      <c r="B3248">
        <v>24.2</v>
      </c>
      <c r="C3248">
        <v>0.3</v>
      </c>
    </row>
    <row r="3249" spans="1:3" ht="15" customHeight="1" x14ac:dyDescent="0.25">
      <c r="A3249" t="s">
        <v>5536</v>
      </c>
      <c r="B3249">
        <v>24.2</v>
      </c>
      <c r="C3249">
        <v>0.3</v>
      </c>
    </row>
    <row r="3250" spans="1:3" ht="15" customHeight="1" x14ac:dyDescent="0.25">
      <c r="A3250" t="s">
        <v>5537</v>
      </c>
      <c r="B3250">
        <v>24.2</v>
      </c>
      <c r="C3250">
        <v>0.3</v>
      </c>
    </row>
    <row r="3251" spans="1:3" ht="15" customHeight="1" x14ac:dyDescent="0.25">
      <c r="A3251" t="s">
        <v>5538</v>
      </c>
      <c r="B3251">
        <v>24.2</v>
      </c>
    </row>
    <row r="3252" spans="1:3" ht="15" customHeight="1" x14ac:dyDescent="0.25">
      <c r="A3252" t="s">
        <v>5539</v>
      </c>
      <c r="B3252">
        <v>24.2</v>
      </c>
      <c r="C3252">
        <v>0.3</v>
      </c>
    </row>
    <row r="3253" spans="1:3" ht="15" customHeight="1" x14ac:dyDescent="0.25">
      <c r="A3253" t="s">
        <v>5540</v>
      </c>
      <c r="B3253">
        <v>24.2</v>
      </c>
    </row>
    <row r="3254" spans="1:3" ht="15" customHeight="1" x14ac:dyDescent="0.25">
      <c r="A3254" t="s">
        <v>5541</v>
      </c>
      <c r="B3254">
        <v>24.2</v>
      </c>
      <c r="C3254">
        <v>0.3</v>
      </c>
    </row>
    <row r="3255" spans="1:3" ht="15" customHeight="1" x14ac:dyDescent="0.25">
      <c r="A3255" t="s">
        <v>5542</v>
      </c>
      <c r="B3255">
        <v>24.2</v>
      </c>
      <c r="C3255">
        <v>0.3</v>
      </c>
    </row>
    <row r="3256" spans="1:3" ht="15" customHeight="1" x14ac:dyDescent="0.25">
      <c r="A3256" t="s">
        <v>5543</v>
      </c>
      <c r="B3256">
        <v>24.2</v>
      </c>
      <c r="C3256">
        <v>0.3</v>
      </c>
    </row>
    <row r="3257" spans="1:3" ht="15" customHeight="1" x14ac:dyDescent="0.25">
      <c r="A3257" t="s">
        <v>5544</v>
      </c>
      <c r="B3257">
        <v>24.2</v>
      </c>
      <c r="C3257">
        <v>0.3</v>
      </c>
    </row>
    <row r="3258" spans="1:3" ht="15" customHeight="1" x14ac:dyDescent="0.25">
      <c r="A3258" t="s">
        <v>5545</v>
      </c>
      <c r="B3258">
        <v>24.2</v>
      </c>
      <c r="C3258">
        <v>0.3</v>
      </c>
    </row>
    <row r="3259" spans="1:3" ht="15" customHeight="1" x14ac:dyDescent="0.25">
      <c r="A3259" t="s">
        <v>5546</v>
      </c>
      <c r="B3259">
        <v>24.2</v>
      </c>
      <c r="C3259">
        <v>0.3</v>
      </c>
    </row>
    <row r="3260" spans="1:3" ht="15" customHeight="1" x14ac:dyDescent="0.25">
      <c r="A3260" t="s">
        <v>5547</v>
      </c>
      <c r="B3260">
        <v>24.2</v>
      </c>
      <c r="C3260">
        <v>0.3</v>
      </c>
    </row>
    <row r="3261" spans="1:3" ht="15" customHeight="1" x14ac:dyDescent="0.25">
      <c r="A3261" t="s">
        <v>5548</v>
      </c>
      <c r="B3261">
        <v>24.2</v>
      </c>
      <c r="C3261">
        <v>0.3</v>
      </c>
    </row>
    <row r="3262" spans="1:3" ht="15" customHeight="1" x14ac:dyDescent="0.25">
      <c r="A3262" t="s">
        <v>5549</v>
      </c>
      <c r="B3262">
        <v>28.1</v>
      </c>
      <c r="C3262">
        <v>0.03</v>
      </c>
    </row>
    <row r="3263" spans="1:3" ht="15" customHeight="1" x14ac:dyDescent="0.25">
      <c r="A3263" t="s">
        <v>5550</v>
      </c>
      <c r="B3263">
        <v>42</v>
      </c>
      <c r="C3263">
        <v>0.1</v>
      </c>
    </row>
    <row r="3264" spans="1:3" ht="15" customHeight="1" x14ac:dyDescent="0.25">
      <c r="A3264" t="s">
        <v>5551</v>
      </c>
      <c r="B3264">
        <v>24.2</v>
      </c>
      <c r="C3264">
        <v>0.3</v>
      </c>
    </row>
    <row r="3265" spans="1:3" ht="15" customHeight="1" x14ac:dyDescent="0.25">
      <c r="A3265" t="s">
        <v>2049</v>
      </c>
      <c r="B3265">
        <v>24.2</v>
      </c>
      <c r="C3265">
        <v>0.3</v>
      </c>
    </row>
    <row r="3266" spans="1:3" ht="15" customHeight="1" x14ac:dyDescent="0.25">
      <c r="A3266" t="s">
        <v>5552</v>
      </c>
      <c r="B3266">
        <v>24.2</v>
      </c>
      <c r="C3266">
        <v>0.3</v>
      </c>
    </row>
    <row r="3267" spans="1:3" ht="15" customHeight="1" x14ac:dyDescent="0.25">
      <c r="A3267" t="s">
        <v>5553</v>
      </c>
      <c r="B3267">
        <v>24.2</v>
      </c>
      <c r="C3267">
        <v>0.3</v>
      </c>
    </row>
    <row r="3268" spans="1:3" ht="15" customHeight="1" x14ac:dyDescent="0.25">
      <c r="A3268" t="s">
        <v>5554</v>
      </c>
      <c r="B3268">
        <v>24.2</v>
      </c>
      <c r="C3268">
        <v>0.3</v>
      </c>
    </row>
    <row r="3269" spans="1:3" ht="15" customHeight="1" x14ac:dyDescent="0.25">
      <c r="A3269" t="s">
        <v>5555</v>
      </c>
      <c r="B3269">
        <v>24.2</v>
      </c>
      <c r="C3269">
        <v>0.3</v>
      </c>
    </row>
    <row r="3270" spans="1:3" ht="15" customHeight="1" x14ac:dyDescent="0.25">
      <c r="A3270" t="s">
        <v>5556</v>
      </c>
      <c r="B3270">
        <v>24.2</v>
      </c>
      <c r="C3270">
        <v>0.3</v>
      </c>
    </row>
    <row r="3271" spans="1:3" ht="15" customHeight="1" x14ac:dyDescent="0.25">
      <c r="A3271" t="s">
        <v>5557</v>
      </c>
      <c r="B3271">
        <v>24.2</v>
      </c>
      <c r="C3271">
        <v>0.3</v>
      </c>
    </row>
    <row r="3272" spans="1:3" ht="15" customHeight="1" x14ac:dyDescent="0.25">
      <c r="A3272" t="s">
        <v>5558</v>
      </c>
      <c r="B3272">
        <v>24.2</v>
      </c>
      <c r="C3272">
        <v>0.3</v>
      </c>
    </row>
    <row r="3273" spans="1:3" ht="15" customHeight="1" x14ac:dyDescent="0.25">
      <c r="A3273" t="s">
        <v>5559</v>
      </c>
      <c r="B3273">
        <v>24.2</v>
      </c>
      <c r="C3273">
        <v>0.3</v>
      </c>
    </row>
    <row r="3274" spans="1:3" ht="15" customHeight="1" x14ac:dyDescent="0.25">
      <c r="A3274" t="s">
        <v>5560</v>
      </c>
      <c r="B3274">
        <v>24.2</v>
      </c>
      <c r="C3274">
        <v>0.3</v>
      </c>
    </row>
    <row r="3275" spans="1:3" ht="15" customHeight="1" x14ac:dyDescent="0.25">
      <c r="A3275" t="s">
        <v>5561</v>
      </c>
      <c r="B3275">
        <v>24.2</v>
      </c>
      <c r="C3275">
        <v>0.3</v>
      </c>
    </row>
    <row r="3276" spans="1:3" ht="15" customHeight="1" x14ac:dyDescent="0.25">
      <c r="A3276" t="s">
        <v>5562</v>
      </c>
      <c r="B3276">
        <v>24.2</v>
      </c>
      <c r="C3276">
        <v>0.3</v>
      </c>
    </row>
    <row r="3277" spans="1:3" ht="15" customHeight="1" x14ac:dyDescent="0.25">
      <c r="A3277" t="s">
        <v>5563</v>
      </c>
      <c r="B3277">
        <v>24.2</v>
      </c>
      <c r="C3277">
        <v>0.3</v>
      </c>
    </row>
    <row r="3278" spans="1:3" ht="15" customHeight="1" x14ac:dyDescent="0.25">
      <c r="A3278" t="s">
        <v>5564</v>
      </c>
      <c r="B3278">
        <v>24.2</v>
      </c>
      <c r="C3278">
        <v>0.3</v>
      </c>
    </row>
    <row r="3279" spans="1:3" ht="15" customHeight="1" x14ac:dyDescent="0.25">
      <c r="A3279" t="s">
        <v>5565</v>
      </c>
      <c r="B3279">
        <v>24.2</v>
      </c>
      <c r="C3279">
        <v>0.3</v>
      </c>
    </row>
    <row r="3280" spans="1:3" ht="15" customHeight="1" x14ac:dyDescent="0.25">
      <c r="A3280" t="s">
        <v>5566</v>
      </c>
      <c r="B3280">
        <v>24.2</v>
      </c>
      <c r="C3280">
        <v>0.3</v>
      </c>
    </row>
    <row r="3281" spans="1:3" ht="15" customHeight="1" x14ac:dyDescent="0.25">
      <c r="A3281" t="s">
        <v>5567</v>
      </c>
      <c r="B3281">
        <v>24.2</v>
      </c>
      <c r="C3281">
        <v>0.3</v>
      </c>
    </row>
    <row r="3282" spans="1:3" ht="15" customHeight="1" x14ac:dyDescent="0.25">
      <c r="A3282" t="s">
        <v>5568</v>
      </c>
      <c r="B3282">
        <v>24.2</v>
      </c>
      <c r="C3282">
        <v>0.3</v>
      </c>
    </row>
    <row r="3283" spans="1:3" ht="15" customHeight="1" x14ac:dyDescent="0.25">
      <c r="A3283" t="s">
        <v>5569</v>
      </c>
      <c r="B3283">
        <v>24.2</v>
      </c>
      <c r="C3283">
        <v>0.3</v>
      </c>
    </row>
    <row r="3284" spans="1:3" ht="15" customHeight="1" x14ac:dyDescent="0.25">
      <c r="A3284" t="s">
        <v>5570</v>
      </c>
      <c r="B3284">
        <v>24.2</v>
      </c>
      <c r="C3284">
        <v>0.3</v>
      </c>
    </row>
    <row r="3285" spans="1:3" ht="15" customHeight="1" x14ac:dyDescent="0.25">
      <c r="A3285" t="s">
        <v>5571</v>
      </c>
      <c r="B3285">
        <v>24.2</v>
      </c>
      <c r="C3285">
        <v>0.3</v>
      </c>
    </row>
    <row r="3286" spans="1:3" ht="15" customHeight="1" x14ac:dyDescent="0.25">
      <c r="A3286" t="s">
        <v>5572</v>
      </c>
      <c r="B3286">
        <v>24.2</v>
      </c>
      <c r="C3286">
        <v>0.3</v>
      </c>
    </row>
    <row r="3287" spans="1:3" ht="15" customHeight="1" x14ac:dyDescent="0.25">
      <c r="A3287" t="s">
        <v>5573</v>
      </c>
      <c r="B3287">
        <v>24.2</v>
      </c>
      <c r="C3287">
        <v>0.3</v>
      </c>
    </row>
    <row r="3288" spans="1:3" ht="15" customHeight="1" x14ac:dyDescent="0.25">
      <c r="A3288" t="s">
        <v>5574</v>
      </c>
      <c r="B3288">
        <v>24.2</v>
      </c>
      <c r="C3288">
        <v>0.3</v>
      </c>
    </row>
    <row r="3289" spans="1:3" ht="15" customHeight="1" x14ac:dyDescent="0.25">
      <c r="A3289" t="s">
        <v>5575</v>
      </c>
      <c r="B3289">
        <v>24.2</v>
      </c>
      <c r="C3289">
        <v>0.3</v>
      </c>
    </row>
    <row r="3290" spans="1:3" ht="15" customHeight="1" x14ac:dyDescent="0.25">
      <c r="A3290" t="s">
        <v>5576</v>
      </c>
      <c r="B3290">
        <v>24.2</v>
      </c>
      <c r="C3290">
        <v>0.3</v>
      </c>
    </row>
    <row r="3291" spans="1:3" ht="15" customHeight="1" x14ac:dyDescent="0.25">
      <c r="A3291" t="s">
        <v>5577</v>
      </c>
      <c r="B3291">
        <v>24.2</v>
      </c>
      <c r="C3291">
        <v>0.3</v>
      </c>
    </row>
    <row r="3292" spans="1:3" ht="15" customHeight="1" x14ac:dyDescent="0.25">
      <c r="A3292" t="s">
        <v>5578</v>
      </c>
      <c r="B3292">
        <v>24.2</v>
      </c>
      <c r="C3292">
        <v>0.3</v>
      </c>
    </row>
    <row r="3293" spans="1:3" ht="15" customHeight="1" x14ac:dyDescent="0.25">
      <c r="A3293" t="s">
        <v>5579</v>
      </c>
      <c r="B3293">
        <v>24.2</v>
      </c>
      <c r="C3293">
        <v>0.3</v>
      </c>
    </row>
    <row r="3294" spans="1:3" ht="15" customHeight="1" x14ac:dyDescent="0.25">
      <c r="A3294" t="s">
        <v>5580</v>
      </c>
      <c r="B3294">
        <v>24.2</v>
      </c>
      <c r="C3294">
        <v>0.3</v>
      </c>
    </row>
    <row r="3295" spans="1:3" ht="15" customHeight="1" x14ac:dyDescent="0.25">
      <c r="A3295" t="s">
        <v>5581</v>
      </c>
      <c r="B3295">
        <v>24.2</v>
      </c>
      <c r="C3295">
        <v>0.3</v>
      </c>
    </row>
    <row r="3296" spans="1:3" ht="15" customHeight="1" x14ac:dyDescent="0.25">
      <c r="A3296" t="s">
        <v>5582</v>
      </c>
      <c r="B3296">
        <v>24.2</v>
      </c>
      <c r="C3296">
        <v>0.3</v>
      </c>
    </row>
    <row r="3297" spans="1:3" ht="15" customHeight="1" x14ac:dyDescent="0.25">
      <c r="A3297" t="s">
        <v>5583</v>
      </c>
      <c r="B3297">
        <v>24.2</v>
      </c>
      <c r="C3297">
        <v>0.3</v>
      </c>
    </row>
    <row r="3298" spans="1:3" ht="15" customHeight="1" x14ac:dyDescent="0.25">
      <c r="A3298" t="s">
        <v>5584</v>
      </c>
      <c r="B3298">
        <v>24.2</v>
      </c>
      <c r="C3298">
        <v>0.3</v>
      </c>
    </row>
    <row r="3299" spans="1:3" ht="15" customHeight="1" x14ac:dyDescent="0.25">
      <c r="A3299" t="s">
        <v>5585</v>
      </c>
      <c r="B3299">
        <v>24.2</v>
      </c>
      <c r="C3299">
        <v>0.3</v>
      </c>
    </row>
    <row r="3300" spans="1:3" ht="15" customHeight="1" x14ac:dyDescent="0.25">
      <c r="A3300" t="s">
        <v>5586</v>
      </c>
      <c r="B3300">
        <v>24.2</v>
      </c>
      <c r="C3300">
        <v>0.3</v>
      </c>
    </row>
    <row r="3301" spans="1:3" ht="15" customHeight="1" x14ac:dyDescent="0.25">
      <c r="A3301" t="s">
        <v>5587</v>
      </c>
      <c r="B3301">
        <v>24.2</v>
      </c>
      <c r="C3301">
        <v>0.3</v>
      </c>
    </row>
    <row r="3302" spans="1:3" ht="15" customHeight="1" x14ac:dyDescent="0.25">
      <c r="A3302" t="s">
        <v>5588</v>
      </c>
      <c r="B3302">
        <v>24.2</v>
      </c>
      <c r="C3302">
        <v>0.3</v>
      </c>
    </row>
    <row r="3303" spans="1:3" ht="15" customHeight="1" x14ac:dyDescent="0.25">
      <c r="A3303" t="s">
        <v>5589</v>
      </c>
      <c r="B3303">
        <v>24.2</v>
      </c>
      <c r="C3303">
        <v>0.3</v>
      </c>
    </row>
    <row r="3304" spans="1:3" ht="15" customHeight="1" x14ac:dyDescent="0.25">
      <c r="A3304" t="s">
        <v>5590</v>
      </c>
      <c r="B3304">
        <v>24.2</v>
      </c>
      <c r="C3304">
        <v>0.3</v>
      </c>
    </row>
    <row r="3305" spans="1:3" ht="15" customHeight="1" x14ac:dyDescent="0.25">
      <c r="A3305" t="s">
        <v>5591</v>
      </c>
      <c r="B3305">
        <v>24.2</v>
      </c>
      <c r="C3305">
        <v>0.3</v>
      </c>
    </row>
    <row r="3306" spans="1:3" ht="15" customHeight="1" x14ac:dyDescent="0.25">
      <c r="A3306" t="s">
        <v>5592</v>
      </c>
      <c r="B3306">
        <v>16.3</v>
      </c>
      <c r="C3306">
        <v>0.3</v>
      </c>
    </row>
    <row r="3307" spans="1:3" ht="15" customHeight="1" x14ac:dyDescent="0.25">
      <c r="A3307" t="s">
        <v>5593</v>
      </c>
      <c r="B3307">
        <v>16.3</v>
      </c>
      <c r="C3307">
        <v>0.3</v>
      </c>
    </row>
    <row r="3308" spans="1:3" ht="15" customHeight="1" x14ac:dyDescent="0.25">
      <c r="A3308" t="s">
        <v>5594</v>
      </c>
      <c r="B3308">
        <v>16.3</v>
      </c>
      <c r="C3308">
        <v>0.3</v>
      </c>
    </row>
    <row r="3309" spans="1:3" ht="15" customHeight="1" x14ac:dyDescent="0.25">
      <c r="A3309" t="s">
        <v>5595</v>
      </c>
      <c r="B3309">
        <v>40.299999999999997</v>
      </c>
      <c r="C3309">
        <v>0.3</v>
      </c>
    </row>
    <row r="3310" spans="1:3" ht="15" customHeight="1" x14ac:dyDescent="0.25">
      <c r="A3310" t="s">
        <v>5596</v>
      </c>
      <c r="B3310">
        <v>40.299999999999997</v>
      </c>
      <c r="C3310">
        <v>0.3</v>
      </c>
    </row>
    <row r="3311" spans="1:3" ht="15" customHeight="1" x14ac:dyDescent="0.25">
      <c r="A3311" t="s">
        <v>5597</v>
      </c>
      <c r="B3311">
        <v>40.299999999999997</v>
      </c>
      <c r="C3311">
        <v>0.3</v>
      </c>
    </row>
    <row r="3312" spans="1:3" ht="15" customHeight="1" x14ac:dyDescent="0.25">
      <c r="A3312" t="s">
        <v>5598</v>
      </c>
      <c r="B3312">
        <v>40.299999999999997</v>
      </c>
      <c r="C3312">
        <v>0.3</v>
      </c>
    </row>
    <row r="3313" spans="1:3" ht="15" customHeight="1" x14ac:dyDescent="0.25">
      <c r="A3313" t="s">
        <v>5599</v>
      </c>
      <c r="B3313">
        <v>40.299999999999997</v>
      </c>
      <c r="C3313">
        <v>0.3</v>
      </c>
    </row>
    <row r="3314" spans="1:3" ht="15" customHeight="1" x14ac:dyDescent="0.25">
      <c r="A3314" t="s">
        <v>5600</v>
      </c>
      <c r="B3314">
        <v>40.299999999999997</v>
      </c>
      <c r="C3314">
        <v>0.3</v>
      </c>
    </row>
    <row r="3315" spans="1:3" ht="15" customHeight="1" x14ac:dyDescent="0.25">
      <c r="A3315" t="s">
        <v>5601</v>
      </c>
      <c r="B3315">
        <v>40.299999999999997</v>
      </c>
      <c r="C3315">
        <v>0.3</v>
      </c>
    </row>
    <row r="3316" spans="1:3" ht="15" customHeight="1" x14ac:dyDescent="0.25">
      <c r="A3316" t="s">
        <v>5602</v>
      </c>
      <c r="B3316">
        <v>40.299999999999997</v>
      </c>
      <c r="C3316">
        <v>0.3</v>
      </c>
    </row>
    <row r="3317" spans="1:3" ht="15" customHeight="1" x14ac:dyDescent="0.25">
      <c r="A3317" t="s">
        <v>5603</v>
      </c>
      <c r="B3317">
        <v>40.299999999999997</v>
      </c>
      <c r="C3317">
        <v>0.3</v>
      </c>
    </row>
    <row r="3318" spans="1:3" ht="15" customHeight="1" x14ac:dyDescent="0.25">
      <c r="A3318" t="s">
        <v>5604</v>
      </c>
      <c r="B3318">
        <v>40.299999999999997</v>
      </c>
      <c r="C3318">
        <v>0.3</v>
      </c>
    </row>
    <row r="3319" spans="1:3" ht="15" customHeight="1" x14ac:dyDescent="0.25">
      <c r="A3319" t="s">
        <v>5605</v>
      </c>
      <c r="B3319">
        <v>40.299999999999997</v>
      </c>
      <c r="C3319">
        <v>0.3</v>
      </c>
    </row>
    <row r="3320" spans="1:3" ht="15" customHeight="1" x14ac:dyDescent="0.25">
      <c r="A3320" t="s">
        <v>5606</v>
      </c>
      <c r="B3320">
        <v>40.299999999999997</v>
      </c>
      <c r="C3320">
        <v>0.3</v>
      </c>
    </row>
    <row r="3321" spans="1:3" ht="15" customHeight="1" x14ac:dyDescent="0.25">
      <c r="A3321" t="s">
        <v>5607</v>
      </c>
      <c r="B3321">
        <v>40.299999999999997</v>
      </c>
      <c r="C3321">
        <v>0.3</v>
      </c>
    </row>
    <row r="3322" spans="1:3" ht="15" customHeight="1" x14ac:dyDescent="0.25">
      <c r="A3322" t="s">
        <v>5608</v>
      </c>
      <c r="B3322">
        <v>40.299999999999997</v>
      </c>
      <c r="C3322">
        <v>0.3</v>
      </c>
    </row>
    <row r="3323" spans="1:3" ht="15" customHeight="1" x14ac:dyDescent="0.25">
      <c r="A3323" t="s">
        <v>5609</v>
      </c>
      <c r="B3323">
        <v>40.299999999999997</v>
      </c>
      <c r="C3323">
        <v>0.3</v>
      </c>
    </row>
    <row r="3324" spans="1:3" ht="15" customHeight="1" x14ac:dyDescent="0.25">
      <c r="A3324" t="s">
        <v>5610</v>
      </c>
      <c r="B3324">
        <v>40.299999999999997</v>
      </c>
      <c r="C3324">
        <v>0.3</v>
      </c>
    </row>
    <row r="3325" spans="1:3" ht="15" customHeight="1" x14ac:dyDescent="0.25">
      <c r="A3325" t="s">
        <v>5611</v>
      </c>
      <c r="B3325">
        <v>35.6</v>
      </c>
      <c r="C3325">
        <v>0.2</v>
      </c>
    </row>
    <row r="3326" spans="1:3" ht="15" customHeight="1" x14ac:dyDescent="0.25">
      <c r="A3326" t="s">
        <v>5612</v>
      </c>
      <c r="B3326">
        <v>35.6</v>
      </c>
      <c r="C3326">
        <v>0.2</v>
      </c>
    </row>
    <row r="3327" spans="1:3" ht="15" customHeight="1" x14ac:dyDescent="0.25">
      <c r="A3327" t="s">
        <v>5613</v>
      </c>
      <c r="B3327">
        <v>35.6</v>
      </c>
      <c r="C3327">
        <v>0.2</v>
      </c>
    </row>
    <row r="3328" spans="1:3" ht="15" customHeight="1" x14ac:dyDescent="0.25">
      <c r="A3328" t="s">
        <v>5614</v>
      </c>
      <c r="B3328">
        <v>35.6</v>
      </c>
      <c r="C3328">
        <v>0.2</v>
      </c>
    </row>
    <row r="3329" spans="1:3" ht="15" customHeight="1" x14ac:dyDescent="0.25">
      <c r="A3329" t="s">
        <v>5615</v>
      </c>
      <c r="B3329">
        <v>35.6</v>
      </c>
      <c r="C3329">
        <v>0.2</v>
      </c>
    </row>
    <row r="3330" spans="1:3" ht="15" customHeight="1" x14ac:dyDescent="0.25">
      <c r="A3330" t="s">
        <v>5616</v>
      </c>
      <c r="B3330">
        <v>35.6</v>
      </c>
      <c r="C3330">
        <v>0.2</v>
      </c>
    </row>
    <row r="3331" spans="1:3" ht="15" customHeight="1" x14ac:dyDescent="0.25">
      <c r="A3331" t="s">
        <v>5617</v>
      </c>
      <c r="B3331">
        <v>35.6</v>
      </c>
      <c r="C3331">
        <v>0.2</v>
      </c>
    </row>
    <row r="3332" spans="1:3" ht="15" customHeight="1" x14ac:dyDescent="0.25">
      <c r="A3332" t="s">
        <v>5618</v>
      </c>
      <c r="B3332">
        <v>35.6</v>
      </c>
      <c r="C3332">
        <v>0.2</v>
      </c>
    </row>
    <row r="3333" spans="1:3" ht="15" customHeight="1" x14ac:dyDescent="0.25">
      <c r="A3333" t="s">
        <v>5619</v>
      </c>
      <c r="B3333">
        <v>35.6</v>
      </c>
      <c r="C3333">
        <v>0.2</v>
      </c>
    </row>
    <row r="3334" spans="1:3" ht="15" customHeight="1" x14ac:dyDescent="0.25">
      <c r="A3334" t="s">
        <v>5620</v>
      </c>
      <c r="B3334">
        <v>36.5</v>
      </c>
      <c r="C3334">
        <v>0.2</v>
      </c>
    </row>
    <row r="3335" spans="1:3" ht="15" customHeight="1" x14ac:dyDescent="0.25">
      <c r="A3335" t="s">
        <v>5621</v>
      </c>
      <c r="B3335">
        <v>36.5</v>
      </c>
      <c r="C3335">
        <v>0.2</v>
      </c>
    </row>
    <row r="3336" spans="1:3" ht="15" customHeight="1" x14ac:dyDescent="0.25">
      <c r="A3336" t="s">
        <v>5622</v>
      </c>
      <c r="B3336">
        <v>36.5</v>
      </c>
      <c r="C3336">
        <v>0.2</v>
      </c>
    </row>
    <row r="3337" spans="1:3" ht="15" customHeight="1" x14ac:dyDescent="0.25">
      <c r="A3337" t="s">
        <v>5623</v>
      </c>
      <c r="B3337">
        <v>36.5</v>
      </c>
      <c r="C3337">
        <v>0.2</v>
      </c>
    </row>
    <row r="3338" spans="1:3" ht="15" customHeight="1" x14ac:dyDescent="0.25">
      <c r="A3338" t="s">
        <v>5624</v>
      </c>
      <c r="B3338">
        <v>36.5</v>
      </c>
      <c r="C3338">
        <v>0.2</v>
      </c>
    </row>
    <row r="3339" spans="1:3" ht="15" customHeight="1" x14ac:dyDescent="0.25">
      <c r="A3339" t="s">
        <v>702</v>
      </c>
      <c r="B3339">
        <v>36.5</v>
      </c>
      <c r="C3339">
        <v>0.2</v>
      </c>
    </row>
    <row r="3340" spans="1:3" ht="15" customHeight="1" x14ac:dyDescent="0.25">
      <c r="A3340" t="s">
        <v>5625</v>
      </c>
      <c r="B3340">
        <v>36.5</v>
      </c>
      <c r="C3340">
        <v>0.03</v>
      </c>
    </row>
    <row r="3341" spans="1:3" ht="15" customHeight="1" x14ac:dyDescent="0.25">
      <c r="A3341" t="s">
        <v>5626</v>
      </c>
      <c r="B3341">
        <v>36.5</v>
      </c>
      <c r="C3341">
        <v>0.2</v>
      </c>
    </row>
    <row r="3342" spans="1:3" ht="15" customHeight="1" x14ac:dyDescent="0.25">
      <c r="A3342" t="s">
        <v>5627</v>
      </c>
      <c r="B3342">
        <v>36.5</v>
      </c>
      <c r="C3342">
        <v>0.2</v>
      </c>
    </row>
    <row r="3343" spans="1:3" ht="15" customHeight="1" x14ac:dyDescent="0.25">
      <c r="A3343" t="s">
        <v>5628</v>
      </c>
      <c r="B3343">
        <v>36.5</v>
      </c>
      <c r="C3343">
        <v>0.1</v>
      </c>
    </row>
    <row r="3344" spans="1:3" ht="15" customHeight="1" x14ac:dyDescent="0.25">
      <c r="A3344" t="s">
        <v>5629</v>
      </c>
      <c r="B3344">
        <v>36.5</v>
      </c>
      <c r="C3344">
        <v>0.2</v>
      </c>
    </row>
    <row r="3345" spans="1:3" ht="15" customHeight="1" x14ac:dyDescent="0.25">
      <c r="A3345" t="s">
        <v>5630</v>
      </c>
      <c r="B3345">
        <v>36.5</v>
      </c>
      <c r="C3345">
        <v>0.2</v>
      </c>
    </row>
    <row r="3346" spans="1:3" ht="15" customHeight="1" x14ac:dyDescent="0.25">
      <c r="A3346" t="s">
        <v>5631</v>
      </c>
      <c r="B3346">
        <v>36.5</v>
      </c>
      <c r="C3346">
        <v>0.2</v>
      </c>
    </row>
    <row r="3347" spans="1:3" ht="15" customHeight="1" x14ac:dyDescent="0.25">
      <c r="A3347" t="s">
        <v>5632</v>
      </c>
      <c r="B3347">
        <v>36.5</v>
      </c>
      <c r="C3347">
        <v>0.2</v>
      </c>
    </row>
    <row r="3348" spans="1:3" ht="15" customHeight="1" x14ac:dyDescent="0.25">
      <c r="A3348" t="s">
        <v>5633</v>
      </c>
      <c r="B3348">
        <v>36.5</v>
      </c>
      <c r="C3348">
        <v>0.2</v>
      </c>
    </row>
    <row r="3349" spans="1:3" ht="15" customHeight="1" x14ac:dyDescent="0.25">
      <c r="A3349" t="s">
        <v>5634</v>
      </c>
      <c r="B3349">
        <v>36.5</v>
      </c>
      <c r="C3349">
        <v>0.1</v>
      </c>
    </row>
    <row r="3350" spans="1:3" ht="15" customHeight="1" x14ac:dyDescent="0.25">
      <c r="A3350" t="s">
        <v>5635</v>
      </c>
      <c r="B3350">
        <v>36.5</v>
      </c>
      <c r="C3350">
        <v>0.2</v>
      </c>
    </row>
    <row r="3351" spans="1:3" ht="15" customHeight="1" x14ac:dyDescent="0.25">
      <c r="A3351" t="s">
        <v>5636</v>
      </c>
      <c r="B3351">
        <v>36.5</v>
      </c>
      <c r="C3351">
        <v>0.2</v>
      </c>
    </row>
    <row r="3352" spans="1:3" ht="15" customHeight="1" x14ac:dyDescent="0.25">
      <c r="A3352" t="s">
        <v>5637</v>
      </c>
      <c r="B3352">
        <v>36.5</v>
      </c>
      <c r="C3352">
        <v>0.03</v>
      </c>
    </row>
    <row r="3353" spans="1:3" ht="15" customHeight="1" x14ac:dyDescent="0.25">
      <c r="A3353" t="s">
        <v>5638</v>
      </c>
      <c r="B3353">
        <v>36.5</v>
      </c>
      <c r="C3353">
        <v>0.2</v>
      </c>
    </row>
    <row r="3354" spans="1:3" ht="15" customHeight="1" x14ac:dyDescent="0.25">
      <c r="A3354" t="s">
        <v>5639</v>
      </c>
      <c r="B3354">
        <v>36.5</v>
      </c>
      <c r="C3354">
        <v>0.2</v>
      </c>
    </row>
    <row r="3355" spans="1:3" ht="15" customHeight="1" x14ac:dyDescent="0.25">
      <c r="A3355" t="s">
        <v>5640</v>
      </c>
      <c r="B3355">
        <v>29.6</v>
      </c>
      <c r="C3355">
        <v>0.2</v>
      </c>
    </row>
    <row r="3356" spans="1:3" ht="15" customHeight="1" x14ac:dyDescent="0.25">
      <c r="A3356" t="s">
        <v>5641</v>
      </c>
      <c r="B3356">
        <v>29.6</v>
      </c>
      <c r="C3356">
        <v>0.2</v>
      </c>
    </row>
    <row r="3357" spans="1:3" ht="15" customHeight="1" x14ac:dyDescent="0.25">
      <c r="A3357" t="s">
        <v>5642</v>
      </c>
      <c r="B3357">
        <v>29.6</v>
      </c>
      <c r="C3357">
        <v>0.2</v>
      </c>
    </row>
    <row r="3358" spans="1:3" ht="15" customHeight="1" x14ac:dyDescent="0.25">
      <c r="A3358" t="s">
        <v>5643</v>
      </c>
      <c r="B3358">
        <v>29.6</v>
      </c>
      <c r="C3358">
        <v>0.2</v>
      </c>
    </row>
    <row r="3359" spans="1:3" ht="15" customHeight="1" x14ac:dyDescent="0.25">
      <c r="A3359" t="s">
        <v>5644</v>
      </c>
      <c r="B3359">
        <v>29.6</v>
      </c>
      <c r="C3359">
        <v>0.2</v>
      </c>
    </row>
    <row r="3360" spans="1:3" ht="15" customHeight="1" x14ac:dyDescent="0.25">
      <c r="A3360" t="s">
        <v>5645</v>
      </c>
      <c r="B3360">
        <v>29.6</v>
      </c>
      <c r="C3360">
        <v>0.2</v>
      </c>
    </row>
    <row r="3361" spans="1:3" ht="15" customHeight="1" x14ac:dyDescent="0.25">
      <c r="A3361" t="s">
        <v>5646</v>
      </c>
      <c r="B3361">
        <v>29.6</v>
      </c>
      <c r="C3361">
        <v>0.2</v>
      </c>
    </row>
    <row r="3362" spans="1:3" ht="15" customHeight="1" x14ac:dyDescent="0.25">
      <c r="A3362" t="s">
        <v>5647</v>
      </c>
      <c r="B3362">
        <v>29.6</v>
      </c>
      <c r="C3362">
        <v>0.2</v>
      </c>
    </row>
    <row r="3363" spans="1:3" ht="15" customHeight="1" x14ac:dyDescent="0.25">
      <c r="A3363" t="s">
        <v>5648</v>
      </c>
      <c r="B3363">
        <v>29.6</v>
      </c>
      <c r="C3363">
        <v>0.2</v>
      </c>
    </row>
    <row r="3364" spans="1:3" ht="15" customHeight="1" x14ac:dyDescent="0.25">
      <c r="A3364" t="s">
        <v>5649</v>
      </c>
      <c r="B3364">
        <v>29.6</v>
      </c>
      <c r="C3364">
        <v>0.15</v>
      </c>
    </row>
    <row r="3365" spans="1:3" ht="15" customHeight="1" x14ac:dyDescent="0.25">
      <c r="A3365" t="s">
        <v>5650</v>
      </c>
      <c r="B3365">
        <v>29.6</v>
      </c>
      <c r="C3365">
        <v>0.2</v>
      </c>
    </row>
    <row r="3366" spans="1:3" ht="15" customHeight="1" x14ac:dyDescent="0.25">
      <c r="A3366" t="s">
        <v>5651</v>
      </c>
      <c r="B3366">
        <v>29.6</v>
      </c>
      <c r="C3366">
        <v>0.2</v>
      </c>
    </row>
    <row r="3367" spans="1:3" ht="15" customHeight="1" x14ac:dyDescent="0.25">
      <c r="A3367" t="s">
        <v>5652</v>
      </c>
      <c r="B3367">
        <v>29.6</v>
      </c>
    </row>
    <row r="3368" spans="1:3" ht="15" customHeight="1" x14ac:dyDescent="0.25">
      <c r="A3368" t="s">
        <v>5653</v>
      </c>
      <c r="B3368">
        <v>29.6</v>
      </c>
    </row>
    <row r="3369" spans="1:3" ht="15" customHeight="1" x14ac:dyDescent="0.25">
      <c r="A3369" t="s">
        <v>5654</v>
      </c>
      <c r="B3369">
        <v>29.6</v>
      </c>
    </row>
    <row r="3370" spans="1:3" ht="15" customHeight="1" x14ac:dyDescent="0.25">
      <c r="A3370" t="s">
        <v>5655</v>
      </c>
      <c r="B3370">
        <v>34.5</v>
      </c>
      <c r="C3370">
        <v>0.03</v>
      </c>
    </row>
    <row r="3371" spans="1:3" ht="15" customHeight="1" x14ac:dyDescent="0.25">
      <c r="A3371" t="s">
        <v>5656</v>
      </c>
      <c r="B3371">
        <v>34.5</v>
      </c>
      <c r="C3371">
        <v>0.2</v>
      </c>
    </row>
    <row r="3372" spans="1:3" ht="15" customHeight="1" x14ac:dyDescent="0.25">
      <c r="A3372" t="s">
        <v>5657</v>
      </c>
      <c r="B3372">
        <v>34.5</v>
      </c>
    </row>
    <row r="3373" spans="1:3" ht="15" customHeight="1" x14ac:dyDescent="0.25">
      <c r="A3373" t="s">
        <v>5658</v>
      </c>
      <c r="B3373">
        <v>34.5</v>
      </c>
      <c r="C3373">
        <v>0.2</v>
      </c>
    </row>
    <row r="3374" spans="1:3" ht="15" customHeight="1" x14ac:dyDescent="0.25">
      <c r="A3374" t="s">
        <v>5659</v>
      </c>
      <c r="B3374">
        <v>34.5</v>
      </c>
      <c r="C3374">
        <v>0.2</v>
      </c>
    </row>
    <row r="3375" spans="1:3" ht="15" customHeight="1" x14ac:dyDescent="0.25">
      <c r="A3375" t="s">
        <v>5660</v>
      </c>
      <c r="B3375">
        <v>34.5</v>
      </c>
      <c r="C3375">
        <v>0.2</v>
      </c>
    </row>
    <row r="3376" spans="1:3" ht="15" customHeight="1" x14ac:dyDescent="0.25">
      <c r="A3376" t="s">
        <v>5661</v>
      </c>
      <c r="B3376">
        <v>34.5</v>
      </c>
      <c r="C3376">
        <v>0.2</v>
      </c>
    </row>
    <row r="3377" spans="1:3" ht="15" customHeight="1" x14ac:dyDescent="0.25">
      <c r="A3377" t="s">
        <v>5662</v>
      </c>
      <c r="B3377">
        <v>34.5</v>
      </c>
      <c r="C3377">
        <v>0.2</v>
      </c>
    </row>
    <row r="3378" spans="1:3" ht="15" customHeight="1" x14ac:dyDescent="0.25">
      <c r="A3378" t="s">
        <v>5663</v>
      </c>
      <c r="B3378">
        <v>34.5</v>
      </c>
      <c r="C3378">
        <v>0.2</v>
      </c>
    </row>
    <row r="3379" spans="1:3" ht="15" customHeight="1" x14ac:dyDescent="0.25">
      <c r="A3379" t="s">
        <v>1842</v>
      </c>
      <c r="B3379">
        <v>34.5</v>
      </c>
      <c r="C3379">
        <v>0.03</v>
      </c>
    </row>
    <row r="3380" spans="1:3" ht="15" customHeight="1" x14ac:dyDescent="0.25">
      <c r="A3380" t="s">
        <v>5664</v>
      </c>
      <c r="B3380">
        <v>34.5</v>
      </c>
      <c r="C3380">
        <v>0.2</v>
      </c>
    </row>
    <row r="3381" spans="1:3" ht="15" customHeight="1" x14ac:dyDescent="0.25">
      <c r="A3381" t="s">
        <v>5665</v>
      </c>
      <c r="B3381">
        <v>34.5</v>
      </c>
      <c r="C3381">
        <v>0.2</v>
      </c>
    </row>
    <row r="3382" spans="1:3" ht="15" customHeight="1" x14ac:dyDescent="0.25">
      <c r="A3382" t="s">
        <v>5666</v>
      </c>
      <c r="B3382">
        <v>34.5</v>
      </c>
      <c r="C3382">
        <v>0.2</v>
      </c>
    </row>
    <row r="3383" spans="1:3" ht="15" customHeight="1" x14ac:dyDescent="0.25">
      <c r="A3383" t="s">
        <v>5667</v>
      </c>
      <c r="B3383">
        <v>34.5</v>
      </c>
      <c r="C3383">
        <v>0.2</v>
      </c>
    </row>
    <row r="3384" spans="1:3" ht="15" customHeight="1" x14ac:dyDescent="0.25">
      <c r="A3384" t="s">
        <v>5668</v>
      </c>
      <c r="B3384">
        <v>34.5</v>
      </c>
      <c r="C3384">
        <v>0.2</v>
      </c>
    </row>
    <row r="3385" spans="1:3" ht="15" customHeight="1" x14ac:dyDescent="0.25">
      <c r="A3385" t="s">
        <v>5669</v>
      </c>
      <c r="B3385">
        <v>34.5</v>
      </c>
      <c r="C3385">
        <v>0.2</v>
      </c>
    </row>
    <row r="3386" spans="1:3" ht="15" customHeight="1" x14ac:dyDescent="0.25">
      <c r="A3386" t="s">
        <v>5670</v>
      </c>
      <c r="B3386">
        <v>34.5</v>
      </c>
      <c r="C3386">
        <v>0.2</v>
      </c>
    </row>
    <row r="3387" spans="1:3" ht="15" customHeight="1" x14ac:dyDescent="0.25">
      <c r="A3387" t="s">
        <v>5671</v>
      </c>
      <c r="B3387">
        <v>34.5</v>
      </c>
      <c r="C3387">
        <v>0.2</v>
      </c>
    </row>
    <row r="3388" spans="1:3" ht="15" customHeight="1" x14ac:dyDescent="0.25">
      <c r="A3388" t="s">
        <v>5672</v>
      </c>
      <c r="B3388">
        <v>34.5</v>
      </c>
      <c r="C3388">
        <v>0.2</v>
      </c>
    </row>
    <row r="3389" spans="1:3" ht="15" customHeight="1" x14ac:dyDescent="0.25">
      <c r="A3389" t="s">
        <v>5673</v>
      </c>
      <c r="B3389">
        <v>34.5</v>
      </c>
      <c r="C3389">
        <v>0.2</v>
      </c>
    </row>
    <row r="3390" spans="1:3" ht="15" customHeight="1" x14ac:dyDescent="0.25">
      <c r="A3390" t="s">
        <v>5674</v>
      </c>
      <c r="B3390">
        <v>34.5</v>
      </c>
      <c r="C3390">
        <v>0.2</v>
      </c>
    </row>
    <row r="3391" spans="1:3" ht="15" customHeight="1" x14ac:dyDescent="0.25">
      <c r="A3391" t="s">
        <v>5675</v>
      </c>
      <c r="B3391">
        <v>34.5</v>
      </c>
      <c r="C3391">
        <v>0.03</v>
      </c>
    </row>
    <row r="3392" spans="1:3" ht="15" customHeight="1" x14ac:dyDescent="0.25">
      <c r="A3392" t="s">
        <v>5676</v>
      </c>
      <c r="B3392">
        <v>34.5</v>
      </c>
      <c r="C3392">
        <v>0.2</v>
      </c>
    </row>
    <row r="3393" spans="1:3" ht="15" customHeight="1" x14ac:dyDescent="0.25">
      <c r="A3393" t="s">
        <v>5677</v>
      </c>
      <c r="B3393">
        <v>34.5</v>
      </c>
      <c r="C3393">
        <v>0.1</v>
      </c>
    </row>
    <row r="3394" spans="1:3" ht="15" customHeight="1" x14ac:dyDescent="0.25">
      <c r="A3394" t="s">
        <v>5678</v>
      </c>
      <c r="B3394">
        <v>32.700000000000003</v>
      </c>
      <c r="C3394">
        <v>0.03</v>
      </c>
    </row>
    <row r="3395" spans="1:3" ht="15" customHeight="1" x14ac:dyDescent="0.25">
      <c r="A3395" t="s">
        <v>5679</v>
      </c>
      <c r="B3395">
        <v>32.700000000000003</v>
      </c>
      <c r="C3395">
        <v>0.03</v>
      </c>
    </row>
    <row r="3396" spans="1:3" ht="15" customHeight="1" x14ac:dyDescent="0.25">
      <c r="A3396" t="s">
        <v>5680</v>
      </c>
      <c r="B3396">
        <v>32.700000000000003</v>
      </c>
      <c r="C3396">
        <v>0.03</v>
      </c>
    </row>
    <row r="3397" spans="1:3" ht="15" customHeight="1" x14ac:dyDescent="0.25">
      <c r="A3397" t="s">
        <v>5681</v>
      </c>
      <c r="B3397">
        <v>32.700000000000003</v>
      </c>
      <c r="C3397">
        <v>0.03</v>
      </c>
    </row>
    <row r="3398" spans="1:3" ht="15" customHeight="1" x14ac:dyDescent="0.25">
      <c r="A3398" t="s">
        <v>5682</v>
      </c>
      <c r="B3398">
        <v>34.5</v>
      </c>
    </row>
    <row r="3399" spans="1:3" ht="15" customHeight="1" x14ac:dyDescent="0.25">
      <c r="A3399" t="s">
        <v>5683</v>
      </c>
      <c r="B3399">
        <v>34.5</v>
      </c>
      <c r="C3399">
        <v>0.2</v>
      </c>
    </row>
    <row r="3400" spans="1:3" ht="15" customHeight="1" x14ac:dyDescent="0.25">
      <c r="A3400" t="s">
        <v>5684</v>
      </c>
      <c r="B3400">
        <v>34.5</v>
      </c>
    </row>
    <row r="3401" spans="1:3" ht="15" customHeight="1" x14ac:dyDescent="0.25">
      <c r="A3401" t="s">
        <v>5685</v>
      </c>
      <c r="B3401">
        <v>34.5</v>
      </c>
      <c r="C3401">
        <v>0.2</v>
      </c>
    </row>
    <row r="3402" spans="1:3" ht="15" customHeight="1" x14ac:dyDescent="0.25">
      <c r="A3402" t="s">
        <v>5686</v>
      </c>
      <c r="B3402">
        <v>34.5</v>
      </c>
      <c r="C3402">
        <v>0.2</v>
      </c>
    </row>
    <row r="3403" spans="1:3" ht="15" customHeight="1" x14ac:dyDescent="0.25">
      <c r="A3403" t="s">
        <v>5687</v>
      </c>
      <c r="B3403">
        <v>34.5</v>
      </c>
      <c r="C3403">
        <v>0.2</v>
      </c>
    </row>
    <row r="3404" spans="1:3" ht="15" customHeight="1" x14ac:dyDescent="0.25">
      <c r="A3404" t="s">
        <v>5688</v>
      </c>
      <c r="B3404">
        <v>34.5</v>
      </c>
      <c r="C3404">
        <v>0.2</v>
      </c>
    </row>
    <row r="3405" spans="1:3" ht="15" customHeight="1" x14ac:dyDescent="0.25">
      <c r="A3405" t="s">
        <v>5689</v>
      </c>
      <c r="B3405">
        <v>34.5</v>
      </c>
      <c r="C3405">
        <v>0.2</v>
      </c>
    </row>
    <row r="3406" spans="1:3" ht="15" customHeight="1" x14ac:dyDescent="0.25">
      <c r="A3406" t="s">
        <v>5690</v>
      </c>
      <c r="B3406">
        <v>34.5</v>
      </c>
    </row>
    <row r="3407" spans="1:3" ht="15" customHeight="1" x14ac:dyDescent="0.25">
      <c r="A3407" t="s">
        <v>5691</v>
      </c>
      <c r="B3407">
        <v>34.5</v>
      </c>
      <c r="C3407">
        <v>0.03</v>
      </c>
    </row>
    <row r="3408" spans="1:3" ht="15" customHeight="1" x14ac:dyDescent="0.25">
      <c r="A3408" t="s">
        <v>5692</v>
      </c>
      <c r="B3408">
        <v>34.5</v>
      </c>
      <c r="C3408">
        <v>0.2</v>
      </c>
    </row>
    <row r="3409" spans="1:3" ht="15" customHeight="1" x14ac:dyDescent="0.25">
      <c r="A3409" t="s">
        <v>5693</v>
      </c>
      <c r="B3409">
        <v>34.5</v>
      </c>
    </row>
    <row r="3410" spans="1:3" ht="15" customHeight="1" x14ac:dyDescent="0.25">
      <c r="A3410" t="s">
        <v>5694</v>
      </c>
      <c r="B3410">
        <v>34.5</v>
      </c>
    </row>
    <row r="3411" spans="1:3" ht="15" customHeight="1" x14ac:dyDescent="0.25">
      <c r="A3411" t="s">
        <v>5695</v>
      </c>
      <c r="B3411">
        <v>34.5</v>
      </c>
    </row>
    <row r="3412" spans="1:3" ht="15" customHeight="1" x14ac:dyDescent="0.25">
      <c r="A3412" t="s">
        <v>1720</v>
      </c>
      <c r="B3412">
        <v>34.5</v>
      </c>
      <c r="C3412">
        <v>0.03</v>
      </c>
    </row>
    <row r="3413" spans="1:3" ht="15" customHeight="1" x14ac:dyDescent="0.25">
      <c r="A3413" t="s">
        <v>5696</v>
      </c>
      <c r="B3413">
        <v>34.5</v>
      </c>
      <c r="C3413">
        <v>0.1</v>
      </c>
    </row>
    <row r="3414" spans="1:3" ht="15" customHeight="1" x14ac:dyDescent="0.25">
      <c r="A3414" t="s">
        <v>5697</v>
      </c>
      <c r="B3414">
        <v>34.5</v>
      </c>
      <c r="C3414">
        <v>0.2</v>
      </c>
    </row>
    <row r="3415" spans="1:3" ht="15" customHeight="1" x14ac:dyDescent="0.25">
      <c r="A3415" t="s">
        <v>5698</v>
      </c>
      <c r="B3415">
        <v>34.5</v>
      </c>
    </row>
    <row r="3416" spans="1:3" ht="15" customHeight="1" x14ac:dyDescent="0.25">
      <c r="A3416" t="s">
        <v>372</v>
      </c>
      <c r="B3416">
        <v>34.5</v>
      </c>
      <c r="C3416">
        <v>0.03</v>
      </c>
    </row>
    <row r="3417" spans="1:3" ht="15" customHeight="1" x14ac:dyDescent="0.25">
      <c r="A3417" t="s">
        <v>5699</v>
      </c>
      <c r="B3417">
        <v>34.5</v>
      </c>
      <c r="C3417">
        <v>0.2</v>
      </c>
    </row>
    <row r="3418" spans="1:3" ht="15" customHeight="1" x14ac:dyDescent="0.25">
      <c r="A3418" t="s">
        <v>5700</v>
      </c>
      <c r="B3418">
        <v>34.5</v>
      </c>
    </row>
    <row r="3419" spans="1:3" ht="15" customHeight="1" x14ac:dyDescent="0.25">
      <c r="A3419" t="s">
        <v>5701</v>
      </c>
      <c r="B3419">
        <v>34.5</v>
      </c>
      <c r="C3419">
        <v>0.03</v>
      </c>
    </row>
    <row r="3420" spans="1:3" ht="15" customHeight="1" x14ac:dyDescent="0.25">
      <c r="A3420" t="s">
        <v>5702</v>
      </c>
      <c r="B3420">
        <v>34.5</v>
      </c>
      <c r="C3420">
        <v>0.2</v>
      </c>
    </row>
    <row r="3421" spans="1:3" ht="15" customHeight="1" x14ac:dyDescent="0.25">
      <c r="A3421" t="s">
        <v>5703</v>
      </c>
      <c r="B3421">
        <v>34.5</v>
      </c>
    </row>
    <row r="3422" spans="1:3" ht="15" customHeight="1" x14ac:dyDescent="0.25">
      <c r="A3422" t="s">
        <v>5704</v>
      </c>
      <c r="B3422">
        <v>34.5</v>
      </c>
    </row>
    <row r="3423" spans="1:3" ht="15" customHeight="1" x14ac:dyDescent="0.25">
      <c r="A3423" t="s">
        <v>5705</v>
      </c>
      <c r="B3423">
        <v>34.5</v>
      </c>
      <c r="C3423">
        <v>0.2</v>
      </c>
    </row>
    <row r="3424" spans="1:3" ht="15" customHeight="1" x14ac:dyDescent="0.25">
      <c r="A3424" t="s">
        <v>5706</v>
      </c>
      <c r="B3424">
        <v>34.5</v>
      </c>
      <c r="C3424">
        <v>0.2</v>
      </c>
    </row>
    <row r="3425" spans="1:3" ht="15" customHeight="1" x14ac:dyDescent="0.25">
      <c r="A3425" t="s">
        <v>1953</v>
      </c>
      <c r="B3425">
        <v>34.5</v>
      </c>
      <c r="C3425">
        <v>0.03</v>
      </c>
    </row>
    <row r="3426" spans="1:3" ht="15" customHeight="1" x14ac:dyDescent="0.25">
      <c r="A3426" t="s">
        <v>5707</v>
      </c>
      <c r="B3426">
        <v>34.5</v>
      </c>
      <c r="C3426">
        <v>0.2</v>
      </c>
    </row>
    <row r="3427" spans="1:3" ht="15" customHeight="1" x14ac:dyDescent="0.25">
      <c r="A3427" t="s">
        <v>5708</v>
      </c>
      <c r="B3427">
        <v>34.5</v>
      </c>
      <c r="C3427">
        <v>0.2</v>
      </c>
    </row>
    <row r="3428" spans="1:3" ht="15" customHeight="1" x14ac:dyDescent="0.25">
      <c r="A3428" t="s">
        <v>534</v>
      </c>
      <c r="B3428">
        <v>34.5</v>
      </c>
      <c r="C3428">
        <v>0.03</v>
      </c>
    </row>
    <row r="3429" spans="1:3" ht="15" customHeight="1" x14ac:dyDescent="0.25">
      <c r="A3429" t="s">
        <v>5709</v>
      </c>
      <c r="B3429">
        <v>34.5</v>
      </c>
      <c r="C3429">
        <v>0.2</v>
      </c>
    </row>
    <row r="3430" spans="1:3" ht="15" customHeight="1" x14ac:dyDescent="0.25">
      <c r="A3430" t="s">
        <v>5710</v>
      </c>
      <c r="B3430">
        <v>34.5</v>
      </c>
      <c r="C3430">
        <v>0.2</v>
      </c>
    </row>
    <row r="3431" spans="1:3" ht="15" customHeight="1" x14ac:dyDescent="0.25">
      <c r="A3431" t="s">
        <v>5711</v>
      </c>
      <c r="B3431">
        <v>34.5</v>
      </c>
      <c r="C3431">
        <v>0.03</v>
      </c>
    </row>
    <row r="3432" spans="1:3" ht="15" customHeight="1" x14ac:dyDescent="0.25">
      <c r="A3432" t="s">
        <v>5712</v>
      </c>
      <c r="B3432">
        <v>34.5</v>
      </c>
      <c r="C3432">
        <v>0.2</v>
      </c>
    </row>
    <row r="3433" spans="1:3" ht="15" customHeight="1" x14ac:dyDescent="0.25">
      <c r="A3433" t="s">
        <v>5713</v>
      </c>
      <c r="B3433">
        <v>34.5</v>
      </c>
      <c r="C3433">
        <v>0.2</v>
      </c>
    </row>
    <row r="3434" spans="1:3" ht="15" customHeight="1" x14ac:dyDescent="0.25">
      <c r="A3434" t="s">
        <v>5714</v>
      </c>
      <c r="B3434">
        <v>34.5</v>
      </c>
      <c r="C3434">
        <v>0.03</v>
      </c>
    </row>
    <row r="3435" spans="1:3" ht="15" customHeight="1" x14ac:dyDescent="0.25">
      <c r="A3435" t="s">
        <v>5715</v>
      </c>
      <c r="B3435">
        <v>34.5</v>
      </c>
      <c r="C3435">
        <v>0.1</v>
      </c>
    </row>
    <row r="3436" spans="1:3" ht="15" customHeight="1" x14ac:dyDescent="0.25">
      <c r="A3436" t="s">
        <v>5716</v>
      </c>
      <c r="B3436">
        <v>34.5</v>
      </c>
      <c r="C3436">
        <v>0.2</v>
      </c>
    </row>
    <row r="3437" spans="1:3" ht="15" customHeight="1" x14ac:dyDescent="0.25">
      <c r="A3437" t="s">
        <v>5717</v>
      </c>
      <c r="B3437">
        <v>34.5</v>
      </c>
      <c r="C3437">
        <v>0.03</v>
      </c>
    </row>
    <row r="3438" spans="1:3" ht="15" customHeight="1" x14ac:dyDescent="0.25">
      <c r="A3438" t="s">
        <v>5718</v>
      </c>
      <c r="B3438">
        <v>34.5</v>
      </c>
      <c r="C3438">
        <v>0.1</v>
      </c>
    </row>
    <row r="3439" spans="1:3" ht="15" customHeight="1" x14ac:dyDescent="0.25">
      <c r="A3439" t="s">
        <v>220</v>
      </c>
      <c r="B3439">
        <v>34.5</v>
      </c>
      <c r="C3439">
        <v>0.2</v>
      </c>
    </row>
    <row r="3440" spans="1:3" ht="15" customHeight="1" x14ac:dyDescent="0.25">
      <c r="A3440" t="s">
        <v>1466</v>
      </c>
      <c r="B3440">
        <v>34.5</v>
      </c>
      <c r="C3440">
        <v>0.03</v>
      </c>
    </row>
    <row r="3441" spans="1:3" ht="15" customHeight="1" x14ac:dyDescent="0.25">
      <c r="A3441" t="s">
        <v>5719</v>
      </c>
      <c r="B3441">
        <v>34.5</v>
      </c>
      <c r="C3441">
        <v>0.03</v>
      </c>
    </row>
    <row r="3442" spans="1:3" ht="15" customHeight="1" x14ac:dyDescent="0.25">
      <c r="A3442" t="s">
        <v>5720</v>
      </c>
      <c r="B3442">
        <v>34.5</v>
      </c>
      <c r="C3442">
        <v>0.2</v>
      </c>
    </row>
    <row r="3443" spans="1:3" ht="15" customHeight="1" x14ac:dyDescent="0.25">
      <c r="A3443" t="s">
        <v>5721</v>
      </c>
      <c r="B3443">
        <v>34.5</v>
      </c>
      <c r="C3443">
        <v>0.2</v>
      </c>
    </row>
    <row r="3444" spans="1:3" ht="15" customHeight="1" x14ac:dyDescent="0.25">
      <c r="A3444" t="s">
        <v>5722</v>
      </c>
      <c r="B3444">
        <v>34.5</v>
      </c>
      <c r="C3444">
        <v>0.2</v>
      </c>
    </row>
    <row r="3445" spans="1:3" ht="15" customHeight="1" x14ac:dyDescent="0.25">
      <c r="A3445" t="s">
        <v>5723</v>
      </c>
      <c r="B3445">
        <v>34.5</v>
      </c>
      <c r="C3445">
        <v>0.2</v>
      </c>
    </row>
    <row r="3446" spans="1:3" ht="15" customHeight="1" x14ac:dyDescent="0.25">
      <c r="A3446" t="s">
        <v>5724</v>
      </c>
      <c r="B3446">
        <v>33.700000000000003</v>
      </c>
      <c r="C3446">
        <v>0.03</v>
      </c>
    </row>
    <row r="3447" spans="1:3" ht="15" customHeight="1" x14ac:dyDescent="0.25">
      <c r="A3447" t="s">
        <v>5725</v>
      </c>
      <c r="B3447">
        <v>33.700000000000003</v>
      </c>
      <c r="C3447">
        <v>0.03</v>
      </c>
    </row>
    <row r="3448" spans="1:3" ht="15" customHeight="1" x14ac:dyDescent="0.25">
      <c r="A3448" t="s">
        <v>5726</v>
      </c>
      <c r="B3448">
        <v>33.700000000000003</v>
      </c>
      <c r="C3448">
        <v>0.03</v>
      </c>
    </row>
    <row r="3449" spans="1:3" ht="15" customHeight="1" x14ac:dyDescent="0.25">
      <c r="A3449" t="s">
        <v>5727</v>
      </c>
      <c r="B3449">
        <v>33.700000000000003</v>
      </c>
      <c r="C3449">
        <v>0.2</v>
      </c>
    </row>
    <row r="3450" spans="1:3" ht="15" customHeight="1" x14ac:dyDescent="0.25">
      <c r="A3450" t="s">
        <v>5728</v>
      </c>
      <c r="B3450">
        <v>33.700000000000003</v>
      </c>
      <c r="C3450">
        <v>0.2</v>
      </c>
    </row>
    <row r="3451" spans="1:3" ht="15" customHeight="1" x14ac:dyDescent="0.25">
      <c r="A3451" t="s">
        <v>5729</v>
      </c>
      <c r="B3451">
        <v>33.700000000000003</v>
      </c>
      <c r="C3451">
        <v>0.2</v>
      </c>
    </row>
    <row r="3452" spans="1:3" ht="15" customHeight="1" x14ac:dyDescent="0.25">
      <c r="A3452" t="s">
        <v>1552</v>
      </c>
      <c r="B3452">
        <v>33.700000000000003</v>
      </c>
      <c r="C3452">
        <v>0.03</v>
      </c>
    </row>
    <row r="3453" spans="1:3" ht="15" customHeight="1" x14ac:dyDescent="0.25">
      <c r="A3453" t="s">
        <v>5730</v>
      </c>
      <c r="B3453">
        <v>33.700000000000003</v>
      </c>
      <c r="C3453">
        <v>0.03</v>
      </c>
    </row>
    <row r="3454" spans="1:3" ht="15" customHeight="1" x14ac:dyDescent="0.25">
      <c r="A3454" t="s">
        <v>5731</v>
      </c>
      <c r="B3454">
        <v>33.700000000000003</v>
      </c>
      <c r="C3454">
        <v>0.1</v>
      </c>
    </row>
    <row r="3455" spans="1:3" ht="15" customHeight="1" x14ac:dyDescent="0.25">
      <c r="A3455" t="s">
        <v>810</v>
      </c>
      <c r="B3455">
        <v>33.700000000000003</v>
      </c>
      <c r="C3455">
        <v>0.03</v>
      </c>
    </row>
    <row r="3456" spans="1:3" ht="15" customHeight="1" x14ac:dyDescent="0.25">
      <c r="A3456" t="s">
        <v>5732</v>
      </c>
      <c r="B3456">
        <v>33.700000000000003</v>
      </c>
      <c r="C3456">
        <v>0.03</v>
      </c>
    </row>
    <row r="3457" spans="1:3" ht="15" customHeight="1" x14ac:dyDescent="0.25">
      <c r="A3457" t="s">
        <v>2023</v>
      </c>
      <c r="B3457">
        <v>33.700000000000003</v>
      </c>
      <c r="C3457">
        <v>0.1</v>
      </c>
    </row>
    <row r="3458" spans="1:3" ht="15" customHeight="1" x14ac:dyDescent="0.25">
      <c r="A3458" t="s">
        <v>5733</v>
      </c>
      <c r="B3458">
        <v>32.9</v>
      </c>
      <c r="C3458">
        <v>0.2</v>
      </c>
    </row>
    <row r="3459" spans="1:3" ht="15" customHeight="1" x14ac:dyDescent="0.25">
      <c r="A3459" t="s">
        <v>5734</v>
      </c>
      <c r="B3459">
        <v>32.9</v>
      </c>
      <c r="C3459">
        <v>0.2</v>
      </c>
    </row>
    <row r="3460" spans="1:3" ht="15" customHeight="1" x14ac:dyDescent="0.25">
      <c r="A3460" t="s">
        <v>5735</v>
      </c>
      <c r="B3460">
        <v>32.9</v>
      </c>
      <c r="C3460">
        <v>0.2</v>
      </c>
    </row>
    <row r="3461" spans="1:3" ht="15" customHeight="1" x14ac:dyDescent="0.25">
      <c r="A3461" t="s">
        <v>5736</v>
      </c>
      <c r="B3461">
        <v>32.9</v>
      </c>
      <c r="C3461">
        <v>0.2</v>
      </c>
    </row>
    <row r="3462" spans="1:3" ht="15" customHeight="1" x14ac:dyDescent="0.25">
      <c r="A3462" t="s">
        <v>5737</v>
      </c>
      <c r="B3462">
        <v>32.9</v>
      </c>
      <c r="C3462">
        <v>0.2</v>
      </c>
    </row>
    <row r="3463" spans="1:3" ht="15" customHeight="1" x14ac:dyDescent="0.25">
      <c r="A3463" t="s">
        <v>5738</v>
      </c>
      <c r="B3463">
        <v>32.9</v>
      </c>
      <c r="C3463">
        <v>0.2</v>
      </c>
    </row>
    <row r="3464" spans="1:3" ht="15" customHeight="1" x14ac:dyDescent="0.25">
      <c r="A3464" t="s">
        <v>5739</v>
      </c>
      <c r="B3464">
        <v>22.8</v>
      </c>
      <c r="C3464">
        <v>0.03</v>
      </c>
    </row>
    <row r="3465" spans="1:3" ht="15" customHeight="1" x14ac:dyDescent="0.25">
      <c r="A3465" t="s">
        <v>5740</v>
      </c>
      <c r="B3465">
        <v>22.8</v>
      </c>
      <c r="C3465">
        <v>0.03</v>
      </c>
    </row>
    <row r="3466" spans="1:3" ht="15" customHeight="1" x14ac:dyDescent="0.25">
      <c r="A3466" t="s">
        <v>5741</v>
      </c>
      <c r="B3466">
        <v>22.8</v>
      </c>
      <c r="C3466">
        <v>0.03</v>
      </c>
    </row>
    <row r="3467" spans="1:3" ht="15" customHeight="1" x14ac:dyDescent="0.25">
      <c r="A3467" t="s">
        <v>5742</v>
      </c>
      <c r="B3467">
        <v>22.8</v>
      </c>
      <c r="C3467">
        <v>0.03</v>
      </c>
    </row>
    <row r="3468" spans="1:3" ht="15" customHeight="1" x14ac:dyDescent="0.25">
      <c r="A3468" t="s">
        <v>5743</v>
      </c>
      <c r="B3468">
        <v>32.9</v>
      </c>
      <c r="C3468">
        <v>0.2</v>
      </c>
    </row>
    <row r="3469" spans="1:3" ht="15" customHeight="1" x14ac:dyDescent="0.25">
      <c r="A3469" t="s">
        <v>5744</v>
      </c>
      <c r="B3469">
        <v>32.9</v>
      </c>
      <c r="C3469">
        <v>0.2</v>
      </c>
    </row>
    <row r="3470" spans="1:3" ht="15" customHeight="1" x14ac:dyDescent="0.25">
      <c r="A3470" t="s">
        <v>5745</v>
      </c>
      <c r="B3470">
        <v>32.9</v>
      </c>
      <c r="C3470">
        <v>0.2</v>
      </c>
    </row>
    <row r="3471" spans="1:3" ht="15" customHeight="1" x14ac:dyDescent="0.25">
      <c r="A3471" t="s">
        <v>5746</v>
      </c>
      <c r="B3471">
        <v>32.9</v>
      </c>
      <c r="C3471">
        <v>0.2</v>
      </c>
    </row>
    <row r="3472" spans="1:3" ht="15" customHeight="1" x14ac:dyDescent="0.25">
      <c r="A3472" t="s">
        <v>5747</v>
      </c>
      <c r="B3472">
        <v>32.9</v>
      </c>
      <c r="C3472">
        <v>0.2</v>
      </c>
    </row>
    <row r="3473" spans="1:3" ht="15" customHeight="1" x14ac:dyDescent="0.25">
      <c r="A3473" t="s">
        <v>5748</v>
      </c>
      <c r="B3473">
        <v>32.9</v>
      </c>
      <c r="C3473">
        <v>0.2</v>
      </c>
    </row>
    <row r="3474" spans="1:3" ht="15" customHeight="1" x14ac:dyDescent="0.25">
      <c r="A3474" t="s">
        <v>5749</v>
      </c>
      <c r="B3474">
        <v>16.100000000000001</v>
      </c>
      <c r="C3474">
        <v>0.2</v>
      </c>
    </row>
    <row r="3475" spans="1:3" ht="15" customHeight="1" x14ac:dyDescent="0.25">
      <c r="A3475" t="s">
        <v>5750</v>
      </c>
      <c r="B3475">
        <v>16.100000000000001</v>
      </c>
      <c r="C3475">
        <v>0.2</v>
      </c>
    </row>
    <row r="3476" spans="1:3" ht="15" customHeight="1" x14ac:dyDescent="0.25">
      <c r="A3476" t="s">
        <v>5751</v>
      </c>
      <c r="B3476">
        <v>16.100000000000001</v>
      </c>
      <c r="C3476">
        <v>0.2</v>
      </c>
    </row>
    <row r="3477" spans="1:3" ht="15" customHeight="1" x14ac:dyDescent="0.25">
      <c r="A3477" t="s">
        <v>5752</v>
      </c>
      <c r="B3477">
        <v>16.100000000000001</v>
      </c>
      <c r="C3477">
        <v>0.2</v>
      </c>
    </row>
    <row r="3478" spans="1:3" ht="15" customHeight="1" x14ac:dyDescent="0.25">
      <c r="A3478" t="s">
        <v>5753</v>
      </c>
      <c r="B3478">
        <v>15.9</v>
      </c>
      <c r="C3478">
        <v>0.03</v>
      </c>
    </row>
    <row r="3479" spans="1:3" ht="15" customHeight="1" x14ac:dyDescent="0.25">
      <c r="A3479" t="s">
        <v>5754</v>
      </c>
      <c r="B3479">
        <v>15.9</v>
      </c>
      <c r="C3479">
        <v>0.03</v>
      </c>
    </row>
    <row r="3480" spans="1:3" ht="15" customHeight="1" x14ac:dyDescent="0.25">
      <c r="A3480" t="s">
        <v>5755</v>
      </c>
      <c r="B3480">
        <v>15.9</v>
      </c>
      <c r="C3480">
        <v>0.03</v>
      </c>
    </row>
    <row r="3481" spans="1:3" ht="15" customHeight="1" x14ac:dyDescent="0.25">
      <c r="A3481" t="s">
        <v>5756</v>
      </c>
      <c r="B3481">
        <v>15.9</v>
      </c>
      <c r="C3481">
        <v>0.03</v>
      </c>
    </row>
    <row r="3482" spans="1:3" ht="15" customHeight="1" x14ac:dyDescent="0.25">
      <c r="A3482" t="s">
        <v>5757</v>
      </c>
      <c r="B3482">
        <v>15.9</v>
      </c>
      <c r="C3482">
        <v>0.03</v>
      </c>
    </row>
    <row r="3483" spans="1:3" ht="15" customHeight="1" x14ac:dyDescent="0.25">
      <c r="A3483" t="s">
        <v>5758</v>
      </c>
      <c r="B3483">
        <v>16.100000000000001</v>
      </c>
      <c r="C3483">
        <v>0.15</v>
      </c>
    </row>
    <row r="3484" spans="1:3" ht="15" customHeight="1" x14ac:dyDescent="0.25">
      <c r="A3484" t="s">
        <v>5759</v>
      </c>
      <c r="B3484">
        <v>16.100000000000001</v>
      </c>
      <c r="C3484">
        <v>0.2</v>
      </c>
    </row>
    <row r="3485" spans="1:3" ht="15" customHeight="1" x14ac:dyDescent="0.25">
      <c r="A3485" t="s">
        <v>5760</v>
      </c>
      <c r="B3485">
        <v>16.100000000000001</v>
      </c>
      <c r="C3485">
        <v>0.2</v>
      </c>
    </row>
    <row r="3486" spans="1:3" ht="15" customHeight="1" x14ac:dyDescent="0.25">
      <c r="A3486" t="s">
        <v>5761</v>
      </c>
      <c r="B3486">
        <v>16.100000000000001</v>
      </c>
      <c r="C3486">
        <v>0.2</v>
      </c>
    </row>
    <row r="3487" spans="1:3" ht="15" customHeight="1" x14ac:dyDescent="0.25">
      <c r="A3487" t="s">
        <v>5762</v>
      </c>
      <c r="B3487">
        <v>17.100000000000001</v>
      </c>
      <c r="C3487">
        <v>0.1</v>
      </c>
    </row>
    <row r="3488" spans="1:3" ht="15" customHeight="1" x14ac:dyDescent="0.25">
      <c r="A3488" t="s">
        <v>5763</v>
      </c>
      <c r="B3488">
        <v>17.100000000000001</v>
      </c>
      <c r="C3488">
        <v>0.2</v>
      </c>
    </row>
    <row r="3489" spans="1:3" ht="15" customHeight="1" x14ac:dyDescent="0.25">
      <c r="A3489" t="s">
        <v>5764</v>
      </c>
      <c r="B3489">
        <v>17.100000000000001</v>
      </c>
      <c r="C3489">
        <v>0.2</v>
      </c>
    </row>
    <row r="3490" spans="1:3" ht="15" customHeight="1" x14ac:dyDescent="0.25">
      <c r="A3490" t="s">
        <v>5765</v>
      </c>
      <c r="B3490">
        <v>17.100000000000001</v>
      </c>
      <c r="C3490">
        <v>0.2</v>
      </c>
    </row>
    <row r="3491" spans="1:3" ht="15" customHeight="1" x14ac:dyDescent="0.25">
      <c r="A3491" t="s">
        <v>5766</v>
      </c>
      <c r="B3491">
        <v>17.100000000000001</v>
      </c>
      <c r="C3491">
        <v>0.2</v>
      </c>
    </row>
    <row r="3492" spans="1:3" ht="15" customHeight="1" x14ac:dyDescent="0.25">
      <c r="A3492" t="s">
        <v>5767</v>
      </c>
      <c r="B3492">
        <v>17.100000000000001</v>
      </c>
      <c r="C3492">
        <v>0.2</v>
      </c>
    </row>
    <row r="3493" spans="1:3" ht="15" customHeight="1" x14ac:dyDescent="0.25">
      <c r="A3493" t="s">
        <v>5768</v>
      </c>
      <c r="B3493">
        <v>17.100000000000001</v>
      </c>
      <c r="C3493">
        <v>0.2</v>
      </c>
    </row>
    <row r="3494" spans="1:3" ht="15" customHeight="1" x14ac:dyDescent="0.25">
      <c r="A3494" t="s">
        <v>5769</v>
      </c>
      <c r="B3494">
        <v>17.100000000000001</v>
      </c>
      <c r="C3494">
        <v>0.2</v>
      </c>
    </row>
    <row r="3495" spans="1:3" ht="15" customHeight="1" x14ac:dyDescent="0.25">
      <c r="A3495" t="s">
        <v>5770</v>
      </c>
      <c r="B3495">
        <v>17.100000000000001</v>
      </c>
      <c r="C3495">
        <v>0.03</v>
      </c>
    </row>
    <row r="3496" spans="1:3" ht="15" customHeight="1" x14ac:dyDescent="0.25">
      <c r="A3496" t="s">
        <v>5771</v>
      </c>
      <c r="B3496">
        <v>17.100000000000001</v>
      </c>
      <c r="C3496">
        <v>0.2</v>
      </c>
    </row>
    <row r="3497" spans="1:3" ht="15" customHeight="1" x14ac:dyDescent="0.25">
      <c r="A3497" t="s">
        <v>5772</v>
      </c>
      <c r="B3497">
        <v>17.100000000000001</v>
      </c>
      <c r="C3497">
        <v>0.2</v>
      </c>
    </row>
    <row r="3498" spans="1:3" ht="15" customHeight="1" x14ac:dyDescent="0.25">
      <c r="A3498" t="s">
        <v>5773</v>
      </c>
      <c r="B3498">
        <v>17.100000000000001</v>
      </c>
      <c r="C3498">
        <v>0.2</v>
      </c>
    </row>
    <row r="3499" spans="1:3" ht="15" customHeight="1" x14ac:dyDescent="0.25">
      <c r="A3499" t="s">
        <v>5774</v>
      </c>
      <c r="B3499">
        <v>16.899999999999999</v>
      </c>
      <c r="C3499">
        <v>0.03</v>
      </c>
    </row>
    <row r="3500" spans="1:3" ht="15" customHeight="1" x14ac:dyDescent="0.25">
      <c r="A3500" t="s">
        <v>5775</v>
      </c>
      <c r="B3500">
        <v>16.899999999999999</v>
      </c>
      <c r="C3500">
        <v>0.03</v>
      </c>
    </row>
    <row r="3501" spans="1:3" ht="15" customHeight="1" x14ac:dyDescent="0.25">
      <c r="A3501" t="s">
        <v>5776</v>
      </c>
      <c r="B3501">
        <v>16.899999999999999</v>
      </c>
      <c r="C3501">
        <v>0.03</v>
      </c>
    </row>
    <row r="3502" spans="1:3" ht="15" customHeight="1" x14ac:dyDescent="0.25">
      <c r="A3502" t="s">
        <v>5777</v>
      </c>
      <c r="B3502">
        <v>16.899999999999999</v>
      </c>
      <c r="C3502">
        <v>0.03</v>
      </c>
    </row>
    <row r="3503" spans="1:3" ht="15" customHeight="1" x14ac:dyDescent="0.25">
      <c r="A3503" t="s">
        <v>5778</v>
      </c>
      <c r="B3503">
        <v>16.899999999999999</v>
      </c>
      <c r="C3503">
        <v>0.03</v>
      </c>
    </row>
    <row r="3504" spans="1:3" ht="15" customHeight="1" x14ac:dyDescent="0.25">
      <c r="A3504" t="s">
        <v>5779</v>
      </c>
      <c r="B3504">
        <v>16.899999999999999</v>
      </c>
      <c r="C3504">
        <v>0.03</v>
      </c>
    </row>
    <row r="3505" spans="1:3" ht="15" customHeight="1" x14ac:dyDescent="0.25">
      <c r="A3505" t="s">
        <v>5780</v>
      </c>
      <c r="B3505">
        <v>17.100000000000001</v>
      </c>
      <c r="C3505">
        <v>0.2</v>
      </c>
    </row>
    <row r="3506" spans="1:3" ht="15" customHeight="1" x14ac:dyDescent="0.25">
      <c r="A3506" t="s">
        <v>5781</v>
      </c>
      <c r="B3506">
        <v>17.100000000000001</v>
      </c>
      <c r="C3506">
        <v>0.2</v>
      </c>
    </row>
    <row r="3507" spans="1:3" ht="15" customHeight="1" x14ac:dyDescent="0.25">
      <c r="A3507" t="s">
        <v>5782</v>
      </c>
      <c r="B3507">
        <v>17.100000000000001</v>
      </c>
      <c r="C3507">
        <v>0.2</v>
      </c>
    </row>
    <row r="3508" spans="1:3" ht="15" customHeight="1" x14ac:dyDescent="0.25">
      <c r="A3508" t="s">
        <v>5783</v>
      </c>
      <c r="B3508">
        <v>17.100000000000001</v>
      </c>
      <c r="C3508">
        <v>0.2</v>
      </c>
    </row>
    <row r="3509" spans="1:3" ht="15" customHeight="1" x14ac:dyDescent="0.25">
      <c r="A3509" t="s">
        <v>5784</v>
      </c>
      <c r="B3509">
        <v>17.100000000000001</v>
      </c>
      <c r="C3509">
        <v>0.2</v>
      </c>
    </row>
    <row r="3510" spans="1:3" ht="15" customHeight="1" x14ac:dyDescent="0.25">
      <c r="A3510" t="s">
        <v>5785</v>
      </c>
      <c r="B3510">
        <v>17.100000000000001</v>
      </c>
      <c r="C3510">
        <v>0.2</v>
      </c>
    </row>
    <row r="3511" spans="1:3" ht="15" customHeight="1" x14ac:dyDescent="0.25">
      <c r="A3511" t="s">
        <v>5786</v>
      </c>
      <c r="B3511">
        <v>17.100000000000001</v>
      </c>
      <c r="C3511">
        <v>0.2</v>
      </c>
    </row>
    <row r="3512" spans="1:3" ht="15" customHeight="1" x14ac:dyDescent="0.25">
      <c r="A3512" t="s">
        <v>5787</v>
      </c>
      <c r="B3512">
        <v>17.100000000000001</v>
      </c>
      <c r="C3512">
        <v>0.2</v>
      </c>
    </row>
    <row r="3513" spans="1:3" ht="15" customHeight="1" x14ac:dyDescent="0.25">
      <c r="A3513" t="s">
        <v>5788</v>
      </c>
      <c r="B3513">
        <v>17.100000000000001</v>
      </c>
      <c r="C3513">
        <v>0.2</v>
      </c>
    </row>
    <row r="3514" spans="1:3" ht="15" customHeight="1" x14ac:dyDescent="0.25">
      <c r="A3514" t="s">
        <v>5789</v>
      </c>
      <c r="B3514">
        <v>17.100000000000001</v>
      </c>
      <c r="C3514">
        <v>0.2</v>
      </c>
    </row>
    <row r="3515" spans="1:3" ht="15" customHeight="1" x14ac:dyDescent="0.25">
      <c r="A3515" t="s">
        <v>5790</v>
      </c>
      <c r="B3515">
        <v>17.100000000000001</v>
      </c>
      <c r="C3515">
        <v>0.2</v>
      </c>
    </row>
    <row r="3516" spans="1:3" ht="15" customHeight="1" x14ac:dyDescent="0.25">
      <c r="A3516" t="s">
        <v>5791</v>
      </c>
      <c r="B3516">
        <v>17.100000000000001</v>
      </c>
      <c r="C3516">
        <v>0.2</v>
      </c>
    </row>
    <row r="3517" spans="1:3" ht="15" customHeight="1" x14ac:dyDescent="0.25">
      <c r="A3517" t="s">
        <v>5792</v>
      </c>
      <c r="B3517">
        <v>17.100000000000001</v>
      </c>
      <c r="C3517">
        <v>0.2</v>
      </c>
    </row>
    <row r="3518" spans="1:3" ht="15" customHeight="1" x14ac:dyDescent="0.25">
      <c r="A3518" t="s">
        <v>5793</v>
      </c>
      <c r="B3518">
        <v>17.100000000000001</v>
      </c>
      <c r="C3518">
        <v>0.2</v>
      </c>
    </row>
    <row r="3519" spans="1:3" ht="15" customHeight="1" x14ac:dyDescent="0.25">
      <c r="A3519" t="s">
        <v>5794</v>
      </c>
      <c r="B3519">
        <v>17.100000000000001</v>
      </c>
      <c r="C3519">
        <v>0.2</v>
      </c>
    </row>
    <row r="3520" spans="1:3" ht="15" customHeight="1" x14ac:dyDescent="0.25">
      <c r="A3520" t="s">
        <v>5795</v>
      </c>
      <c r="B3520">
        <v>17.100000000000001</v>
      </c>
      <c r="C3520">
        <v>0.03</v>
      </c>
    </row>
    <row r="3521" spans="1:3" ht="15" customHeight="1" x14ac:dyDescent="0.25">
      <c r="A3521" t="s">
        <v>5796</v>
      </c>
      <c r="B3521">
        <v>17.100000000000001</v>
      </c>
    </row>
    <row r="3522" spans="1:3" ht="15" customHeight="1" x14ac:dyDescent="0.25">
      <c r="A3522" t="s">
        <v>5797</v>
      </c>
      <c r="B3522">
        <v>17.100000000000001</v>
      </c>
      <c r="C3522">
        <v>0.2</v>
      </c>
    </row>
    <row r="3523" spans="1:3" ht="15" customHeight="1" x14ac:dyDescent="0.25">
      <c r="A3523" t="s">
        <v>5798</v>
      </c>
      <c r="B3523">
        <v>17.100000000000001</v>
      </c>
      <c r="C3523">
        <v>0.2</v>
      </c>
    </row>
    <row r="3524" spans="1:3" ht="15" customHeight="1" x14ac:dyDescent="0.25">
      <c r="A3524" t="s">
        <v>5799</v>
      </c>
      <c r="B3524">
        <v>17.100000000000001</v>
      </c>
    </row>
    <row r="3525" spans="1:3" ht="15" customHeight="1" x14ac:dyDescent="0.25">
      <c r="A3525" t="s">
        <v>5800</v>
      </c>
      <c r="B3525">
        <v>17.100000000000001</v>
      </c>
    </row>
    <row r="3526" spans="1:3" ht="15" customHeight="1" x14ac:dyDescent="0.25">
      <c r="A3526" t="s">
        <v>5801</v>
      </c>
      <c r="B3526">
        <v>17.100000000000001</v>
      </c>
      <c r="C3526">
        <v>0.2</v>
      </c>
    </row>
    <row r="3527" spans="1:3" ht="15" customHeight="1" x14ac:dyDescent="0.25">
      <c r="A3527" t="s">
        <v>5802</v>
      </c>
      <c r="B3527">
        <v>17.100000000000001</v>
      </c>
      <c r="C3527">
        <v>0.2</v>
      </c>
    </row>
    <row r="3528" spans="1:3" ht="15" customHeight="1" x14ac:dyDescent="0.25">
      <c r="A3528" t="s">
        <v>5803</v>
      </c>
      <c r="B3528">
        <v>17.100000000000001</v>
      </c>
      <c r="C3528">
        <v>0.2</v>
      </c>
    </row>
    <row r="3529" spans="1:3" ht="15" customHeight="1" x14ac:dyDescent="0.25">
      <c r="A3529" t="s">
        <v>5804</v>
      </c>
      <c r="B3529">
        <v>17.100000000000001</v>
      </c>
      <c r="C3529">
        <v>0.2</v>
      </c>
    </row>
    <row r="3530" spans="1:3" ht="15" customHeight="1" x14ac:dyDescent="0.25">
      <c r="A3530" t="s">
        <v>5805</v>
      </c>
      <c r="B3530">
        <v>17.100000000000001</v>
      </c>
      <c r="C3530">
        <v>0.2</v>
      </c>
    </row>
    <row r="3531" spans="1:3" ht="15" customHeight="1" x14ac:dyDescent="0.25">
      <c r="A3531" t="s">
        <v>5806</v>
      </c>
      <c r="B3531">
        <v>17.100000000000001</v>
      </c>
      <c r="C3531">
        <v>0.2</v>
      </c>
    </row>
    <row r="3532" spans="1:3" ht="15" customHeight="1" x14ac:dyDescent="0.25">
      <c r="A3532" t="s">
        <v>5807</v>
      </c>
      <c r="B3532">
        <v>17.100000000000001</v>
      </c>
      <c r="C3532">
        <v>0.2</v>
      </c>
    </row>
    <row r="3533" spans="1:3" ht="15" customHeight="1" x14ac:dyDescent="0.25">
      <c r="A3533" t="s">
        <v>5808</v>
      </c>
      <c r="B3533">
        <v>17.100000000000001</v>
      </c>
      <c r="C3533">
        <v>0.2</v>
      </c>
    </row>
    <row r="3534" spans="1:3" ht="15" customHeight="1" x14ac:dyDescent="0.25">
      <c r="A3534" t="s">
        <v>5809</v>
      </c>
      <c r="B3534">
        <v>17.100000000000001</v>
      </c>
      <c r="C3534">
        <v>0.2</v>
      </c>
    </row>
    <row r="3535" spans="1:3" ht="15" customHeight="1" x14ac:dyDescent="0.25">
      <c r="A3535" t="s">
        <v>5810</v>
      </c>
      <c r="B3535">
        <v>17.100000000000001</v>
      </c>
      <c r="C3535">
        <v>0.2</v>
      </c>
    </row>
    <row r="3536" spans="1:3" ht="15" customHeight="1" x14ac:dyDescent="0.25">
      <c r="A3536" t="s">
        <v>5811</v>
      </c>
      <c r="B3536">
        <v>17.100000000000001</v>
      </c>
      <c r="C3536">
        <v>0.03</v>
      </c>
    </row>
    <row r="3537" spans="1:3" ht="15" customHeight="1" x14ac:dyDescent="0.25">
      <c r="A3537" t="s">
        <v>5812</v>
      </c>
      <c r="B3537">
        <v>17.100000000000001</v>
      </c>
      <c r="C3537">
        <v>0.2</v>
      </c>
    </row>
    <row r="3538" spans="1:3" ht="15" customHeight="1" x14ac:dyDescent="0.25">
      <c r="A3538" t="s">
        <v>5813</v>
      </c>
      <c r="B3538">
        <v>17.100000000000001</v>
      </c>
      <c r="C3538">
        <v>0.2</v>
      </c>
    </row>
    <row r="3539" spans="1:3" ht="15" customHeight="1" x14ac:dyDescent="0.25">
      <c r="A3539" t="s">
        <v>5814</v>
      </c>
      <c r="B3539">
        <v>17.100000000000001</v>
      </c>
      <c r="C3539">
        <v>0.2</v>
      </c>
    </row>
    <row r="3540" spans="1:3" ht="15" customHeight="1" x14ac:dyDescent="0.25">
      <c r="A3540" t="s">
        <v>5815</v>
      </c>
      <c r="B3540">
        <v>17.100000000000001</v>
      </c>
      <c r="C3540">
        <v>0.2</v>
      </c>
    </row>
    <row r="3541" spans="1:3" ht="15" customHeight="1" x14ac:dyDescent="0.25">
      <c r="A3541" t="s">
        <v>5816</v>
      </c>
      <c r="B3541">
        <v>17.100000000000001</v>
      </c>
      <c r="C3541">
        <v>0.2</v>
      </c>
    </row>
    <row r="3542" spans="1:3" ht="15" customHeight="1" x14ac:dyDescent="0.25">
      <c r="A3542" t="s">
        <v>5817</v>
      </c>
      <c r="B3542">
        <v>17.100000000000001</v>
      </c>
      <c r="C3542">
        <v>0.2</v>
      </c>
    </row>
    <row r="3543" spans="1:3" ht="15" customHeight="1" x14ac:dyDescent="0.25">
      <c r="A3543" t="s">
        <v>5818</v>
      </c>
      <c r="B3543">
        <v>17.100000000000001</v>
      </c>
      <c r="C3543">
        <v>0.03</v>
      </c>
    </row>
    <row r="3544" spans="1:3" ht="15" customHeight="1" x14ac:dyDescent="0.25">
      <c r="A3544" t="s">
        <v>5819</v>
      </c>
      <c r="B3544">
        <v>17.100000000000001</v>
      </c>
      <c r="C3544">
        <v>0.2</v>
      </c>
    </row>
    <row r="3545" spans="1:3" ht="15" customHeight="1" x14ac:dyDescent="0.25">
      <c r="A3545" t="s">
        <v>5820</v>
      </c>
      <c r="B3545">
        <v>17.100000000000001</v>
      </c>
      <c r="C3545">
        <v>0.2</v>
      </c>
    </row>
    <row r="3546" spans="1:3" ht="15" customHeight="1" x14ac:dyDescent="0.25">
      <c r="A3546" t="s">
        <v>5821</v>
      </c>
      <c r="B3546">
        <v>17.100000000000001</v>
      </c>
      <c r="C3546">
        <v>0.2</v>
      </c>
    </row>
    <row r="3547" spans="1:3" ht="15" customHeight="1" x14ac:dyDescent="0.25">
      <c r="A3547" t="s">
        <v>5822</v>
      </c>
      <c r="B3547">
        <v>17.100000000000001</v>
      </c>
      <c r="C3547">
        <v>0.2</v>
      </c>
    </row>
    <row r="3548" spans="1:3" ht="15" customHeight="1" x14ac:dyDescent="0.25">
      <c r="A3548" t="s">
        <v>5823</v>
      </c>
      <c r="B3548">
        <v>17.100000000000001</v>
      </c>
      <c r="C3548">
        <v>0.2</v>
      </c>
    </row>
    <row r="3549" spans="1:3" ht="15" customHeight="1" x14ac:dyDescent="0.25">
      <c r="A3549" t="s">
        <v>5824</v>
      </c>
      <c r="B3549">
        <v>17.100000000000001</v>
      </c>
      <c r="C3549">
        <v>0.2</v>
      </c>
    </row>
    <row r="3550" spans="1:3" ht="15" customHeight="1" x14ac:dyDescent="0.25">
      <c r="A3550" t="s">
        <v>1378</v>
      </c>
      <c r="B3550">
        <v>16.899999999999999</v>
      </c>
      <c r="C3550">
        <v>0.03</v>
      </c>
    </row>
    <row r="3551" spans="1:3" ht="15" customHeight="1" x14ac:dyDescent="0.25">
      <c r="A3551" t="s">
        <v>5825</v>
      </c>
      <c r="B3551">
        <v>16.899999999999999</v>
      </c>
      <c r="C3551">
        <v>0.03</v>
      </c>
    </row>
    <row r="3552" spans="1:3" ht="15" customHeight="1" x14ac:dyDescent="0.25">
      <c r="A3552" t="s">
        <v>5826</v>
      </c>
      <c r="B3552">
        <v>16.899999999999999</v>
      </c>
      <c r="C3552">
        <v>0.03</v>
      </c>
    </row>
    <row r="3553" spans="1:3" ht="15" customHeight="1" x14ac:dyDescent="0.25">
      <c r="A3553" t="s">
        <v>5827</v>
      </c>
      <c r="B3553">
        <v>16.899999999999999</v>
      </c>
      <c r="C3553">
        <v>0.03</v>
      </c>
    </row>
    <row r="3554" spans="1:3" ht="15" customHeight="1" x14ac:dyDescent="0.25">
      <c r="A3554" t="s">
        <v>5828</v>
      </c>
      <c r="B3554">
        <v>16.899999999999999</v>
      </c>
      <c r="C3554">
        <v>0.03</v>
      </c>
    </row>
    <row r="3555" spans="1:3" ht="15" customHeight="1" x14ac:dyDescent="0.25">
      <c r="A3555" t="s">
        <v>5829</v>
      </c>
      <c r="B3555">
        <v>16.899999999999999</v>
      </c>
      <c r="C3555">
        <v>0.1</v>
      </c>
    </row>
    <row r="3556" spans="1:3" ht="15" customHeight="1" x14ac:dyDescent="0.25">
      <c r="A3556" t="s">
        <v>5830</v>
      </c>
      <c r="B3556">
        <v>16.899999999999999</v>
      </c>
      <c r="C3556">
        <v>0.1</v>
      </c>
    </row>
    <row r="3557" spans="1:3" ht="15" customHeight="1" x14ac:dyDescent="0.25">
      <c r="A3557" t="s">
        <v>5831</v>
      </c>
      <c r="B3557">
        <v>16.899999999999999</v>
      </c>
      <c r="C3557">
        <v>0.1</v>
      </c>
    </row>
    <row r="3558" spans="1:3" ht="15" customHeight="1" x14ac:dyDescent="0.25">
      <c r="A3558" t="s">
        <v>5832</v>
      </c>
      <c r="B3558">
        <v>16.899999999999999</v>
      </c>
      <c r="C3558">
        <v>0.1</v>
      </c>
    </row>
    <row r="3559" spans="1:3" ht="15" customHeight="1" x14ac:dyDescent="0.25">
      <c r="A3559" t="s">
        <v>5833</v>
      </c>
      <c r="B3559">
        <v>16.899999999999999</v>
      </c>
      <c r="C3559">
        <v>0.1</v>
      </c>
    </row>
    <row r="3560" spans="1:3" ht="15" customHeight="1" x14ac:dyDescent="0.25">
      <c r="A3560" t="s">
        <v>5834</v>
      </c>
      <c r="B3560">
        <v>16.899999999999999</v>
      </c>
      <c r="C3560">
        <v>0.03</v>
      </c>
    </row>
    <row r="3561" spans="1:3" ht="15" customHeight="1" x14ac:dyDescent="0.25">
      <c r="A3561" t="s">
        <v>5835</v>
      </c>
      <c r="B3561">
        <v>16.899999999999999</v>
      </c>
      <c r="C3561">
        <v>0.03</v>
      </c>
    </row>
    <row r="3562" spans="1:3" ht="15" customHeight="1" x14ac:dyDescent="0.25">
      <c r="A3562" t="s">
        <v>5836</v>
      </c>
      <c r="B3562">
        <v>16.899999999999999</v>
      </c>
      <c r="C3562">
        <v>0.03</v>
      </c>
    </row>
    <row r="3563" spans="1:3" ht="15" customHeight="1" x14ac:dyDescent="0.25">
      <c r="A3563" t="s">
        <v>5837</v>
      </c>
      <c r="B3563">
        <v>16.899999999999999</v>
      </c>
      <c r="C3563">
        <v>0.03</v>
      </c>
    </row>
    <row r="3564" spans="1:3" ht="15" customHeight="1" x14ac:dyDescent="0.25">
      <c r="A3564" t="s">
        <v>5838</v>
      </c>
      <c r="B3564">
        <v>16.899999999999999</v>
      </c>
      <c r="C3564">
        <v>0.1</v>
      </c>
    </row>
    <row r="3565" spans="1:3" ht="15" customHeight="1" x14ac:dyDescent="0.25">
      <c r="A3565" t="s">
        <v>5839</v>
      </c>
      <c r="B3565">
        <v>16.899999999999999</v>
      </c>
      <c r="C3565">
        <v>0.03</v>
      </c>
    </row>
    <row r="3566" spans="1:3" ht="15" customHeight="1" x14ac:dyDescent="0.25">
      <c r="A3566" t="s">
        <v>5840</v>
      </c>
      <c r="B3566">
        <v>16.899999999999999</v>
      </c>
      <c r="C3566">
        <v>0.03</v>
      </c>
    </row>
    <row r="3567" spans="1:3" ht="15" customHeight="1" x14ac:dyDescent="0.25">
      <c r="A3567" t="s">
        <v>5841</v>
      </c>
      <c r="B3567">
        <v>16.899999999999999</v>
      </c>
      <c r="C3567">
        <v>0.03</v>
      </c>
    </row>
    <row r="3568" spans="1:3" ht="15" customHeight="1" x14ac:dyDescent="0.25">
      <c r="A3568" t="s">
        <v>2066</v>
      </c>
      <c r="B3568">
        <v>16.899999999999999</v>
      </c>
      <c r="C3568">
        <v>0.03</v>
      </c>
    </row>
    <row r="3569" spans="1:3" ht="15" customHeight="1" x14ac:dyDescent="0.25">
      <c r="A3569" t="s">
        <v>5842</v>
      </c>
      <c r="B3569">
        <v>16.899999999999999</v>
      </c>
      <c r="C3569">
        <v>0.1</v>
      </c>
    </row>
    <row r="3570" spans="1:3" ht="15" customHeight="1" x14ac:dyDescent="0.25">
      <c r="A3570" t="s">
        <v>5843</v>
      </c>
      <c r="B3570">
        <v>23.4</v>
      </c>
    </row>
    <row r="3571" spans="1:3" ht="15" customHeight="1" x14ac:dyDescent="0.25">
      <c r="A3571" t="s">
        <v>5844</v>
      </c>
      <c r="B3571">
        <v>23.4</v>
      </c>
    </row>
    <row r="3572" spans="1:3" ht="15" customHeight="1" x14ac:dyDescent="0.25">
      <c r="A3572" t="s">
        <v>5845</v>
      </c>
      <c r="B3572">
        <v>23.4</v>
      </c>
    </row>
    <row r="3573" spans="1:3" ht="15" customHeight="1" x14ac:dyDescent="0.25">
      <c r="A3573" t="s">
        <v>5846</v>
      </c>
      <c r="B3573">
        <v>23.4</v>
      </c>
    </row>
    <row r="3574" spans="1:3" ht="15" customHeight="1" x14ac:dyDescent="0.25">
      <c r="A3574" t="s">
        <v>5847</v>
      </c>
      <c r="B3574">
        <v>23.4</v>
      </c>
    </row>
    <row r="3575" spans="1:3" ht="15" customHeight="1" x14ac:dyDescent="0.25">
      <c r="A3575" t="s">
        <v>5848</v>
      </c>
      <c r="B3575">
        <v>23.4</v>
      </c>
    </row>
    <row r="3576" spans="1:3" ht="15" customHeight="1" x14ac:dyDescent="0.25">
      <c r="A3576" t="s">
        <v>5849</v>
      </c>
      <c r="B3576">
        <v>23.4</v>
      </c>
    </row>
    <row r="3577" spans="1:3" ht="15" customHeight="1" x14ac:dyDescent="0.25">
      <c r="A3577" t="s">
        <v>5850</v>
      </c>
      <c r="B3577">
        <v>23.4</v>
      </c>
    </row>
    <row r="3578" spans="1:3" ht="15" customHeight="1" x14ac:dyDescent="0.25">
      <c r="A3578" t="s">
        <v>5851</v>
      </c>
      <c r="B3578">
        <v>23.4</v>
      </c>
    </row>
    <row r="3579" spans="1:3" ht="15" customHeight="1" x14ac:dyDescent="0.25">
      <c r="A3579" t="s">
        <v>5852</v>
      </c>
      <c r="B3579">
        <v>23.4</v>
      </c>
    </row>
    <row r="3580" spans="1:3" ht="15" customHeight="1" x14ac:dyDescent="0.25">
      <c r="A3580" t="s">
        <v>5853</v>
      </c>
      <c r="B3580">
        <v>23.4</v>
      </c>
    </row>
    <row r="3581" spans="1:3" ht="15" customHeight="1" x14ac:dyDescent="0.25">
      <c r="A3581" t="s">
        <v>5854</v>
      </c>
      <c r="B3581">
        <v>23.4</v>
      </c>
    </row>
    <row r="3582" spans="1:3" ht="15" customHeight="1" x14ac:dyDescent="0.25">
      <c r="A3582" t="s">
        <v>5855</v>
      </c>
      <c r="B3582">
        <v>23.4</v>
      </c>
    </row>
    <row r="3583" spans="1:3" ht="15" customHeight="1" x14ac:dyDescent="0.25">
      <c r="A3583" t="s">
        <v>5856</v>
      </c>
      <c r="B3583">
        <v>23.4</v>
      </c>
    </row>
    <row r="3584" spans="1:3" ht="15" customHeight="1" x14ac:dyDescent="0.25">
      <c r="A3584" t="s">
        <v>5857</v>
      </c>
      <c r="B3584">
        <v>23.4</v>
      </c>
    </row>
    <row r="3585" spans="1:2" ht="15" customHeight="1" x14ac:dyDescent="0.25">
      <c r="A3585" t="s">
        <v>5858</v>
      </c>
      <c r="B3585">
        <v>23.4</v>
      </c>
    </row>
    <row r="3586" spans="1:2" ht="15" customHeight="1" x14ac:dyDescent="0.25">
      <c r="A3586" t="s">
        <v>5859</v>
      </c>
      <c r="B3586">
        <v>23.4</v>
      </c>
    </row>
    <row r="3587" spans="1:2" ht="15" customHeight="1" x14ac:dyDescent="0.25">
      <c r="A3587" t="s">
        <v>5860</v>
      </c>
      <c r="B3587">
        <v>23.4</v>
      </c>
    </row>
    <row r="3588" spans="1:2" ht="15" customHeight="1" x14ac:dyDescent="0.25">
      <c r="A3588" t="s">
        <v>5861</v>
      </c>
      <c r="B3588">
        <v>23.4</v>
      </c>
    </row>
    <row r="3589" spans="1:2" ht="15" customHeight="1" x14ac:dyDescent="0.25">
      <c r="A3589" t="s">
        <v>5862</v>
      </c>
      <c r="B3589">
        <v>23.4</v>
      </c>
    </row>
    <row r="3590" spans="1:2" ht="15" customHeight="1" x14ac:dyDescent="0.25">
      <c r="A3590" t="s">
        <v>5863</v>
      </c>
      <c r="B3590">
        <v>23.4</v>
      </c>
    </row>
    <row r="3591" spans="1:2" ht="15" customHeight="1" x14ac:dyDescent="0.25">
      <c r="A3591" t="s">
        <v>5864</v>
      </c>
      <c r="B3591">
        <v>23.4</v>
      </c>
    </row>
    <row r="3592" spans="1:2" ht="15" customHeight="1" x14ac:dyDescent="0.25">
      <c r="A3592" t="s">
        <v>5865</v>
      </c>
      <c r="B3592">
        <v>23.4</v>
      </c>
    </row>
    <row r="3593" spans="1:2" ht="15" customHeight="1" x14ac:dyDescent="0.25">
      <c r="A3593" t="s">
        <v>5866</v>
      </c>
      <c r="B3593">
        <v>23.4</v>
      </c>
    </row>
    <row r="3594" spans="1:2" ht="15" customHeight="1" x14ac:dyDescent="0.25">
      <c r="A3594" t="s">
        <v>5867</v>
      </c>
      <c r="B3594">
        <v>23.4</v>
      </c>
    </row>
    <row r="3595" spans="1:2" ht="15" customHeight="1" x14ac:dyDescent="0.25">
      <c r="A3595" t="s">
        <v>5868</v>
      </c>
      <c r="B3595">
        <v>23.4</v>
      </c>
    </row>
    <row r="3596" spans="1:2" ht="15" customHeight="1" x14ac:dyDescent="0.25">
      <c r="A3596" t="s">
        <v>5869</v>
      </c>
      <c r="B3596">
        <v>23.4</v>
      </c>
    </row>
    <row r="3597" spans="1:2" ht="15" customHeight="1" x14ac:dyDescent="0.25">
      <c r="A3597" t="s">
        <v>5870</v>
      </c>
      <c r="B3597">
        <v>23.4</v>
      </c>
    </row>
    <row r="3598" spans="1:2" ht="15" customHeight="1" x14ac:dyDescent="0.25">
      <c r="A3598" t="s">
        <v>5871</v>
      </c>
      <c r="B3598">
        <v>23.4</v>
      </c>
    </row>
    <row r="3599" spans="1:2" ht="15" customHeight="1" x14ac:dyDescent="0.25">
      <c r="A3599" t="s">
        <v>5872</v>
      </c>
      <c r="B3599">
        <v>23.4</v>
      </c>
    </row>
    <row r="3600" spans="1:2" ht="15" customHeight="1" x14ac:dyDescent="0.25">
      <c r="A3600" t="s">
        <v>5873</v>
      </c>
      <c r="B3600">
        <v>23.4</v>
      </c>
    </row>
    <row r="3601" spans="1:2" ht="15" customHeight="1" x14ac:dyDescent="0.25">
      <c r="A3601" t="s">
        <v>5874</v>
      </c>
      <c r="B3601">
        <v>23.4</v>
      </c>
    </row>
    <row r="3602" spans="1:2" ht="15" customHeight="1" x14ac:dyDescent="0.25">
      <c r="A3602" t="s">
        <v>5875</v>
      </c>
      <c r="B3602">
        <v>23.4</v>
      </c>
    </row>
    <row r="3603" spans="1:2" ht="15" customHeight="1" x14ac:dyDescent="0.25">
      <c r="A3603" t="s">
        <v>5876</v>
      </c>
      <c r="B3603">
        <v>23.4</v>
      </c>
    </row>
    <row r="3604" spans="1:2" ht="15" customHeight="1" x14ac:dyDescent="0.25">
      <c r="A3604" t="s">
        <v>5877</v>
      </c>
      <c r="B3604">
        <v>23.4</v>
      </c>
    </row>
    <row r="3605" spans="1:2" ht="15" customHeight="1" x14ac:dyDescent="0.25">
      <c r="A3605" t="s">
        <v>5878</v>
      </c>
      <c r="B3605">
        <v>23.4</v>
      </c>
    </row>
    <row r="3606" spans="1:2" ht="15" customHeight="1" x14ac:dyDescent="0.25">
      <c r="A3606" t="s">
        <v>5879</v>
      </c>
      <c r="B3606">
        <v>23.4</v>
      </c>
    </row>
    <row r="3607" spans="1:2" ht="15" customHeight="1" x14ac:dyDescent="0.25">
      <c r="A3607" t="s">
        <v>5880</v>
      </c>
      <c r="B3607">
        <v>23.4</v>
      </c>
    </row>
    <row r="3608" spans="1:2" ht="15" customHeight="1" x14ac:dyDescent="0.25">
      <c r="A3608" t="s">
        <v>5881</v>
      </c>
      <c r="B3608">
        <v>23.4</v>
      </c>
    </row>
    <row r="3609" spans="1:2" ht="15" customHeight="1" x14ac:dyDescent="0.25">
      <c r="A3609" t="s">
        <v>5882</v>
      </c>
      <c r="B3609">
        <v>23.4</v>
      </c>
    </row>
    <row r="3610" spans="1:2" ht="15" customHeight="1" x14ac:dyDescent="0.25">
      <c r="A3610" t="s">
        <v>5883</v>
      </c>
      <c r="B3610">
        <v>23.4</v>
      </c>
    </row>
    <row r="3611" spans="1:2" ht="15" customHeight="1" x14ac:dyDescent="0.25">
      <c r="A3611" t="s">
        <v>5884</v>
      </c>
      <c r="B3611">
        <v>23.4</v>
      </c>
    </row>
    <row r="3612" spans="1:2" ht="15" customHeight="1" x14ac:dyDescent="0.25">
      <c r="A3612" t="s">
        <v>5885</v>
      </c>
      <c r="B3612">
        <v>23.4</v>
      </c>
    </row>
    <row r="3613" spans="1:2" ht="15" customHeight="1" x14ac:dyDescent="0.25">
      <c r="A3613" t="s">
        <v>5886</v>
      </c>
      <c r="B3613">
        <v>23.4</v>
      </c>
    </row>
    <row r="3614" spans="1:2" ht="15" customHeight="1" x14ac:dyDescent="0.25">
      <c r="A3614" t="s">
        <v>5887</v>
      </c>
      <c r="B3614">
        <v>23.4</v>
      </c>
    </row>
    <row r="3615" spans="1:2" ht="15" customHeight="1" x14ac:dyDescent="0.25">
      <c r="A3615" t="s">
        <v>5888</v>
      </c>
      <c r="B3615">
        <v>23.4</v>
      </c>
    </row>
    <row r="3616" spans="1:2" ht="15" customHeight="1" x14ac:dyDescent="0.25">
      <c r="A3616" t="s">
        <v>5889</v>
      </c>
      <c r="B3616">
        <v>23.4</v>
      </c>
    </row>
    <row r="3617" spans="1:3" ht="15" customHeight="1" x14ac:dyDescent="0.25">
      <c r="A3617" t="s">
        <v>5890</v>
      </c>
      <c r="B3617">
        <v>23.4</v>
      </c>
    </row>
    <row r="3618" spans="1:3" ht="15" customHeight="1" x14ac:dyDescent="0.25">
      <c r="A3618" t="s">
        <v>5891</v>
      </c>
      <c r="B3618">
        <v>23.4</v>
      </c>
    </row>
    <row r="3619" spans="1:3" ht="15" customHeight="1" x14ac:dyDescent="0.25">
      <c r="A3619" t="s">
        <v>5892</v>
      </c>
      <c r="B3619">
        <v>23.4</v>
      </c>
    </row>
    <row r="3620" spans="1:3" ht="15" customHeight="1" x14ac:dyDescent="0.25">
      <c r="A3620" t="s">
        <v>5893</v>
      </c>
      <c r="B3620">
        <v>23.4</v>
      </c>
    </row>
    <row r="3621" spans="1:3" ht="15" customHeight="1" x14ac:dyDescent="0.25">
      <c r="A3621" t="s">
        <v>5894</v>
      </c>
      <c r="B3621">
        <v>23.4</v>
      </c>
    </row>
    <row r="3622" spans="1:3" ht="15" customHeight="1" x14ac:dyDescent="0.25">
      <c r="A3622" t="s">
        <v>5895</v>
      </c>
      <c r="B3622">
        <v>23.4</v>
      </c>
    </row>
    <row r="3623" spans="1:3" ht="15" customHeight="1" x14ac:dyDescent="0.25">
      <c r="A3623" t="s">
        <v>5896</v>
      </c>
      <c r="B3623">
        <v>23.4</v>
      </c>
    </row>
    <row r="3624" spans="1:3" ht="15" customHeight="1" x14ac:dyDescent="0.25">
      <c r="A3624" t="s">
        <v>5897</v>
      </c>
      <c r="B3624">
        <v>23.4</v>
      </c>
    </row>
    <row r="3625" spans="1:3" ht="15" customHeight="1" x14ac:dyDescent="0.25">
      <c r="A3625" t="s">
        <v>5898</v>
      </c>
      <c r="B3625">
        <v>23.4</v>
      </c>
    </row>
    <row r="3626" spans="1:3" ht="15" customHeight="1" x14ac:dyDescent="0.25">
      <c r="A3626" t="s">
        <v>5899</v>
      </c>
      <c r="B3626">
        <v>23.4</v>
      </c>
    </row>
    <row r="3627" spans="1:3" ht="15" customHeight="1" x14ac:dyDescent="0.25">
      <c r="A3627" t="s">
        <v>5900</v>
      </c>
      <c r="B3627">
        <v>23.4</v>
      </c>
    </row>
    <row r="3628" spans="1:3" ht="15" customHeight="1" x14ac:dyDescent="0.25">
      <c r="A3628" t="s">
        <v>5901</v>
      </c>
      <c r="B3628">
        <v>23.4</v>
      </c>
    </row>
    <row r="3629" spans="1:3" ht="15" customHeight="1" x14ac:dyDescent="0.25">
      <c r="A3629" t="s">
        <v>5902</v>
      </c>
      <c r="B3629">
        <v>42.5</v>
      </c>
      <c r="C3629">
        <v>0.2</v>
      </c>
    </row>
    <row r="3630" spans="1:3" ht="15" customHeight="1" x14ac:dyDescent="0.25">
      <c r="A3630" t="s">
        <v>5903</v>
      </c>
      <c r="B3630">
        <v>42.5</v>
      </c>
      <c r="C3630">
        <v>0.2</v>
      </c>
    </row>
    <row r="3631" spans="1:3" ht="15" customHeight="1" x14ac:dyDescent="0.25">
      <c r="A3631" t="s">
        <v>5904</v>
      </c>
      <c r="B3631">
        <v>42.5</v>
      </c>
      <c r="C3631">
        <v>0.2</v>
      </c>
    </row>
    <row r="3632" spans="1:3" ht="15" customHeight="1" x14ac:dyDescent="0.25">
      <c r="A3632" t="s">
        <v>5905</v>
      </c>
      <c r="B3632">
        <v>42.5</v>
      </c>
      <c r="C3632">
        <v>0.2</v>
      </c>
    </row>
    <row r="3633" spans="1:3" ht="15" customHeight="1" x14ac:dyDescent="0.25">
      <c r="A3633" t="s">
        <v>5906</v>
      </c>
      <c r="B3633">
        <v>42.5</v>
      </c>
      <c r="C3633">
        <v>0.2</v>
      </c>
    </row>
    <row r="3634" spans="1:3" ht="15" customHeight="1" x14ac:dyDescent="0.25">
      <c r="A3634" t="s">
        <v>5907</v>
      </c>
      <c r="B3634">
        <v>42.5</v>
      </c>
      <c r="C3634">
        <v>0.2</v>
      </c>
    </row>
    <row r="3635" spans="1:3" ht="15" customHeight="1" x14ac:dyDescent="0.25">
      <c r="A3635" t="s">
        <v>5908</v>
      </c>
      <c r="B3635">
        <v>42.5</v>
      </c>
      <c r="C3635">
        <v>0.2</v>
      </c>
    </row>
    <row r="3636" spans="1:3" ht="15" customHeight="1" x14ac:dyDescent="0.25">
      <c r="A3636" t="s">
        <v>5909</v>
      </c>
      <c r="B3636">
        <v>42.5</v>
      </c>
      <c r="C3636">
        <v>0.2</v>
      </c>
    </row>
    <row r="3637" spans="1:3" ht="15" customHeight="1" x14ac:dyDescent="0.25">
      <c r="A3637" t="s">
        <v>5910</v>
      </c>
      <c r="B3637">
        <v>17.100000000000001</v>
      </c>
    </row>
    <row r="3638" spans="1:3" ht="15" customHeight="1" x14ac:dyDescent="0.25">
      <c r="A3638" t="s">
        <v>5911</v>
      </c>
      <c r="B3638">
        <v>9.6</v>
      </c>
      <c r="C3638">
        <v>0.3</v>
      </c>
    </row>
    <row r="3639" spans="1:3" ht="15" customHeight="1" x14ac:dyDescent="0.25">
      <c r="A3639" t="s">
        <v>5912</v>
      </c>
      <c r="B3639">
        <v>9.6</v>
      </c>
      <c r="C3639">
        <v>0.3</v>
      </c>
    </row>
    <row r="3640" spans="1:3" ht="15" customHeight="1" x14ac:dyDescent="0.25">
      <c r="A3640" t="s">
        <v>1444</v>
      </c>
      <c r="B3640">
        <v>10.8</v>
      </c>
      <c r="C3640">
        <v>0.06</v>
      </c>
    </row>
    <row r="3641" spans="1:3" ht="15" customHeight="1" x14ac:dyDescent="0.25">
      <c r="A3641" t="s">
        <v>5913</v>
      </c>
      <c r="B3641">
        <v>10.8</v>
      </c>
      <c r="C3641">
        <v>0.06</v>
      </c>
    </row>
    <row r="3642" spans="1:3" ht="15" customHeight="1" x14ac:dyDescent="0.25">
      <c r="A3642" t="s">
        <v>824</v>
      </c>
      <c r="B3642">
        <v>10.8</v>
      </c>
      <c r="C3642">
        <v>0.06</v>
      </c>
    </row>
    <row r="3643" spans="1:3" ht="15" customHeight="1" x14ac:dyDescent="0.25">
      <c r="A3643" t="s">
        <v>5914</v>
      </c>
      <c r="B3643">
        <v>10.8</v>
      </c>
      <c r="C3643">
        <v>0.06</v>
      </c>
    </row>
    <row r="3644" spans="1:3" ht="15" customHeight="1" x14ac:dyDescent="0.25">
      <c r="A3644" t="s">
        <v>5915</v>
      </c>
      <c r="B3644">
        <v>10.7</v>
      </c>
      <c r="C3644">
        <v>0.3</v>
      </c>
    </row>
    <row r="3645" spans="1:3" ht="15" customHeight="1" x14ac:dyDescent="0.25">
      <c r="A3645" t="s">
        <v>5916</v>
      </c>
      <c r="B3645">
        <v>10.7</v>
      </c>
      <c r="C3645">
        <v>0.06</v>
      </c>
    </row>
    <row r="3646" spans="1:3" ht="15" customHeight="1" x14ac:dyDescent="0.25">
      <c r="A3646" t="s">
        <v>5917</v>
      </c>
      <c r="B3646">
        <v>10.8</v>
      </c>
      <c r="C3646">
        <v>0.1</v>
      </c>
    </row>
    <row r="3647" spans="1:3" ht="15" customHeight="1" x14ac:dyDescent="0.25">
      <c r="A3647" t="s">
        <v>5918</v>
      </c>
      <c r="B3647">
        <v>10.8</v>
      </c>
      <c r="C3647">
        <v>0.2</v>
      </c>
    </row>
    <row r="3648" spans="1:3" ht="15" customHeight="1" x14ac:dyDescent="0.25">
      <c r="A3648" t="s">
        <v>5919</v>
      </c>
      <c r="B3648">
        <v>10.8</v>
      </c>
      <c r="C3648">
        <v>0.2</v>
      </c>
    </row>
    <row r="3649" spans="1:3" ht="15" customHeight="1" x14ac:dyDescent="0.25">
      <c r="A3649" t="s">
        <v>5920</v>
      </c>
      <c r="B3649">
        <v>10.8</v>
      </c>
      <c r="C3649">
        <v>0.2</v>
      </c>
    </row>
    <row r="3650" spans="1:3" ht="15" customHeight="1" x14ac:dyDescent="0.25">
      <c r="A3650" t="s">
        <v>5921</v>
      </c>
      <c r="B3650">
        <v>10.8</v>
      </c>
      <c r="C3650">
        <v>0.2</v>
      </c>
    </row>
    <row r="3651" spans="1:3" ht="15" customHeight="1" x14ac:dyDescent="0.25">
      <c r="A3651" t="s">
        <v>5922</v>
      </c>
      <c r="B3651">
        <v>11.1</v>
      </c>
      <c r="C3651">
        <v>0.2</v>
      </c>
    </row>
    <row r="3652" spans="1:3" ht="15" customHeight="1" x14ac:dyDescent="0.25">
      <c r="A3652" t="s">
        <v>5923</v>
      </c>
      <c r="B3652">
        <v>11.1</v>
      </c>
      <c r="C3652">
        <v>0.2</v>
      </c>
    </row>
    <row r="3653" spans="1:3" ht="15" customHeight="1" x14ac:dyDescent="0.25">
      <c r="A3653" t="s">
        <v>5924</v>
      </c>
      <c r="B3653">
        <v>11.1</v>
      </c>
      <c r="C3653">
        <v>0.2</v>
      </c>
    </row>
    <row r="3654" spans="1:3" ht="15" customHeight="1" x14ac:dyDescent="0.25">
      <c r="A3654" t="s">
        <v>5925</v>
      </c>
      <c r="B3654">
        <v>11.1</v>
      </c>
      <c r="C3654">
        <v>0.2</v>
      </c>
    </row>
    <row r="3655" spans="1:3" ht="15" customHeight="1" x14ac:dyDescent="0.25">
      <c r="A3655" t="s">
        <v>5926</v>
      </c>
      <c r="B3655">
        <v>27.1</v>
      </c>
      <c r="C3655">
        <v>0.2</v>
      </c>
    </row>
    <row r="3656" spans="1:3" ht="15" customHeight="1" x14ac:dyDescent="0.25">
      <c r="A3656" t="s">
        <v>5927</v>
      </c>
      <c r="B3656">
        <v>30.3</v>
      </c>
      <c r="C3656">
        <v>0.2</v>
      </c>
    </row>
    <row r="3657" spans="1:3" ht="15" customHeight="1" x14ac:dyDescent="0.25">
      <c r="A3657" t="s">
        <v>5928</v>
      </c>
      <c r="B3657">
        <v>26.1</v>
      </c>
      <c r="C3657">
        <v>0.2</v>
      </c>
    </row>
    <row r="3658" spans="1:3" ht="15" customHeight="1" x14ac:dyDescent="0.25">
      <c r="A3658" t="s">
        <v>5929</v>
      </c>
      <c r="B3658">
        <v>26.1</v>
      </c>
      <c r="C3658">
        <v>0.2</v>
      </c>
    </row>
    <row r="3659" spans="1:3" ht="15" customHeight="1" x14ac:dyDescent="0.25">
      <c r="A3659" t="s">
        <v>5930</v>
      </c>
      <c r="B3659">
        <v>25.3</v>
      </c>
      <c r="C3659">
        <v>0.2</v>
      </c>
    </row>
    <row r="3660" spans="1:3" ht="15" customHeight="1" x14ac:dyDescent="0.25">
      <c r="A3660" t="s">
        <v>5931</v>
      </c>
      <c r="B3660">
        <v>25.3</v>
      </c>
      <c r="C3660">
        <v>0.2</v>
      </c>
    </row>
    <row r="3661" spans="1:3" ht="15" customHeight="1" x14ac:dyDescent="0.25">
      <c r="A3661" t="s">
        <v>5932</v>
      </c>
      <c r="B3661">
        <v>19.600000000000001</v>
      </c>
      <c r="C3661">
        <v>0.2</v>
      </c>
    </row>
    <row r="3662" spans="1:3" ht="15" customHeight="1" x14ac:dyDescent="0.25">
      <c r="A3662" t="s">
        <v>5933</v>
      </c>
      <c r="B3662">
        <v>19.600000000000001</v>
      </c>
      <c r="C3662">
        <v>0.2</v>
      </c>
    </row>
    <row r="3663" spans="1:3" ht="15" customHeight="1" x14ac:dyDescent="0.25">
      <c r="A3663" t="s">
        <v>5934</v>
      </c>
      <c r="B3663">
        <v>26.1</v>
      </c>
      <c r="C3663">
        <v>0.2</v>
      </c>
    </row>
    <row r="3664" spans="1:3" ht="15" customHeight="1" x14ac:dyDescent="0.25">
      <c r="A3664" t="s">
        <v>5935</v>
      </c>
      <c r="B3664">
        <v>30.3</v>
      </c>
      <c r="C3664">
        <v>0.2</v>
      </c>
    </row>
    <row r="3665" spans="1:3" ht="15" customHeight="1" x14ac:dyDescent="0.25">
      <c r="A3665" t="s">
        <v>5936</v>
      </c>
      <c r="B3665">
        <v>25.3</v>
      </c>
      <c r="C3665">
        <v>0.2</v>
      </c>
    </row>
    <row r="3666" spans="1:3" ht="15" customHeight="1" x14ac:dyDescent="0.25">
      <c r="A3666" t="s">
        <v>5937</v>
      </c>
      <c r="B3666">
        <v>25.8</v>
      </c>
      <c r="C3666">
        <v>0.2</v>
      </c>
    </row>
    <row r="3667" spans="1:3" ht="15" customHeight="1" x14ac:dyDescent="0.25">
      <c r="A3667" t="s">
        <v>5938</v>
      </c>
      <c r="B3667">
        <v>25.8</v>
      </c>
      <c r="C3667">
        <v>0.2</v>
      </c>
    </row>
    <row r="3668" spans="1:3" ht="15" customHeight="1" x14ac:dyDescent="0.25">
      <c r="A3668" t="s">
        <v>5939</v>
      </c>
      <c r="B3668">
        <v>24.3</v>
      </c>
      <c r="C3668">
        <v>0.2</v>
      </c>
    </row>
    <row r="3669" spans="1:3" ht="15" customHeight="1" x14ac:dyDescent="0.25">
      <c r="A3669" t="s">
        <v>5940</v>
      </c>
      <c r="B3669">
        <v>19.600000000000001</v>
      </c>
      <c r="C3669">
        <v>0.2</v>
      </c>
    </row>
    <row r="3670" spans="1:3" ht="15" customHeight="1" x14ac:dyDescent="0.25">
      <c r="A3670" t="s">
        <v>5941</v>
      </c>
      <c r="B3670">
        <v>19.600000000000001</v>
      </c>
      <c r="C3670">
        <v>0.2</v>
      </c>
    </row>
    <row r="3671" spans="1:3" ht="15" customHeight="1" x14ac:dyDescent="0.25">
      <c r="A3671" t="s">
        <v>5942</v>
      </c>
      <c r="B3671">
        <v>27.1</v>
      </c>
      <c r="C3671">
        <v>0.2</v>
      </c>
    </row>
    <row r="3672" spans="1:3" ht="15" customHeight="1" x14ac:dyDescent="0.25">
      <c r="A3672" t="s">
        <v>5943</v>
      </c>
      <c r="B3672">
        <v>30.3</v>
      </c>
      <c r="C3672">
        <v>0.2</v>
      </c>
    </row>
    <row r="3673" spans="1:3" ht="15" customHeight="1" x14ac:dyDescent="0.25">
      <c r="A3673" t="s">
        <v>5944</v>
      </c>
      <c r="B3673">
        <v>30.3</v>
      </c>
      <c r="C3673">
        <v>0.2</v>
      </c>
    </row>
    <row r="3674" spans="1:3" ht="15" customHeight="1" x14ac:dyDescent="0.25">
      <c r="A3674" t="s">
        <v>5945</v>
      </c>
      <c r="B3674">
        <v>19.100000000000001</v>
      </c>
      <c r="C3674">
        <v>0.2</v>
      </c>
    </row>
    <row r="3675" spans="1:3" ht="15" customHeight="1" x14ac:dyDescent="0.25">
      <c r="A3675" t="s">
        <v>5946</v>
      </c>
      <c r="B3675">
        <v>24.3</v>
      </c>
      <c r="C3675">
        <v>0.2</v>
      </c>
    </row>
    <row r="3676" spans="1:3" ht="15" customHeight="1" x14ac:dyDescent="0.25">
      <c r="A3676" t="s">
        <v>5947</v>
      </c>
      <c r="B3676">
        <v>24.6</v>
      </c>
      <c r="C3676">
        <v>0.2</v>
      </c>
    </row>
    <row r="3677" spans="1:3" ht="15" customHeight="1" x14ac:dyDescent="0.25">
      <c r="A3677" t="s">
        <v>5948</v>
      </c>
      <c r="B3677">
        <v>27.1</v>
      </c>
      <c r="C3677">
        <v>0.2</v>
      </c>
    </row>
    <row r="3678" spans="1:3" ht="15" customHeight="1" x14ac:dyDescent="0.25">
      <c r="A3678" t="s">
        <v>5949</v>
      </c>
      <c r="B3678">
        <v>24.3</v>
      </c>
      <c r="C3678">
        <v>0.2</v>
      </c>
    </row>
    <row r="3679" spans="1:3" ht="15" customHeight="1" x14ac:dyDescent="0.25">
      <c r="A3679" t="s">
        <v>5950</v>
      </c>
      <c r="B3679">
        <v>27.1</v>
      </c>
      <c r="C3679">
        <v>0.2</v>
      </c>
    </row>
    <row r="3680" spans="1:3" ht="15" customHeight="1" x14ac:dyDescent="0.25">
      <c r="A3680" t="s">
        <v>5951</v>
      </c>
      <c r="B3680">
        <v>32.9</v>
      </c>
      <c r="C3680">
        <v>0.2</v>
      </c>
    </row>
    <row r="3681" spans="1:3" ht="15" customHeight="1" x14ac:dyDescent="0.25">
      <c r="A3681" t="s">
        <v>5952</v>
      </c>
      <c r="B3681">
        <v>30.3</v>
      </c>
      <c r="C3681">
        <v>0.2</v>
      </c>
    </row>
    <row r="3682" spans="1:3" ht="15" customHeight="1" x14ac:dyDescent="0.25">
      <c r="A3682" t="s">
        <v>5953</v>
      </c>
      <c r="B3682">
        <v>38.9</v>
      </c>
      <c r="C3682">
        <v>0.2</v>
      </c>
    </row>
    <row r="3683" spans="1:3" ht="15" customHeight="1" x14ac:dyDescent="0.25">
      <c r="A3683" t="s">
        <v>5954</v>
      </c>
      <c r="B3683">
        <v>27.1</v>
      </c>
      <c r="C3683">
        <v>0.2</v>
      </c>
    </row>
    <row r="3684" spans="1:3" ht="15" customHeight="1" x14ac:dyDescent="0.25">
      <c r="A3684" t="s">
        <v>5955</v>
      </c>
      <c r="B3684">
        <v>27.1</v>
      </c>
      <c r="C3684">
        <v>0.2</v>
      </c>
    </row>
    <row r="3685" spans="1:3" ht="15" customHeight="1" x14ac:dyDescent="0.25">
      <c r="A3685" t="s">
        <v>5956</v>
      </c>
      <c r="B3685">
        <v>27.1</v>
      </c>
      <c r="C3685">
        <v>0.2</v>
      </c>
    </row>
    <row r="3686" spans="1:3" ht="15" customHeight="1" x14ac:dyDescent="0.25">
      <c r="A3686" t="s">
        <v>5957</v>
      </c>
      <c r="B3686">
        <v>30.3</v>
      </c>
      <c r="C3686">
        <v>0.3</v>
      </c>
    </row>
    <row r="3687" spans="1:3" ht="15" customHeight="1" x14ac:dyDescent="0.25">
      <c r="A3687" t="s">
        <v>5958</v>
      </c>
      <c r="B3687">
        <v>27.1</v>
      </c>
      <c r="C3687">
        <v>0.2</v>
      </c>
    </row>
    <row r="3688" spans="1:3" ht="15" customHeight="1" x14ac:dyDescent="0.25">
      <c r="A3688" t="s">
        <v>5959</v>
      </c>
      <c r="B3688">
        <v>27.1</v>
      </c>
      <c r="C3688">
        <v>0.2</v>
      </c>
    </row>
    <row r="3689" spans="1:3" ht="15" customHeight="1" x14ac:dyDescent="0.25">
      <c r="A3689" t="s">
        <v>5960</v>
      </c>
      <c r="B3689">
        <v>27.1</v>
      </c>
      <c r="C3689">
        <v>0.2</v>
      </c>
    </row>
    <row r="3690" spans="1:3" ht="15" customHeight="1" x14ac:dyDescent="0.25">
      <c r="A3690" t="s">
        <v>5961</v>
      </c>
      <c r="B3690">
        <v>27.1</v>
      </c>
      <c r="C3690">
        <v>0.2</v>
      </c>
    </row>
    <row r="3691" spans="1:3" ht="15" customHeight="1" x14ac:dyDescent="0.25">
      <c r="A3691" t="s">
        <v>5962</v>
      </c>
      <c r="B3691">
        <v>27.1</v>
      </c>
      <c r="C3691">
        <v>0.2</v>
      </c>
    </row>
    <row r="3692" spans="1:3" ht="15" customHeight="1" x14ac:dyDescent="0.25">
      <c r="A3692" t="s">
        <v>5963</v>
      </c>
      <c r="B3692">
        <v>27.1</v>
      </c>
      <c r="C3692">
        <v>0.2</v>
      </c>
    </row>
    <row r="3693" spans="1:3" ht="15" customHeight="1" x14ac:dyDescent="0.25">
      <c r="A3693" t="s">
        <v>5964</v>
      </c>
      <c r="B3693">
        <v>9.6</v>
      </c>
      <c r="C3693">
        <v>0.3</v>
      </c>
    </row>
    <row r="3694" spans="1:3" ht="15" customHeight="1" x14ac:dyDescent="0.25">
      <c r="A3694" t="s">
        <v>5965</v>
      </c>
      <c r="B3694">
        <v>9.6</v>
      </c>
      <c r="C3694">
        <v>0.3</v>
      </c>
    </row>
    <row r="3695" spans="1:3" ht="15" customHeight="1" x14ac:dyDescent="0.25">
      <c r="A3695" t="s">
        <v>5966</v>
      </c>
      <c r="B3695">
        <v>9.6</v>
      </c>
      <c r="C3695">
        <v>0.3</v>
      </c>
    </row>
    <row r="3696" spans="1:3" ht="15" customHeight="1" x14ac:dyDescent="0.25">
      <c r="A3696" t="s">
        <v>5967</v>
      </c>
      <c r="B3696">
        <v>9.6</v>
      </c>
      <c r="C3696">
        <v>0.3</v>
      </c>
    </row>
    <row r="3697" spans="1:3" ht="15" customHeight="1" x14ac:dyDescent="0.25">
      <c r="A3697" t="s">
        <v>5968</v>
      </c>
      <c r="B3697">
        <v>9.6</v>
      </c>
    </row>
    <row r="3698" spans="1:3" ht="15" customHeight="1" x14ac:dyDescent="0.25">
      <c r="A3698" t="s">
        <v>5969</v>
      </c>
      <c r="B3698">
        <v>9.6</v>
      </c>
    </row>
    <row r="3699" spans="1:3" ht="15" customHeight="1" x14ac:dyDescent="0.25">
      <c r="A3699" t="s">
        <v>5970</v>
      </c>
      <c r="B3699">
        <v>9.6</v>
      </c>
      <c r="C3699">
        <v>0.3</v>
      </c>
    </row>
    <row r="3700" spans="1:3" ht="15" customHeight="1" x14ac:dyDescent="0.25">
      <c r="A3700" t="s">
        <v>5971</v>
      </c>
      <c r="B3700">
        <v>9.6</v>
      </c>
      <c r="C3700">
        <v>0.3</v>
      </c>
    </row>
    <row r="3701" spans="1:3" ht="15" customHeight="1" x14ac:dyDescent="0.25">
      <c r="A3701" t="s">
        <v>5972</v>
      </c>
      <c r="B3701">
        <v>9.6</v>
      </c>
      <c r="C3701">
        <v>0.3</v>
      </c>
    </row>
    <row r="3702" spans="1:3" ht="15" customHeight="1" x14ac:dyDescent="0.25">
      <c r="A3702" t="s">
        <v>5973</v>
      </c>
      <c r="B3702">
        <v>9.6</v>
      </c>
      <c r="C3702">
        <v>0.3</v>
      </c>
    </row>
    <row r="3703" spans="1:3" ht="15" customHeight="1" x14ac:dyDescent="0.25">
      <c r="A3703" t="s">
        <v>5974</v>
      </c>
      <c r="B3703">
        <v>9.6</v>
      </c>
      <c r="C3703">
        <v>0.3</v>
      </c>
    </row>
    <row r="3704" spans="1:3" ht="15" customHeight="1" x14ac:dyDescent="0.25">
      <c r="A3704" t="s">
        <v>5975</v>
      </c>
      <c r="B3704">
        <v>9.6</v>
      </c>
    </row>
    <row r="3705" spans="1:3" ht="15" customHeight="1" x14ac:dyDescent="0.25">
      <c r="A3705" t="s">
        <v>5976</v>
      </c>
      <c r="B3705">
        <v>9.6</v>
      </c>
    </row>
    <row r="3706" spans="1:3" ht="15" customHeight="1" x14ac:dyDescent="0.25">
      <c r="A3706" t="s">
        <v>5977</v>
      </c>
      <c r="B3706">
        <v>28.7</v>
      </c>
    </row>
    <row r="3707" spans="1:3" ht="15" customHeight="1" x14ac:dyDescent="0.25">
      <c r="A3707" t="s">
        <v>5978</v>
      </c>
      <c r="B3707">
        <v>29.1</v>
      </c>
    </row>
    <row r="3708" spans="1:3" ht="15" customHeight="1" x14ac:dyDescent="0.25">
      <c r="A3708" t="s">
        <v>5979</v>
      </c>
      <c r="B3708">
        <v>17.100000000000001</v>
      </c>
      <c r="C3708">
        <v>0.3</v>
      </c>
    </row>
    <row r="3709" spans="1:3" ht="15" customHeight="1" x14ac:dyDescent="0.25">
      <c r="A3709" t="s">
        <v>5980</v>
      </c>
      <c r="B3709">
        <v>17.100000000000001</v>
      </c>
      <c r="C3709">
        <v>0.3</v>
      </c>
    </row>
    <row r="3710" spans="1:3" ht="15" customHeight="1" x14ac:dyDescent="0.25">
      <c r="A3710" t="s">
        <v>5981</v>
      </c>
      <c r="B3710">
        <v>17.100000000000001</v>
      </c>
      <c r="C3710">
        <v>0.3</v>
      </c>
    </row>
    <row r="3711" spans="1:3" ht="15" customHeight="1" x14ac:dyDescent="0.25">
      <c r="A3711" t="s">
        <v>5982</v>
      </c>
      <c r="B3711">
        <v>17.100000000000001</v>
      </c>
    </row>
    <row r="3712" spans="1:3" ht="15" customHeight="1" x14ac:dyDescent="0.25">
      <c r="A3712" t="s">
        <v>5983</v>
      </c>
      <c r="B3712">
        <v>17.100000000000001</v>
      </c>
      <c r="C3712">
        <v>0.3</v>
      </c>
    </row>
    <row r="3713" spans="1:3" ht="15" customHeight="1" x14ac:dyDescent="0.25">
      <c r="A3713" t="s">
        <v>5984</v>
      </c>
      <c r="B3713">
        <v>17.100000000000001</v>
      </c>
      <c r="C3713">
        <v>0.3</v>
      </c>
    </row>
    <row r="3714" spans="1:3" ht="15" customHeight="1" x14ac:dyDescent="0.25">
      <c r="A3714" t="s">
        <v>5985</v>
      </c>
      <c r="B3714">
        <v>17.100000000000001</v>
      </c>
      <c r="C3714">
        <v>0.3</v>
      </c>
    </row>
    <row r="3715" spans="1:3" ht="15" customHeight="1" x14ac:dyDescent="0.25">
      <c r="A3715" t="s">
        <v>5986</v>
      </c>
      <c r="B3715">
        <v>17.100000000000001</v>
      </c>
      <c r="C3715">
        <v>0.3</v>
      </c>
    </row>
    <row r="3716" spans="1:3" ht="15" customHeight="1" x14ac:dyDescent="0.25">
      <c r="A3716" t="s">
        <v>5987</v>
      </c>
      <c r="B3716">
        <v>18.899999999999999</v>
      </c>
      <c r="C3716">
        <v>0.3</v>
      </c>
    </row>
    <row r="3717" spans="1:3" ht="15" customHeight="1" x14ac:dyDescent="0.25">
      <c r="A3717" t="s">
        <v>5988</v>
      </c>
      <c r="B3717">
        <v>18.899999999999999</v>
      </c>
      <c r="C3717">
        <v>0.3</v>
      </c>
    </row>
    <row r="3718" spans="1:3" ht="15" customHeight="1" x14ac:dyDescent="0.25">
      <c r="A3718" t="s">
        <v>5989</v>
      </c>
      <c r="B3718">
        <v>17.100000000000001</v>
      </c>
      <c r="C3718">
        <v>0.2</v>
      </c>
    </row>
    <row r="3719" spans="1:3" ht="15" customHeight="1" x14ac:dyDescent="0.25">
      <c r="A3719" t="s">
        <v>5990</v>
      </c>
      <c r="B3719">
        <v>18.899999999999999</v>
      </c>
    </row>
    <row r="3720" spans="1:3" ht="15" customHeight="1" x14ac:dyDescent="0.25">
      <c r="A3720" t="s">
        <v>5991</v>
      </c>
      <c r="B3720">
        <v>17.100000000000001</v>
      </c>
      <c r="C3720">
        <v>0.2</v>
      </c>
    </row>
    <row r="3721" spans="1:3" ht="15" customHeight="1" x14ac:dyDescent="0.25">
      <c r="A3721" t="s">
        <v>5992</v>
      </c>
      <c r="B3721">
        <v>18.899999999999999</v>
      </c>
      <c r="C3721">
        <v>0.3</v>
      </c>
    </row>
    <row r="3722" spans="1:3" ht="15" customHeight="1" x14ac:dyDescent="0.25">
      <c r="A3722" t="s">
        <v>5993</v>
      </c>
      <c r="B3722">
        <v>17.100000000000001</v>
      </c>
      <c r="C3722">
        <v>0.1</v>
      </c>
    </row>
    <row r="3723" spans="1:3" ht="15" customHeight="1" x14ac:dyDescent="0.25">
      <c r="A3723" t="s">
        <v>5994</v>
      </c>
      <c r="B3723">
        <v>18.899999999999999</v>
      </c>
      <c r="C3723">
        <v>0.2</v>
      </c>
    </row>
    <row r="3724" spans="1:3" ht="15" customHeight="1" x14ac:dyDescent="0.25">
      <c r="A3724" t="s">
        <v>5995</v>
      </c>
      <c r="B3724">
        <v>17.100000000000001</v>
      </c>
      <c r="C3724">
        <v>0.3</v>
      </c>
    </row>
    <row r="3725" spans="1:3" ht="15" customHeight="1" x14ac:dyDescent="0.25">
      <c r="A3725" t="s">
        <v>5996</v>
      </c>
      <c r="B3725">
        <v>17.100000000000001</v>
      </c>
    </row>
    <row r="3726" spans="1:3" ht="15" customHeight="1" x14ac:dyDescent="0.25">
      <c r="A3726" t="s">
        <v>5997</v>
      </c>
      <c r="B3726">
        <v>17.100000000000001</v>
      </c>
      <c r="C3726">
        <v>0.2</v>
      </c>
    </row>
    <row r="3727" spans="1:3" ht="15" customHeight="1" x14ac:dyDescent="0.25">
      <c r="A3727" t="s">
        <v>5998</v>
      </c>
      <c r="B3727">
        <v>19.3</v>
      </c>
      <c r="C3727">
        <v>0.2</v>
      </c>
    </row>
    <row r="3728" spans="1:3" ht="15" customHeight="1" x14ac:dyDescent="0.25">
      <c r="A3728" t="s">
        <v>5999</v>
      </c>
      <c r="B3728">
        <v>17.100000000000001</v>
      </c>
      <c r="C3728">
        <v>0.2</v>
      </c>
    </row>
    <row r="3729" spans="1:3" ht="15" customHeight="1" x14ac:dyDescent="0.25">
      <c r="A3729" t="s">
        <v>6000</v>
      </c>
      <c r="B3729">
        <v>19.3</v>
      </c>
      <c r="C3729">
        <v>0.2</v>
      </c>
    </row>
    <row r="3730" spans="1:3" ht="15" customHeight="1" x14ac:dyDescent="0.25">
      <c r="A3730" t="s">
        <v>6001</v>
      </c>
      <c r="B3730">
        <v>17.100000000000001</v>
      </c>
      <c r="C3730">
        <v>0.1</v>
      </c>
    </row>
    <row r="3731" spans="1:3" ht="15" customHeight="1" x14ac:dyDescent="0.25">
      <c r="A3731" t="s">
        <v>6002</v>
      </c>
      <c r="B3731">
        <v>19.3</v>
      </c>
      <c r="C3731">
        <v>0.1</v>
      </c>
    </row>
    <row r="3732" spans="1:3" ht="15" customHeight="1" x14ac:dyDescent="0.25">
      <c r="A3732" t="s">
        <v>6003</v>
      </c>
      <c r="B3732">
        <v>13.1</v>
      </c>
      <c r="C3732">
        <v>0.06</v>
      </c>
    </row>
    <row r="3733" spans="1:3" ht="15" customHeight="1" x14ac:dyDescent="0.25">
      <c r="A3733" t="s">
        <v>6004</v>
      </c>
      <c r="B3733">
        <v>21.6</v>
      </c>
      <c r="C3733">
        <v>0.06</v>
      </c>
    </row>
    <row r="3734" spans="1:3" ht="15" customHeight="1" x14ac:dyDescent="0.25">
      <c r="A3734" t="s">
        <v>6005</v>
      </c>
      <c r="B3734">
        <v>17.100000000000001</v>
      </c>
    </row>
    <row r="3735" spans="1:3" ht="15" customHeight="1" x14ac:dyDescent="0.25">
      <c r="A3735" t="s">
        <v>6006</v>
      </c>
      <c r="B3735">
        <v>17.100000000000001</v>
      </c>
      <c r="C3735">
        <v>0.3</v>
      </c>
    </row>
    <row r="3736" spans="1:3" ht="15" customHeight="1" x14ac:dyDescent="0.25">
      <c r="A3736" t="s">
        <v>6007</v>
      </c>
      <c r="B3736">
        <v>17.100000000000001</v>
      </c>
      <c r="C3736">
        <v>0.3</v>
      </c>
    </row>
    <row r="3737" spans="1:3" ht="15" customHeight="1" x14ac:dyDescent="0.25">
      <c r="A3737" t="s">
        <v>6008</v>
      </c>
      <c r="B3737">
        <v>9.6</v>
      </c>
      <c r="C3737">
        <v>0.3</v>
      </c>
    </row>
    <row r="3738" spans="1:3" ht="15" customHeight="1" x14ac:dyDescent="0.25">
      <c r="A3738" t="s">
        <v>6009</v>
      </c>
      <c r="B3738">
        <v>17.100000000000001</v>
      </c>
    </row>
    <row r="3739" spans="1:3" ht="15" customHeight="1" x14ac:dyDescent="0.25">
      <c r="A3739" t="s">
        <v>6010</v>
      </c>
      <c r="B3739">
        <v>84.2</v>
      </c>
      <c r="C3739">
        <v>0.03</v>
      </c>
    </row>
    <row r="3740" spans="1:3" ht="15" customHeight="1" x14ac:dyDescent="0.25">
      <c r="A3740" t="s">
        <v>6011</v>
      </c>
      <c r="B3740">
        <v>92.1</v>
      </c>
      <c r="C3740">
        <v>0.03</v>
      </c>
    </row>
    <row r="3741" spans="1:3" ht="15" customHeight="1" x14ac:dyDescent="0.25">
      <c r="A3741" t="s">
        <v>6012</v>
      </c>
      <c r="B3741">
        <v>84.2</v>
      </c>
      <c r="C3741">
        <v>0.2</v>
      </c>
    </row>
    <row r="3742" spans="1:3" ht="15" customHeight="1" x14ac:dyDescent="0.25">
      <c r="A3742" t="s">
        <v>6013</v>
      </c>
      <c r="B3742">
        <v>84.2</v>
      </c>
      <c r="C3742">
        <v>0.2</v>
      </c>
    </row>
    <row r="3743" spans="1:3" ht="15" customHeight="1" x14ac:dyDescent="0.25">
      <c r="A3743" t="s">
        <v>6014</v>
      </c>
      <c r="B3743">
        <v>92.1</v>
      </c>
      <c r="C3743">
        <v>0.03</v>
      </c>
    </row>
    <row r="3744" spans="1:3" ht="15" customHeight="1" x14ac:dyDescent="0.25">
      <c r="A3744" t="s">
        <v>6015</v>
      </c>
      <c r="B3744">
        <v>92.1</v>
      </c>
      <c r="C3744">
        <v>0.03</v>
      </c>
    </row>
    <row r="3745" spans="1:3" ht="15" customHeight="1" x14ac:dyDescent="0.25">
      <c r="A3745" t="s">
        <v>6016</v>
      </c>
      <c r="B3745">
        <v>29.1</v>
      </c>
    </row>
    <row r="3746" spans="1:3" ht="15" customHeight="1" x14ac:dyDescent="0.25">
      <c r="A3746" t="s">
        <v>6017</v>
      </c>
      <c r="B3746">
        <v>33.5</v>
      </c>
    </row>
    <row r="3747" spans="1:3" ht="15" customHeight="1" x14ac:dyDescent="0.25">
      <c r="A3747" t="s">
        <v>6018</v>
      </c>
      <c r="B3747">
        <v>17.100000000000001</v>
      </c>
    </row>
    <row r="3748" spans="1:3" ht="15" customHeight="1" x14ac:dyDescent="0.25">
      <c r="A3748" t="s">
        <v>6019</v>
      </c>
      <c r="B3748">
        <v>17.100000000000001</v>
      </c>
      <c r="C3748">
        <v>0.3</v>
      </c>
    </row>
    <row r="3749" spans="1:3" ht="15" customHeight="1" x14ac:dyDescent="0.25">
      <c r="A3749" t="s">
        <v>6020</v>
      </c>
      <c r="B3749">
        <v>9.6</v>
      </c>
    </row>
    <row r="3750" spans="1:3" ht="15" customHeight="1" x14ac:dyDescent="0.25">
      <c r="A3750" t="s">
        <v>6021</v>
      </c>
      <c r="B3750">
        <v>28.4</v>
      </c>
    </row>
    <row r="3751" spans="1:3" ht="15" customHeight="1" x14ac:dyDescent="0.25">
      <c r="A3751" t="s">
        <v>6022</v>
      </c>
      <c r="B3751">
        <v>28.4</v>
      </c>
    </row>
    <row r="3752" spans="1:3" ht="15" customHeight="1" x14ac:dyDescent="0.25">
      <c r="A3752" t="s">
        <v>6023</v>
      </c>
      <c r="B3752">
        <v>31.4</v>
      </c>
      <c r="C3752">
        <v>0.05</v>
      </c>
    </row>
    <row r="3753" spans="1:3" ht="15" customHeight="1" x14ac:dyDescent="0.25">
      <c r="A3753" t="s">
        <v>6024</v>
      </c>
      <c r="B3753">
        <v>36.700000000000003</v>
      </c>
      <c r="C3753">
        <v>0.05</v>
      </c>
    </row>
    <row r="3754" spans="1:3" ht="15" customHeight="1" x14ac:dyDescent="0.25">
      <c r="A3754" t="s">
        <v>6025</v>
      </c>
      <c r="B3754">
        <v>31.4</v>
      </c>
      <c r="C3754">
        <v>0.05</v>
      </c>
    </row>
    <row r="3755" spans="1:3" ht="15" customHeight="1" x14ac:dyDescent="0.25">
      <c r="A3755" t="s">
        <v>6026</v>
      </c>
      <c r="B3755">
        <v>30.1</v>
      </c>
      <c r="C3755">
        <v>0.05</v>
      </c>
    </row>
    <row r="3756" spans="1:3" ht="15" customHeight="1" x14ac:dyDescent="0.25">
      <c r="A3756" t="s">
        <v>6027</v>
      </c>
      <c r="B3756">
        <v>31.4</v>
      </c>
      <c r="C3756">
        <v>0.05</v>
      </c>
    </row>
    <row r="3757" spans="1:3" ht="15" customHeight="1" x14ac:dyDescent="0.25">
      <c r="A3757" t="s">
        <v>6028</v>
      </c>
      <c r="B3757">
        <v>36.700000000000003</v>
      </c>
      <c r="C3757">
        <v>0.05</v>
      </c>
    </row>
    <row r="3758" spans="1:3" ht="15" customHeight="1" x14ac:dyDescent="0.25">
      <c r="A3758" t="s">
        <v>6029</v>
      </c>
      <c r="B3758">
        <v>36.700000000000003</v>
      </c>
      <c r="C3758">
        <v>0.05</v>
      </c>
    </row>
    <row r="3759" spans="1:3" ht="15" customHeight="1" x14ac:dyDescent="0.25">
      <c r="A3759" t="s">
        <v>6030</v>
      </c>
      <c r="B3759">
        <v>35.6</v>
      </c>
      <c r="C3759">
        <v>0.05</v>
      </c>
    </row>
    <row r="3760" spans="1:3" ht="15" customHeight="1" x14ac:dyDescent="0.25">
      <c r="A3760" t="s">
        <v>6031</v>
      </c>
      <c r="B3760">
        <v>35.6</v>
      </c>
      <c r="C3760">
        <v>0.05</v>
      </c>
    </row>
    <row r="3761" spans="1:3" ht="15" customHeight="1" x14ac:dyDescent="0.25">
      <c r="A3761" t="s">
        <v>6032</v>
      </c>
      <c r="B3761">
        <v>30.4</v>
      </c>
      <c r="C3761">
        <v>0.2</v>
      </c>
    </row>
    <row r="3762" spans="1:3" ht="15" customHeight="1" x14ac:dyDescent="0.25">
      <c r="A3762" t="s">
        <v>6033</v>
      </c>
      <c r="B3762">
        <v>32.9</v>
      </c>
      <c r="C3762">
        <v>0.2</v>
      </c>
    </row>
    <row r="3763" spans="1:3" ht="15" customHeight="1" x14ac:dyDescent="0.25">
      <c r="A3763" t="s">
        <v>6034</v>
      </c>
      <c r="B3763">
        <v>35.6</v>
      </c>
    </row>
    <row r="3764" spans="1:3" ht="15" customHeight="1" x14ac:dyDescent="0.25">
      <c r="A3764" t="s">
        <v>6035</v>
      </c>
      <c r="B3764">
        <v>32.9</v>
      </c>
      <c r="C3764">
        <v>0.05</v>
      </c>
    </row>
    <row r="3765" spans="1:3" ht="15" customHeight="1" x14ac:dyDescent="0.25">
      <c r="A3765" t="s">
        <v>6036</v>
      </c>
      <c r="B3765">
        <v>32.9</v>
      </c>
    </row>
    <row r="3766" spans="1:3" ht="15" customHeight="1" x14ac:dyDescent="0.25">
      <c r="A3766" t="s">
        <v>6037</v>
      </c>
      <c r="B3766">
        <v>35.6</v>
      </c>
    </row>
    <row r="3767" spans="1:3" ht="15" customHeight="1" x14ac:dyDescent="0.25">
      <c r="A3767" t="s">
        <v>6038</v>
      </c>
      <c r="B3767">
        <v>32.9</v>
      </c>
      <c r="C3767">
        <v>0.2</v>
      </c>
    </row>
    <row r="3768" spans="1:3" ht="15" customHeight="1" x14ac:dyDescent="0.25">
      <c r="A3768" t="s">
        <v>6039</v>
      </c>
      <c r="B3768">
        <v>31.4</v>
      </c>
      <c r="C3768">
        <v>0.05</v>
      </c>
    </row>
    <row r="3769" spans="1:3" ht="15" customHeight="1" x14ac:dyDescent="0.25">
      <c r="A3769" t="s">
        <v>6040</v>
      </c>
      <c r="B3769">
        <v>31.4</v>
      </c>
      <c r="C3769">
        <v>0.05</v>
      </c>
    </row>
    <row r="3770" spans="1:3" ht="15" customHeight="1" x14ac:dyDescent="0.25">
      <c r="A3770" t="s">
        <v>6041</v>
      </c>
      <c r="B3770">
        <v>10.8</v>
      </c>
      <c r="C3770">
        <v>0.2</v>
      </c>
    </row>
    <row r="3771" spans="1:3" ht="15" customHeight="1" x14ac:dyDescent="0.25">
      <c r="A3771" t="s">
        <v>6042</v>
      </c>
      <c r="B3771">
        <v>9.6</v>
      </c>
      <c r="C3771">
        <v>0.3</v>
      </c>
    </row>
    <row r="3772" spans="1:3" ht="15" customHeight="1" x14ac:dyDescent="0.25">
      <c r="A3772" t="s">
        <v>6043</v>
      </c>
      <c r="B3772">
        <v>9.6</v>
      </c>
      <c r="C3772">
        <v>0.3</v>
      </c>
    </row>
    <row r="3773" spans="1:3" ht="15" customHeight="1" x14ac:dyDescent="0.25">
      <c r="A3773" t="s">
        <v>6044</v>
      </c>
      <c r="B3773">
        <v>16.3</v>
      </c>
      <c r="C3773">
        <v>0.06</v>
      </c>
    </row>
    <row r="3774" spans="1:3" ht="15" customHeight="1" x14ac:dyDescent="0.25">
      <c r="A3774" t="s">
        <v>6045</v>
      </c>
      <c r="B3774">
        <v>9.6</v>
      </c>
      <c r="C3774">
        <v>0.3</v>
      </c>
    </row>
    <row r="3775" spans="1:3" ht="15" customHeight="1" x14ac:dyDescent="0.25">
      <c r="A3775" t="s">
        <v>6046</v>
      </c>
      <c r="B3775">
        <v>33.5</v>
      </c>
    </row>
    <row r="3776" spans="1:3" ht="15" customHeight="1" x14ac:dyDescent="0.25">
      <c r="A3776" t="s">
        <v>6047</v>
      </c>
      <c r="B3776">
        <v>9.6</v>
      </c>
      <c r="C3776">
        <v>0.3</v>
      </c>
    </row>
    <row r="3777" spans="1:3" ht="15" customHeight="1" x14ac:dyDescent="0.25">
      <c r="A3777" t="s">
        <v>6048</v>
      </c>
      <c r="B3777">
        <v>9.6</v>
      </c>
      <c r="C3777">
        <v>0.3</v>
      </c>
    </row>
    <row r="3778" spans="1:3" ht="15" customHeight="1" x14ac:dyDescent="0.25">
      <c r="A3778" t="s">
        <v>6049</v>
      </c>
      <c r="B3778">
        <v>9.6</v>
      </c>
    </row>
    <row r="3779" spans="1:3" ht="15" customHeight="1" x14ac:dyDescent="0.25">
      <c r="A3779" t="s">
        <v>6050</v>
      </c>
      <c r="B3779">
        <v>16.8</v>
      </c>
      <c r="C3779">
        <v>0.2</v>
      </c>
    </row>
    <row r="3780" spans="1:3" ht="15" customHeight="1" x14ac:dyDescent="0.25">
      <c r="A3780" t="s">
        <v>6051</v>
      </c>
      <c r="B3780">
        <v>16.8</v>
      </c>
      <c r="C3780">
        <v>0.1</v>
      </c>
    </row>
    <row r="3781" spans="1:3" ht="15" customHeight="1" x14ac:dyDescent="0.25">
      <c r="A3781" t="s">
        <v>6052</v>
      </c>
      <c r="B3781">
        <v>16.8</v>
      </c>
      <c r="C3781">
        <v>0.03</v>
      </c>
    </row>
    <row r="3782" spans="1:3" ht="15" customHeight="1" x14ac:dyDescent="0.25">
      <c r="A3782" t="s">
        <v>6053</v>
      </c>
      <c r="B3782">
        <v>16.8</v>
      </c>
      <c r="C3782">
        <v>0.03</v>
      </c>
    </row>
    <row r="3783" spans="1:3" ht="15" customHeight="1" x14ac:dyDescent="0.25">
      <c r="A3783" t="s">
        <v>6054</v>
      </c>
      <c r="B3783">
        <v>16.8</v>
      </c>
      <c r="C3783">
        <v>0.1</v>
      </c>
    </row>
    <row r="3784" spans="1:3" ht="15" customHeight="1" x14ac:dyDescent="0.25">
      <c r="A3784" t="s">
        <v>968</v>
      </c>
      <c r="B3784">
        <v>16.600000000000001</v>
      </c>
      <c r="C3784">
        <v>0.03</v>
      </c>
    </row>
    <row r="3785" spans="1:3" ht="15" customHeight="1" x14ac:dyDescent="0.25">
      <c r="A3785" t="s">
        <v>6055</v>
      </c>
      <c r="B3785">
        <v>16.600000000000001</v>
      </c>
      <c r="C3785">
        <v>0.1</v>
      </c>
    </row>
    <row r="3786" spans="1:3" ht="15" customHeight="1" x14ac:dyDescent="0.25">
      <c r="A3786" t="s">
        <v>6056</v>
      </c>
      <c r="B3786">
        <v>16.600000000000001</v>
      </c>
      <c r="C3786">
        <v>0.03</v>
      </c>
    </row>
    <row r="3787" spans="1:3" ht="15" customHeight="1" x14ac:dyDescent="0.25">
      <c r="A3787" t="s">
        <v>6057</v>
      </c>
      <c r="B3787">
        <v>16.600000000000001</v>
      </c>
      <c r="C3787">
        <v>0.03</v>
      </c>
    </row>
    <row r="3788" spans="1:3" ht="15" customHeight="1" x14ac:dyDescent="0.25">
      <c r="A3788" t="s">
        <v>6058</v>
      </c>
      <c r="B3788">
        <v>9.6</v>
      </c>
      <c r="C3788">
        <v>0.3</v>
      </c>
    </row>
    <row r="3789" spans="1:3" ht="15" customHeight="1" x14ac:dyDescent="0.25">
      <c r="A3789" t="s">
        <v>6059</v>
      </c>
      <c r="B3789">
        <v>9.6</v>
      </c>
      <c r="C3789">
        <v>0.3</v>
      </c>
    </row>
    <row r="3790" spans="1:3" ht="15" customHeight="1" x14ac:dyDescent="0.25">
      <c r="A3790" t="s">
        <v>6060</v>
      </c>
      <c r="B3790">
        <v>9.6</v>
      </c>
      <c r="C3790">
        <v>0.3</v>
      </c>
    </row>
    <row r="3791" spans="1:3" ht="15" customHeight="1" x14ac:dyDescent="0.25">
      <c r="A3791" t="s">
        <v>6061</v>
      </c>
      <c r="B3791">
        <v>9.6</v>
      </c>
    </row>
    <row r="3792" spans="1:3" ht="15" customHeight="1" x14ac:dyDescent="0.25">
      <c r="A3792" t="s">
        <v>6062</v>
      </c>
      <c r="B3792">
        <v>9.6</v>
      </c>
      <c r="C3792">
        <v>0.3</v>
      </c>
    </row>
    <row r="3793" spans="1:3" ht="15" customHeight="1" x14ac:dyDescent="0.25">
      <c r="A3793" t="s">
        <v>6063</v>
      </c>
      <c r="B3793">
        <v>17.100000000000001</v>
      </c>
    </row>
    <row r="3794" spans="1:3" ht="15" customHeight="1" x14ac:dyDescent="0.25">
      <c r="A3794" t="s">
        <v>6064</v>
      </c>
      <c r="B3794">
        <v>9.6</v>
      </c>
    </row>
    <row r="3795" spans="1:3" ht="15" customHeight="1" x14ac:dyDescent="0.25">
      <c r="A3795" t="s">
        <v>6065</v>
      </c>
      <c r="B3795">
        <v>9.6</v>
      </c>
    </row>
    <row r="3796" spans="1:3" ht="15" customHeight="1" x14ac:dyDescent="0.25">
      <c r="A3796" t="s">
        <v>6066</v>
      </c>
      <c r="B3796">
        <v>17.100000000000001</v>
      </c>
    </row>
    <row r="3797" spans="1:3" ht="15" customHeight="1" x14ac:dyDescent="0.25">
      <c r="A3797" t="s">
        <v>6067</v>
      </c>
      <c r="B3797">
        <v>17.100000000000001</v>
      </c>
      <c r="C3797">
        <v>0.3</v>
      </c>
    </row>
    <row r="3798" spans="1:3" ht="15" customHeight="1" x14ac:dyDescent="0.25">
      <c r="A3798" t="s">
        <v>6068</v>
      </c>
      <c r="B3798">
        <v>17.100000000000001</v>
      </c>
      <c r="C3798">
        <v>0.3</v>
      </c>
    </row>
    <row r="3799" spans="1:3" ht="15" customHeight="1" x14ac:dyDescent="0.25">
      <c r="A3799" t="s">
        <v>6069</v>
      </c>
      <c r="B3799">
        <v>17.100000000000001</v>
      </c>
    </row>
    <row r="3800" spans="1:3" ht="15" customHeight="1" x14ac:dyDescent="0.25">
      <c r="A3800" t="s">
        <v>6070</v>
      </c>
      <c r="B3800">
        <v>17.100000000000001</v>
      </c>
    </row>
    <row r="3801" spans="1:3" ht="15" customHeight="1" x14ac:dyDescent="0.25">
      <c r="A3801" t="s">
        <v>6071</v>
      </c>
      <c r="B3801">
        <v>17.100000000000001</v>
      </c>
      <c r="C3801">
        <v>0.1</v>
      </c>
    </row>
    <row r="3802" spans="1:3" ht="15" customHeight="1" x14ac:dyDescent="0.25">
      <c r="A3802" t="s">
        <v>6072</v>
      </c>
      <c r="B3802">
        <v>16.399999999999999</v>
      </c>
      <c r="C3802">
        <v>0.05</v>
      </c>
    </row>
    <row r="3803" spans="1:3" ht="15" customHeight="1" x14ac:dyDescent="0.25">
      <c r="A3803" t="s">
        <v>6073</v>
      </c>
      <c r="B3803">
        <v>27.2</v>
      </c>
    </row>
    <row r="3804" spans="1:3" ht="15" customHeight="1" x14ac:dyDescent="0.25">
      <c r="A3804" t="s">
        <v>6074</v>
      </c>
      <c r="B3804">
        <v>31.1</v>
      </c>
    </row>
    <row r="3805" spans="1:3" ht="15" customHeight="1" x14ac:dyDescent="0.25">
      <c r="A3805" t="s">
        <v>6075</v>
      </c>
      <c r="B3805">
        <v>31.4</v>
      </c>
      <c r="C3805">
        <v>0.5</v>
      </c>
    </row>
    <row r="3806" spans="1:3" ht="15" customHeight="1" x14ac:dyDescent="0.25">
      <c r="A3806" t="s">
        <v>6076</v>
      </c>
      <c r="B3806">
        <v>30.1</v>
      </c>
    </row>
    <row r="3807" spans="1:3" ht="15" customHeight="1" x14ac:dyDescent="0.25">
      <c r="A3807" t="s">
        <v>6077</v>
      </c>
      <c r="B3807">
        <v>29.7</v>
      </c>
    </row>
    <row r="3808" spans="1:3" ht="15" customHeight="1" x14ac:dyDescent="0.25">
      <c r="A3808" t="s">
        <v>6078</v>
      </c>
      <c r="B3808">
        <v>31.4</v>
      </c>
    </row>
    <row r="3809" spans="1:3" ht="15" customHeight="1" x14ac:dyDescent="0.25">
      <c r="A3809" t="s">
        <v>6079</v>
      </c>
      <c r="B3809">
        <v>29.7</v>
      </c>
    </row>
    <row r="3810" spans="1:3" ht="15" customHeight="1" x14ac:dyDescent="0.25">
      <c r="A3810" t="s">
        <v>6080</v>
      </c>
      <c r="B3810">
        <v>44</v>
      </c>
    </row>
    <row r="3811" spans="1:3" ht="15" customHeight="1" x14ac:dyDescent="0.25">
      <c r="A3811" t="s">
        <v>6081</v>
      </c>
      <c r="B3811">
        <v>9.6</v>
      </c>
      <c r="C3811">
        <v>0.3</v>
      </c>
    </row>
    <row r="3812" spans="1:3" ht="15" customHeight="1" x14ac:dyDescent="0.25">
      <c r="A3812" t="s">
        <v>6082</v>
      </c>
      <c r="B3812">
        <v>9.6</v>
      </c>
      <c r="C3812">
        <v>0.3</v>
      </c>
    </row>
    <row r="3813" spans="1:3" ht="15" customHeight="1" x14ac:dyDescent="0.25">
      <c r="A3813" t="s">
        <v>6083</v>
      </c>
      <c r="B3813">
        <v>9.6</v>
      </c>
    </row>
    <row r="3814" spans="1:3" ht="15" customHeight="1" x14ac:dyDescent="0.25">
      <c r="A3814" t="s">
        <v>6084</v>
      </c>
      <c r="B3814">
        <v>9.6</v>
      </c>
      <c r="C3814">
        <v>0.3</v>
      </c>
    </row>
    <row r="3815" spans="1:3" ht="15" customHeight="1" x14ac:dyDescent="0.25">
      <c r="A3815" t="s">
        <v>6085</v>
      </c>
      <c r="B3815">
        <v>9.6</v>
      </c>
      <c r="C3815">
        <v>0.3</v>
      </c>
    </row>
    <row r="3816" spans="1:3" ht="15" customHeight="1" x14ac:dyDescent="0.25">
      <c r="A3816" t="s">
        <v>6086</v>
      </c>
      <c r="B3816">
        <v>17.100000000000001</v>
      </c>
      <c r="C3816">
        <v>0.3</v>
      </c>
    </row>
    <row r="3817" spans="1:3" ht="15" customHeight="1" x14ac:dyDescent="0.25">
      <c r="A3817" t="s">
        <v>6087</v>
      </c>
      <c r="B3817">
        <v>9.6</v>
      </c>
    </row>
    <row r="3818" spans="1:3" ht="15" customHeight="1" x14ac:dyDescent="0.25">
      <c r="A3818" t="s">
        <v>6088</v>
      </c>
      <c r="B3818">
        <v>31.4</v>
      </c>
    </row>
    <row r="3819" spans="1:3" ht="15" customHeight="1" x14ac:dyDescent="0.25">
      <c r="A3819" t="s">
        <v>6089</v>
      </c>
      <c r="B3819">
        <v>14.6</v>
      </c>
      <c r="C3819">
        <v>0.2</v>
      </c>
    </row>
    <row r="3820" spans="1:3" ht="15" customHeight="1" x14ac:dyDescent="0.25">
      <c r="A3820" t="s">
        <v>6090</v>
      </c>
      <c r="B3820">
        <v>14.6</v>
      </c>
      <c r="C3820">
        <v>0.2</v>
      </c>
    </row>
    <row r="3821" spans="1:3" ht="15" customHeight="1" x14ac:dyDescent="0.25">
      <c r="A3821" t="s">
        <v>6091</v>
      </c>
      <c r="B3821">
        <v>10.8</v>
      </c>
      <c r="C3821">
        <v>0.2</v>
      </c>
    </row>
    <row r="3822" spans="1:3" ht="15" customHeight="1" x14ac:dyDescent="0.25">
      <c r="A3822" t="s">
        <v>6092</v>
      </c>
      <c r="B3822">
        <v>14.6</v>
      </c>
      <c r="C3822">
        <v>0.2</v>
      </c>
    </row>
    <row r="3823" spans="1:3" ht="15" customHeight="1" x14ac:dyDescent="0.25">
      <c r="A3823" t="s">
        <v>6093</v>
      </c>
      <c r="B3823">
        <v>10.8</v>
      </c>
    </row>
    <row r="3824" spans="1:3" ht="15" customHeight="1" x14ac:dyDescent="0.25">
      <c r="A3824" t="s">
        <v>6094</v>
      </c>
      <c r="B3824">
        <v>14.6</v>
      </c>
      <c r="C3824">
        <v>0.2</v>
      </c>
    </row>
    <row r="3825" spans="1:3" ht="15" customHeight="1" x14ac:dyDescent="0.25">
      <c r="A3825" t="s">
        <v>6095</v>
      </c>
      <c r="B3825">
        <v>10.8</v>
      </c>
      <c r="C3825">
        <v>0.2</v>
      </c>
    </row>
    <row r="3826" spans="1:3" ht="15" customHeight="1" x14ac:dyDescent="0.25">
      <c r="A3826" t="s">
        <v>6096</v>
      </c>
      <c r="B3826">
        <v>14.6</v>
      </c>
      <c r="C3826">
        <v>0.2</v>
      </c>
    </row>
    <row r="3827" spans="1:3" ht="15" customHeight="1" x14ac:dyDescent="0.25">
      <c r="A3827" t="s">
        <v>6097</v>
      </c>
      <c r="B3827">
        <v>10.8</v>
      </c>
      <c r="C3827">
        <v>0.2</v>
      </c>
    </row>
    <row r="3828" spans="1:3" ht="15" customHeight="1" x14ac:dyDescent="0.25">
      <c r="A3828" t="s">
        <v>6098</v>
      </c>
      <c r="B3828">
        <v>14.6</v>
      </c>
      <c r="C3828">
        <v>0.2</v>
      </c>
    </row>
    <row r="3829" spans="1:3" ht="15" customHeight="1" x14ac:dyDescent="0.25">
      <c r="A3829" t="s">
        <v>6099</v>
      </c>
      <c r="B3829">
        <v>10.8</v>
      </c>
      <c r="C3829">
        <v>0.3</v>
      </c>
    </row>
    <row r="3830" spans="1:3" ht="15" customHeight="1" x14ac:dyDescent="0.25">
      <c r="A3830" t="s">
        <v>6100</v>
      </c>
      <c r="B3830">
        <v>14.6</v>
      </c>
      <c r="C3830">
        <v>0.2</v>
      </c>
    </row>
    <row r="3831" spans="1:3" ht="15" customHeight="1" x14ac:dyDescent="0.25">
      <c r="A3831" t="s">
        <v>6101</v>
      </c>
      <c r="B3831">
        <v>10.8</v>
      </c>
      <c r="C3831">
        <v>0.2</v>
      </c>
    </row>
    <row r="3832" spans="1:3" ht="15" customHeight="1" x14ac:dyDescent="0.25">
      <c r="A3832" t="s">
        <v>6102</v>
      </c>
      <c r="B3832">
        <v>14.6</v>
      </c>
      <c r="C3832">
        <v>0.2</v>
      </c>
    </row>
    <row r="3833" spans="1:3" ht="15" customHeight="1" x14ac:dyDescent="0.25">
      <c r="A3833" t="s">
        <v>6103</v>
      </c>
      <c r="B3833">
        <v>10.8</v>
      </c>
      <c r="C3833">
        <v>0.2</v>
      </c>
    </row>
    <row r="3834" spans="1:3" ht="15" customHeight="1" x14ac:dyDescent="0.25">
      <c r="A3834" t="s">
        <v>6104</v>
      </c>
      <c r="B3834">
        <v>14.6</v>
      </c>
      <c r="C3834">
        <v>0.2</v>
      </c>
    </row>
    <row r="3835" spans="1:3" ht="15" customHeight="1" x14ac:dyDescent="0.25">
      <c r="A3835" t="s">
        <v>6105</v>
      </c>
      <c r="B3835">
        <v>10.8</v>
      </c>
      <c r="C3835">
        <v>0.2</v>
      </c>
    </row>
    <row r="3836" spans="1:3" ht="15" customHeight="1" x14ac:dyDescent="0.25">
      <c r="A3836" t="s">
        <v>6106</v>
      </c>
      <c r="B3836">
        <v>14.6</v>
      </c>
      <c r="C3836">
        <v>0.2</v>
      </c>
    </row>
    <row r="3837" spans="1:3" ht="15" customHeight="1" x14ac:dyDescent="0.25">
      <c r="A3837" t="s">
        <v>6107</v>
      </c>
      <c r="B3837">
        <v>10.8</v>
      </c>
      <c r="C3837">
        <v>0.2</v>
      </c>
    </row>
    <row r="3838" spans="1:3" ht="15" customHeight="1" x14ac:dyDescent="0.25">
      <c r="A3838" t="s">
        <v>6108</v>
      </c>
      <c r="B3838">
        <v>14.6</v>
      </c>
      <c r="C3838">
        <v>0.2</v>
      </c>
    </row>
    <row r="3839" spans="1:3" ht="15" customHeight="1" x14ac:dyDescent="0.25">
      <c r="A3839" t="s">
        <v>6109</v>
      </c>
      <c r="B3839">
        <v>10.8</v>
      </c>
      <c r="C3839">
        <v>0.2</v>
      </c>
    </row>
    <row r="3840" spans="1:3" ht="15" customHeight="1" x14ac:dyDescent="0.25">
      <c r="A3840" t="s">
        <v>6110</v>
      </c>
      <c r="B3840">
        <v>14.6</v>
      </c>
      <c r="C3840">
        <v>0.2</v>
      </c>
    </row>
    <row r="3841" spans="1:3" ht="15" customHeight="1" x14ac:dyDescent="0.25">
      <c r="A3841" t="s">
        <v>6111</v>
      </c>
      <c r="B3841">
        <v>10.8</v>
      </c>
      <c r="C3841">
        <v>0.2</v>
      </c>
    </row>
    <row r="3842" spans="1:3" ht="15" customHeight="1" x14ac:dyDescent="0.25">
      <c r="A3842" t="s">
        <v>6112</v>
      </c>
      <c r="B3842">
        <v>14.6</v>
      </c>
      <c r="C3842">
        <v>0.2</v>
      </c>
    </row>
    <row r="3843" spans="1:3" ht="15" customHeight="1" x14ac:dyDescent="0.25">
      <c r="A3843" t="s">
        <v>6113</v>
      </c>
      <c r="B3843">
        <v>10.8</v>
      </c>
      <c r="C3843">
        <v>0.2</v>
      </c>
    </row>
    <row r="3844" spans="1:3" ht="15" customHeight="1" x14ac:dyDescent="0.25">
      <c r="A3844" t="s">
        <v>6114</v>
      </c>
      <c r="B3844">
        <v>14.6</v>
      </c>
      <c r="C3844">
        <v>0.2</v>
      </c>
    </row>
    <row r="3845" spans="1:3" ht="15" customHeight="1" x14ac:dyDescent="0.25">
      <c r="A3845" t="s">
        <v>6115</v>
      </c>
      <c r="B3845">
        <v>15.3</v>
      </c>
      <c r="C3845">
        <v>0.2</v>
      </c>
    </row>
    <row r="3846" spans="1:3" ht="15" customHeight="1" x14ac:dyDescent="0.25">
      <c r="A3846" t="s">
        <v>6116</v>
      </c>
      <c r="B3846">
        <v>15.3</v>
      </c>
      <c r="C3846">
        <v>0.2</v>
      </c>
    </row>
    <row r="3847" spans="1:3" ht="15" customHeight="1" x14ac:dyDescent="0.25">
      <c r="A3847" t="s">
        <v>6117</v>
      </c>
      <c r="B3847">
        <v>15.3</v>
      </c>
      <c r="C3847">
        <v>0.2</v>
      </c>
    </row>
    <row r="3848" spans="1:3" ht="15" customHeight="1" x14ac:dyDescent="0.25">
      <c r="A3848" t="s">
        <v>6118</v>
      </c>
      <c r="B3848">
        <v>15.3</v>
      </c>
      <c r="C3848">
        <v>0.2</v>
      </c>
    </row>
    <row r="3849" spans="1:3" ht="15" customHeight="1" x14ac:dyDescent="0.25">
      <c r="A3849" t="s">
        <v>6119</v>
      </c>
      <c r="B3849">
        <v>10.8</v>
      </c>
    </row>
    <row r="3850" spans="1:3" ht="15" customHeight="1" x14ac:dyDescent="0.25">
      <c r="A3850" t="s">
        <v>6120</v>
      </c>
      <c r="B3850">
        <v>10.8</v>
      </c>
      <c r="C3850">
        <v>0.3</v>
      </c>
    </row>
    <row r="3851" spans="1:3" ht="15" customHeight="1" x14ac:dyDescent="0.25">
      <c r="A3851" t="s">
        <v>6121</v>
      </c>
      <c r="B3851">
        <v>10.8</v>
      </c>
    </row>
    <row r="3852" spans="1:3" ht="15" customHeight="1" x14ac:dyDescent="0.25">
      <c r="A3852" t="s">
        <v>6122</v>
      </c>
      <c r="B3852">
        <v>14.6</v>
      </c>
    </row>
    <row r="3853" spans="1:3" ht="15" customHeight="1" x14ac:dyDescent="0.25">
      <c r="A3853" t="s">
        <v>6123</v>
      </c>
      <c r="B3853">
        <v>14.6</v>
      </c>
      <c r="C3853">
        <v>0.2</v>
      </c>
    </row>
    <row r="3854" spans="1:3" ht="15" customHeight="1" x14ac:dyDescent="0.25">
      <c r="A3854" t="s">
        <v>6124</v>
      </c>
      <c r="B3854">
        <v>10.8</v>
      </c>
    </row>
    <row r="3855" spans="1:3" ht="15" customHeight="1" x14ac:dyDescent="0.25">
      <c r="A3855" t="s">
        <v>6125</v>
      </c>
      <c r="B3855">
        <v>14.6</v>
      </c>
      <c r="C3855">
        <v>0.3</v>
      </c>
    </row>
    <row r="3856" spans="1:3" ht="15" customHeight="1" x14ac:dyDescent="0.25">
      <c r="A3856" t="s">
        <v>6126</v>
      </c>
      <c r="B3856">
        <v>14.6</v>
      </c>
      <c r="C3856">
        <v>0.3</v>
      </c>
    </row>
    <row r="3857" spans="1:3" ht="15" customHeight="1" x14ac:dyDescent="0.25">
      <c r="A3857" t="s">
        <v>6127</v>
      </c>
      <c r="B3857">
        <v>25.7</v>
      </c>
    </row>
    <row r="3858" spans="1:3" ht="15" customHeight="1" x14ac:dyDescent="0.25">
      <c r="A3858" t="s">
        <v>6128</v>
      </c>
      <c r="B3858">
        <v>40.4</v>
      </c>
      <c r="C3858">
        <v>0.05</v>
      </c>
    </row>
    <row r="3859" spans="1:3" ht="15" customHeight="1" x14ac:dyDescent="0.25">
      <c r="A3859" t="s">
        <v>6129</v>
      </c>
      <c r="B3859">
        <v>40.4</v>
      </c>
      <c r="C3859">
        <v>0.05</v>
      </c>
    </row>
    <row r="3860" spans="1:3" ht="15" customHeight="1" x14ac:dyDescent="0.25">
      <c r="A3860" t="s">
        <v>6130</v>
      </c>
      <c r="B3860">
        <v>44.4</v>
      </c>
      <c r="C3860">
        <v>0.05</v>
      </c>
    </row>
    <row r="3861" spans="1:3" ht="15" customHeight="1" x14ac:dyDescent="0.25">
      <c r="A3861" t="s">
        <v>6131</v>
      </c>
      <c r="B3861">
        <v>39.6</v>
      </c>
      <c r="C3861">
        <v>0.05</v>
      </c>
    </row>
    <row r="3862" spans="1:3" ht="15" customHeight="1" x14ac:dyDescent="0.25">
      <c r="A3862" t="s">
        <v>6132</v>
      </c>
      <c r="B3862">
        <v>40.4</v>
      </c>
      <c r="C3862">
        <v>0.05</v>
      </c>
    </row>
    <row r="3863" spans="1:3" ht="15" customHeight="1" x14ac:dyDescent="0.25">
      <c r="A3863" t="s">
        <v>6133</v>
      </c>
      <c r="B3863">
        <v>40.4</v>
      </c>
      <c r="C3863">
        <v>0.05</v>
      </c>
    </row>
    <row r="3864" spans="1:3" ht="15" customHeight="1" x14ac:dyDescent="0.25">
      <c r="A3864" t="s">
        <v>6134</v>
      </c>
      <c r="B3864">
        <v>44.4</v>
      </c>
      <c r="C3864">
        <v>0.05</v>
      </c>
    </row>
    <row r="3865" spans="1:3" ht="15" customHeight="1" x14ac:dyDescent="0.25">
      <c r="A3865" t="s">
        <v>6135</v>
      </c>
      <c r="B3865">
        <v>39.6</v>
      </c>
      <c r="C3865">
        <v>0.05</v>
      </c>
    </row>
    <row r="3866" spans="1:3" ht="15" customHeight="1" x14ac:dyDescent="0.25">
      <c r="A3866" t="s">
        <v>6136</v>
      </c>
      <c r="B3866">
        <v>40</v>
      </c>
      <c r="C3866">
        <v>0.3</v>
      </c>
    </row>
    <row r="3867" spans="1:3" ht="15" customHeight="1" x14ac:dyDescent="0.25">
      <c r="A3867" t="s">
        <v>6137</v>
      </c>
      <c r="B3867">
        <v>40</v>
      </c>
      <c r="C3867">
        <v>0.3</v>
      </c>
    </row>
    <row r="3868" spans="1:3" ht="15" customHeight="1" x14ac:dyDescent="0.25">
      <c r="A3868" t="s">
        <v>6138</v>
      </c>
      <c r="B3868">
        <v>40</v>
      </c>
      <c r="C3868">
        <v>0.3</v>
      </c>
    </row>
    <row r="3869" spans="1:3" ht="15" customHeight="1" x14ac:dyDescent="0.25">
      <c r="A3869" t="s">
        <v>6139</v>
      </c>
      <c r="B3869">
        <v>40</v>
      </c>
      <c r="C3869">
        <v>0.3</v>
      </c>
    </row>
    <row r="3870" spans="1:3" ht="15" customHeight="1" x14ac:dyDescent="0.25">
      <c r="A3870" t="s">
        <v>6140</v>
      </c>
      <c r="B3870">
        <v>40</v>
      </c>
      <c r="C3870">
        <v>0.3</v>
      </c>
    </row>
    <row r="3871" spans="1:3" ht="15" customHeight="1" x14ac:dyDescent="0.25">
      <c r="A3871" t="s">
        <v>6141</v>
      </c>
      <c r="B3871">
        <v>40</v>
      </c>
      <c r="C3871">
        <v>0.3</v>
      </c>
    </row>
    <row r="3872" spans="1:3" ht="15" customHeight="1" x14ac:dyDescent="0.25">
      <c r="A3872" t="s">
        <v>6142</v>
      </c>
      <c r="B3872">
        <v>37</v>
      </c>
      <c r="C3872">
        <v>0.2</v>
      </c>
    </row>
    <row r="3873" spans="1:3" ht="15" customHeight="1" x14ac:dyDescent="0.25">
      <c r="A3873" t="s">
        <v>6143</v>
      </c>
      <c r="B3873">
        <v>37</v>
      </c>
      <c r="C3873">
        <v>0.2</v>
      </c>
    </row>
    <row r="3874" spans="1:3" ht="15" customHeight="1" x14ac:dyDescent="0.25">
      <c r="A3874" t="s">
        <v>6144</v>
      </c>
      <c r="B3874">
        <v>37</v>
      </c>
      <c r="C3874">
        <v>0.2</v>
      </c>
    </row>
    <row r="3875" spans="1:3" ht="15" customHeight="1" x14ac:dyDescent="0.25">
      <c r="A3875" t="s">
        <v>6145</v>
      </c>
      <c r="B3875">
        <v>37</v>
      </c>
      <c r="C3875">
        <v>0.2</v>
      </c>
    </row>
    <row r="3876" spans="1:3" ht="15" customHeight="1" x14ac:dyDescent="0.25">
      <c r="A3876" t="s">
        <v>6146</v>
      </c>
      <c r="B3876">
        <v>37</v>
      </c>
      <c r="C3876">
        <v>0.2</v>
      </c>
    </row>
    <row r="3877" spans="1:3" ht="15" customHeight="1" x14ac:dyDescent="0.25">
      <c r="A3877" t="s">
        <v>6147</v>
      </c>
      <c r="B3877">
        <v>33.9</v>
      </c>
      <c r="C3877">
        <v>0.2</v>
      </c>
    </row>
    <row r="3878" spans="1:3" ht="15" customHeight="1" x14ac:dyDescent="0.25">
      <c r="A3878" t="s">
        <v>6148</v>
      </c>
      <c r="B3878">
        <v>33.9</v>
      </c>
      <c r="C3878">
        <v>0.2</v>
      </c>
    </row>
    <row r="3879" spans="1:3" ht="15" customHeight="1" x14ac:dyDescent="0.25">
      <c r="A3879" t="s">
        <v>6149</v>
      </c>
      <c r="B3879">
        <v>33.9</v>
      </c>
      <c r="C3879">
        <v>0.2</v>
      </c>
    </row>
    <row r="3880" spans="1:3" ht="15" customHeight="1" x14ac:dyDescent="0.25">
      <c r="A3880" t="s">
        <v>6150</v>
      </c>
      <c r="B3880">
        <v>33.9</v>
      </c>
      <c r="C3880">
        <v>0.2</v>
      </c>
    </row>
    <row r="3881" spans="1:3" ht="15" customHeight="1" x14ac:dyDescent="0.25">
      <c r="A3881" t="s">
        <v>6151</v>
      </c>
      <c r="B3881">
        <v>33.9</v>
      </c>
      <c r="C3881">
        <v>0.2</v>
      </c>
    </row>
    <row r="3882" spans="1:3" ht="15" customHeight="1" x14ac:dyDescent="0.25">
      <c r="A3882" t="s">
        <v>6152</v>
      </c>
      <c r="B3882">
        <v>32.799999999999997</v>
      </c>
      <c r="C3882">
        <v>0.05</v>
      </c>
    </row>
    <row r="3883" spans="1:3" ht="15" customHeight="1" x14ac:dyDescent="0.25">
      <c r="A3883" t="s">
        <v>6153</v>
      </c>
      <c r="B3883">
        <v>32.799999999999997</v>
      </c>
      <c r="C3883">
        <v>0.05</v>
      </c>
    </row>
    <row r="3884" spans="1:3" ht="15" customHeight="1" x14ac:dyDescent="0.25">
      <c r="A3884" t="s">
        <v>6154</v>
      </c>
      <c r="B3884">
        <v>19.899999999999999</v>
      </c>
      <c r="C3884">
        <v>0.2</v>
      </c>
    </row>
    <row r="3885" spans="1:3" ht="15" customHeight="1" x14ac:dyDescent="0.25">
      <c r="A3885" t="s">
        <v>6155</v>
      </c>
      <c r="B3885">
        <v>19.899999999999999</v>
      </c>
      <c r="C3885">
        <v>0.2</v>
      </c>
    </row>
    <row r="3886" spans="1:3" ht="15" customHeight="1" x14ac:dyDescent="0.25">
      <c r="A3886" t="s">
        <v>6156</v>
      </c>
      <c r="B3886">
        <v>19.899999999999999</v>
      </c>
      <c r="C3886">
        <v>0.2</v>
      </c>
    </row>
    <row r="3887" spans="1:3" ht="15" customHeight="1" x14ac:dyDescent="0.25">
      <c r="A3887" t="s">
        <v>6157</v>
      </c>
      <c r="B3887">
        <v>19.899999999999999</v>
      </c>
      <c r="C3887">
        <v>0.2</v>
      </c>
    </row>
    <row r="3888" spans="1:3" ht="15" customHeight="1" x14ac:dyDescent="0.25">
      <c r="A3888" t="s">
        <v>6158</v>
      </c>
      <c r="B3888">
        <v>19.899999999999999</v>
      </c>
      <c r="C3888">
        <v>0.2</v>
      </c>
    </row>
    <row r="3889" spans="1:3" ht="15" customHeight="1" x14ac:dyDescent="0.25">
      <c r="A3889" t="s">
        <v>6159</v>
      </c>
      <c r="B3889">
        <v>19.899999999999999</v>
      </c>
      <c r="C3889">
        <v>0.2</v>
      </c>
    </row>
    <row r="3890" spans="1:3" ht="15" customHeight="1" x14ac:dyDescent="0.25">
      <c r="A3890" t="s">
        <v>6160</v>
      </c>
      <c r="B3890">
        <v>19.899999999999999</v>
      </c>
      <c r="C3890">
        <v>0.2</v>
      </c>
    </row>
    <row r="3891" spans="1:3" ht="15" customHeight="1" x14ac:dyDescent="0.25">
      <c r="A3891" t="s">
        <v>6161</v>
      </c>
      <c r="B3891">
        <v>19.899999999999999</v>
      </c>
      <c r="C3891">
        <v>0.2</v>
      </c>
    </row>
    <row r="3892" spans="1:3" ht="15" customHeight="1" x14ac:dyDescent="0.25">
      <c r="A3892" t="s">
        <v>6162</v>
      </c>
      <c r="B3892">
        <v>19.899999999999999</v>
      </c>
      <c r="C3892">
        <v>0.2</v>
      </c>
    </row>
    <row r="3893" spans="1:3" ht="15" customHeight="1" x14ac:dyDescent="0.25">
      <c r="A3893" t="s">
        <v>6163</v>
      </c>
      <c r="B3893">
        <v>19.899999999999999</v>
      </c>
      <c r="C3893">
        <v>0.2</v>
      </c>
    </row>
    <row r="3894" spans="1:3" ht="15" customHeight="1" x14ac:dyDescent="0.25">
      <c r="A3894" t="s">
        <v>6164</v>
      </c>
      <c r="B3894">
        <v>19.899999999999999</v>
      </c>
      <c r="C3894">
        <v>0.2</v>
      </c>
    </row>
    <row r="3895" spans="1:3" ht="15" customHeight="1" x14ac:dyDescent="0.25">
      <c r="A3895" t="s">
        <v>6165</v>
      </c>
      <c r="B3895">
        <v>19.899999999999999</v>
      </c>
      <c r="C3895">
        <v>0.2</v>
      </c>
    </row>
    <row r="3896" spans="1:3" ht="15" customHeight="1" x14ac:dyDescent="0.25">
      <c r="A3896" t="s">
        <v>6166</v>
      </c>
      <c r="B3896">
        <v>19.899999999999999</v>
      </c>
      <c r="C3896">
        <v>0.2</v>
      </c>
    </row>
    <row r="3897" spans="1:3" ht="15" customHeight="1" x14ac:dyDescent="0.25">
      <c r="A3897" t="s">
        <v>6167</v>
      </c>
      <c r="B3897">
        <v>19.899999999999999</v>
      </c>
      <c r="C3897">
        <v>0.2</v>
      </c>
    </row>
    <row r="3898" spans="1:3" ht="15" customHeight="1" x14ac:dyDescent="0.25">
      <c r="A3898" t="s">
        <v>6168</v>
      </c>
      <c r="B3898">
        <v>19.899999999999999</v>
      </c>
      <c r="C3898">
        <v>0.2</v>
      </c>
    </row>
    <row r="3899" spans="1:3" ht="15" customHeight="1" x14ac:dyDescent="0.25">
      <c r="A3899" t="s">
        <v>6169</v>
      </c>
      <c r="B3899">
        <v>19.899999999999999</v>
      </c>
      <c r="C3899">
        <v>0.2</v>
      </c>
    </row>
    <row r="3900" spans="1:3" ht="15" customHeight="1" x14ac:dyDescent="0.25">
      <c r="A3900" t="s">
        <v>6170</v>
      </c>
      <c r="B3900">
        <v>19.899999999999999</v>
      </c>
      <c r="C3900">
        <v>0.2</v>
      </c>
    </row>
    <row r="3901" spans="1:3" ht="15" customHeight="1" x14ac:dyDescent="0.25">
      <c r="A3901" t="s">
        <v>6171</v>
      </c>
      <c r="B3901">
        <v>19.899999999999999</v>
      </c>
      <c r="C3901">
        <v>0.2</v>
      </c>
    </row>
    <row r="3902" spans="1:3" ht="15" customHeight="1" x14ac:dyDescent="0.25">
      <c r="A3902" t="s">
        <v>6172</v>
      </c>
      <c r="B3902">
        <v>19.899999999999999</v>
      </c>
      <c r="C3902">
        <v>0.2</v>
      </c>
    </row>
    <row r="3903" spans="1:3" ht="15" customHeight="1" x14ac:dyDescent="0.25">
      <c r="A3903" t="s">
        <v>6173</v>
      </c>
      <c r="B3903">
        <v>19.899999999999999</v>
      </c>
      <c r="C3903">
        <v>0.2</v>
      </c>
    </row>
    <row r="3904" spans="1:3" ht="15" customHeight="1" x14ac:dyDescent="0.25">
      <c r="A3904" t="s">
        <v>6174</v>
      </c>
      <c r="B3904">
        <v>19.899999999999999</v>
      </c>
      <c r="C3904">
        <v>0.2</v>
      </c>
    </row>
    <row r="3905" spans="1:3" ht="15" customHeight="1" x14ac:dyDescent="0.25">
      <c r="A3905" t="s">
        <v>6175</v>
      </c>
      <c r="B3905">
        <v>19.899999999999999</v>
      </c>
      <c r="C3905">
        <v>0.2</v>
      </c>
    </row>
    <row r="3906" spans="1:3" ht="15" customHeight="1" x14ac:dyDescent="0.25">
      <c r="A3906" t="s">
        <v>6176</v>
      </c>
      <c r="B3906">
        <v>19.899999999999999</v>
      </c>
      <c r="C3906">
        <v>0.2</v>
      </c>
    </row>
    <row r="3907" spans="1:3" ht="15" customHeight="1" x14ac:dyDescent="0.25">
      <c r="A3907" t="s">
        <v>6177</v>
      </c>
      <c r="B3907">
        <v>19.899999999999999</v>
      </c>
      <c r="C3907">
        <v>0.2</v>
      </c>
    </row>
    <row r="3908" spans="1:3" ht="15" customHeight="1" x14ac:dyDescent="0.25">
      <c r="A3908" t="s">
        <v>6178</v>
      </c>
      <c r="B3908">
        <v>19.899999999999999</v>
      </c>
      <c r="C3908">
        <v>0.2</v>
      </c>
    </row>
    <row r="3909" spans="1:3" ht="15" customHeight="1" x14ac:dyDescent="0.25">
      <c r="A3909" t="s">
        <v>6179</v>
      </c>
      <c r="B3909">
        <v>19.899999999999999</v>
      </c>
      <c r="C3909">
        <v>0.2</v>
      </c>
    </row>
    <row r="3910" spans="1:3" ht="15" customHeight="1" x14ac:dyDescent="0.25">
      <c r="A3910" t="s">
        <v>6180</v>
      </c>
      <c r="B3910">
        <v>19.899999999999999</v>
      </c>
      <c r="C3910">
        <v>0.2</v>
      </c>
    </row>
    <row r="3911" spans="1:3" ht="15" customHeight="1" x14ac:dyDescent="0.25">
      <c r="A3911" t="s">
        <v>6181</v>
      </c>
      <c r="B3911">
        <v>19.899999999999999</v>
      </c>
      <c r="C3911">
        <v>0.2</v>
      </c>
    </row>
    <row r="3912" spans="1:3" ht="15" customHeight="1" x14ac:dyDescent="0.25">
      <c r="A3912" t="s">
        <v>6182</v>
      </c>
      <c r="B3912">
        <v>19.899999999999999</v>
      </c>
      <c r="C3912">
        <v>0.2</v>
      </c>
    </row>
    <row r="3913" spans="1:3" ht="15" customHeight="1" x14ac:dyDescent="0.25">
      <c r="A3913" t="s">
        <v>6183</v>
      </c>
      <c r="B3913">
        <v>19.899999999999999</v>
      </c>
      <c r="C3913">
        <v>0.2</v>
      </c>
    </row>
    <row r="3914" spans="1:3" ht="15" customHeight="1" x14ac:dyDescent="0.25">
      <c r="A3914" t="s">
        <v>6184</v>
      </c>
      <c r="B3914">
        <v>19.899999999999999</v>
      </c>
      <c r="C3914">
        <v>0.2</v>
      </c>
    </row>
    <row r="3915" spans="1:3" ht="15" customHeight="1" x14ac:dyDescent="0.25">
      <c r="A3915" t="s">
        <v>6185</v>
      </c>
      <c r="B3915">
        <v>19.899999999999999</v>
      </c>
      <c r="C3915">
        <v>0.2</v>
      </c>
    </row>
    <row r="3916" spans="1:3" ht="15" customHeight="1" x14ac:dyDescent="0.25">
      <c r="A3916" t="s">
        <v>6186</v>
      </c>
      <c r="B3916">
        <v>19.899999999999999</v>
      </c>
      <c r="C3916">
        <v>0.2</v>
      </c>
    </row>
    <row r="3917" spans="1:3" ht="15" customHeight="1" x14ac:dyDescent="0.25">
      <c r="A3917" t="s">
        <v>6187</v>
      </c>
      <c r="B3917">
        <v>19.899999999999999</v>
      </c>
      <c r="C3917">
        <v>0.2</v>
      </c>
    </row>
    <row r="3918" spans="1:3" ht="15" customHeight="1" x14ac:dyDescent="0.25">
      <c r="A3918" t="s">
        <v>6188</v>
      </c>
      <c r="B3918">
        <v>19.899999999999999</v>
      </c>
      <c r="C3918">
        <v>0.2</v>
      </c>
    </row>
    <row r="3919" spans="1:3" ht="15" customHeight="1" x14ac:dyDescent="0.25">
      <c r="A3919" t="s">
        <v>6189</v>
      </c>
      <c r="B3919">
        <v>19.899999999999999</v>
      </c>
      <c r="C3919">
        <v>0.2</v>
      </c>
    </row>
    <row r="3920" spans="1:3" ht="15" customHeight="1" x14ac:dyDescent="0.25">
      <c r="A3920" t="s">
        <v>6190</v>
      </c>
      <c r="B3920">
        <v>19.899999999999999</v>
      </c>
      <c r="C3920">
        <v>0.2</v>
      </c>
    </row>
    <row r="3921" spans="1:3" ht="15" customHeight="1" x14ac:dyDescent="0.25">
      <c r="A3921" t="s">
        <v>6191</v>
      </c>
      <c r="B3921">
        <v>19.899999999999999</v>
      </c>
      <c r="C3921">
        <v>0.2</v>
      </c>
    </row>
    <row r="3922" spans="1:3" ht="15" customHeight="1" x14ac:dyDescent="0.25">
      <c r="A3922" t="s">
        <v>6192</v>
      </c>
      <c r="B3922">
        <v>19.899999999999999</v>
      </c>
      <c r="C3922">
        <v>0.2</v>
      </c>
    </row>
    <row r="3923" spans="1:3" ht="15" customHeight="1" x14ac:dyDescent="0.25">
      <c r="A3923" t="s">
        <v>6193</v>
      </c>
      <c r="B3923">
        <v>23.1</v>
      </c>
      <c r="C3923">
        <v>0.03</v>
      </c>
    </row>
    <row r="3924" spans="1:3" ht="15" customHeight="1" x14ac:dyDescent="0.25">
      <c r="A3924" t="s">
        <v>6194</v>
      </c>
      <c r="B3924">
        <v>23.1</v>
      </c>
      <c r="C3924">
        <v>0.03</v>
      </c>
    </row>
    <row r="3925" spans="1:3" ht="15" customHeight="1" x14ac:dyDescent="0.25">
      <c r="A3925" t="s">
        <v>6195</v>
      </c>
      <c r="B3925">
        <v>23.1</v>
      </c>
      <c r="C3925">
        <v>0.03</v>
      </c>
    </row>
    <row r="3926" spans="1:3" ht="15" customHeight="1" x14ac:dyDescent="0.25">
      <c r="A3926" t="s">
        <v>6196</v>
      </c>
      <c r="B3926">
        <v>23.1</v>
      </c>
      <c r="C3926">
        <v>0.03</v>
      </c>
    </row>
    <row r="3927" spans="1:3" ht="15" customHeight="1" x14ac:dyDescent="0.25">
      <c r="A3927" t="s">
        <v>6197</v>
      </c>
      <c r="B3927">
        <v>23.1</v>
      </c>
      <c r="C3927">
        <v>0.03</v>
      </c>
    </row>
    <row r="3928" spans="1:3" ht="15" customHeight="1" x14ac:dyDescent="0.25">
      <c r="A3928" t="s">
        <v>6198</v>
      </c>
      <c r="B3928">
        <v>23.1</v>
      </c>
      <c r="C3928">
        <v>0.03</v>
      </c>
    </row>
    <row r="3929" spans="1:3" ht="15" customHeight="1" x14ac:dyDescent="0.25">
      <c r="A3929" t="s">
        <v>6199</v>
      </c>
      <c r="B3929">
        <v>23.1</v>
      </c>
      <c r="C3929">
        <v>0.03</v>
      </c>
    </row>
    <row r="3930" spans="1:3" ht="15" customHeight="1" x14ac:dyDescent="0.25">
      <c r="A3930" t="s">
        <v>6200</v>
      </c>
      <c r="B3930">
        <v>23.1</v>
      </c>
      <c r="C3930">
        <v>0.03</v>
      </c>
    </row>
    <row r="3931" spans="1:3" ht="15" customHeight="1" x14ac:dyDescent="0.25">
      <c r="A3931" t="s">
        <v>6201</v>
      </c>
      <c r="B3931">
        <v>23.1</v>
      </c>
      <c r="C3931">
        <v>0.03</v>
      </c>
    </row>
    <row r="3932" spans="1:3" ht="15" customHeight="1" x14ac:dyDescent="0.25">
      <c r="A3932" t="s">
        <v>6202</v>
      </c>
      <c r="B3932">
        <v>23.1</v>
      </c>
      <c r="C3932">
        <v>0.03</v>
      </c>
    </row>
    <row r="3933" spans="1:3" ht="15" customHeight="1" x14ac:dyDescent="0.25">
      <c r="A3933" t="s">
        <v>6203</v>
      </c>
      <c r="B3933">
        <v>23.1</v>
      </c>
      <c r="C3933">
        <v>0.03</v>
      </c>
    </row>
    <row r="3934" spans="1:3" ht="15" customHeight="1" x14ac:dyDescent="0.25">
      <c r="A3934" t="s">
        <v>6204</v>
      </c>
      <c r="B3934">
        <v>23.1</v>
      </c>
      <c r="C3934">
        <v>0.03</v>
      </c>
    </row>
    <row r="3935" spans="1:3" ht="15" customHeight="1" x14ac:dyDescent="0.25">
      <c r="A3935" t="s">
        <v>6205</v>
      </c>
      <c r="B3935">
        <v>51.5</v>
      </c>
      <c r="C3935">
        <v>0.2</v>
      </c>
    </row>
    <row r="3936" spans="1:3" ht="15" customHeight="1" x14ac:dyDescent="0.25">
      <c r="A3936" t="s">
        <v>6206</v>
      </c>
      <c r="B3936">
        <v>51.5</v>
      </c>
      <c r="C3936">
        <v>0.2</v>
      </c>
    </row>
    <row r="3937" spans="1:3" ht="15" customHeight="1" x14ac:dyDescent="0.25">
      <c r="A3937" t="s">
        <v>6207</v>
      </c>
      <c r="B3937">
        <v>51.5</v>
      </c>
      <c r="C3937">
        <v>0.2</v>
      </c>
    </row>
    <row r="3938" spans="1:3" ht="15" customHeight="1" x14ac:dyDescent="0.25">
      <c r="A3938" t="s">
        <v>6208</v>
      </c>
      <c r="B3938">
        <v>51.5</v>
      </c>
      <c r="C3938">
        <v>0.2</v>
      </c>
    </row>
    <row r="3939" spans="1:3" ht="15" customHeight="1" x14ac:dyDescent="0.25">
      <c r="A3939" t="s">
        <v>6209</v>
      </c>
      <c r="B3939">
        <v>51.5</v>
      </c>
      <c r="C3939">
        <v>0.2</v>
      </c>
    </row>
    <row r="3940" spans="1:3" ht="15" customHeight="1" x14ac:dyDescent="0.25">
      <c r="A3940" t="s">
        <v>6210</v>
      </c>
      <c r="B3940">
        <v>51.5</v>
      </c>
      <c r="C3940">
        <v>0.2</v>
      </c>
    </row>
    <row r="3941" spans="1:3" ht="15" customHeight="1" x14ac:dyDescent="0.25">
      <c r="A3941" t="s">
        <v>6211</v>
      </c>
      <c r="B3941">
        <v>44.3</v>
      </c>
      <c r="C3941">
        <v>0.05</v>
      </c>
    </row>
    <row r="3942" spans="1:3" ht="15" customHeight="1" x14ac:dyDescent="0.25">
      <c r="A3942" t="s">
        <v>6212</v>
      </c>
      <c r="B3942">
        <v>44.3</v>
      </c>
      <c r="C3942">
        <v>0.05</v>
      </c>
    </row>
    <row r="3943" spans="1:3" ht="15" customHeight="1" x14ac:dyDescent="0.25">
      <c r="A3943" t="s">
        <v>6213</v>
      </c>
      <c r="B3943">
        <v>44.3</v>
      </c>
      <c r="C3943">
        <v>0.05</v>
      </c>
    </row>
    <row r="3944" spans="1:3" ht="15" customHeight="1" x14ac:dyDescent="0.25">
      <c r="A3944" t="s">
        <v>6214</v>
      </c>
      <c r="B3944">
        <v>44.3</v>
      </c>
      <c r="C3944">
        <v>0.05</v>
      </c>
    </row>
    <row r="3945" spans="1:3" ht="15" customHeight="1" x14ac:dyDescent="0.25">
      <c r="A3945" t="s">
        <v>6215</v>
      </c>
      <c r="B3945">
        <v>44.3</v>
      </c>
      <c r="C3945">
        <v>0.05</v>
      </c>
    </row>
    <row r="3946" spans="1:3" ht="15" customHeight="1" x14ac:dyDescent="0.25">
      <c r="A3946" t="s">
        <v>6216</v>
      </c>
      <c r="B3946">
        <v>44.3</v>
      </c>
      <c r="C3946">
        <v>0.05</v>
      </c>
    </row>
    <row r="3947" spans="1:3" ht="15" customHeight="1" x14ac:dyDescent="0.25">
      <c r="A3947" t="s">
        <v>6217</v>
      </c>
      <c r="B3947">
        <v>44.3</v>
      </c>
      <c r="C3947">
        <v>0.05</v>
      </c>
    </row>
    <row r="3948" spans="1:3" ht="15" customHeight="1" x14ac:dyDescent="0.25">
      <c r="A3948" t="s">
        <v>6218</v>
      </c>
      <c r="B3948">
        <v>44.3</v>
      </c>
      <c r="C3948">
        <v>0.05</v>
      </c>
    </row>
    <row r="3949" spans="1:3" ht="15" customHeight="1" x14ac:dyDescent="0.25">
      <c r="A3949" t="s">
        <v>6219</v>
      </c>
      <c r="B3949">
        <v>42.8</v>
      </c>
      <c r="C3949">
        <v>0.1</v>
      </c>
    </row>
    <row r="3950" spans="1:3" ht="15" customHeight="1" x14ac:dyDescent="0.25">
      <c r="A3950" t="s">
        <v>6220</v>
      </c>
      <c r="B3950">
        <v>42.8</v>
      </c>
      <c r="C3950">
        <v>0.1</v>
      </c>
    </row>
    <row r="3951" spans="1:3" ht="15" customHeight="1" x14ac:dyDescent="0.25">
      <c r="A3951" t="s">
        <v>6221</v>
      </c>
      <c r="B3951">
        <v>42.8</v>
      </c>
      <c r="C3951">
        <v>0.1</v>
      </c>
    </row>
    <row r="3952" spans="1:3" ht="15" customHeight="1" x14ac:dyDescent="0.25">
      <c r="A3952" t="s">
        <v>6222</v>
      </c>
      <c r="B3952">
        <v>42.8</v>
      </c>
      <c r="C3952">
        <v>0.1</v>
      </c>
    </row>
    <row r="3953" spans="1:3" ht="15" customHeight="1" x14ac:dyDescent="0.25">
      <c r="A3953" t="s">
        <v>6223</v>
      </c>
      <c r="B3953">
        <v>42.8</v>
      </c>
      <c r="C3953">
        <v>0.1</v>
      </c>
    </row>
    <row r="3954" spans="1:3" ht="15" customHeight="1" x14ac:dyDescent="0.25">
      <c r="A3954" t="s">
        <v>6224</v>
      </c>
      <c r="B3954">
        <v>42.8</v>
      </c>
      <c r="C3954">
        <v>0.1</v>
      </c>
    </row>
    <row r="3955" spans="1:3" ht="15" customHeight="1" x14ac:dyDescent="0.25">
      <c r="A3955" t="s">
        <v>6225</v>
      </c>
      <c r="B3955">
        <v>35.9</v>
      </c>
      <c r="C3955">
        <v>0.2</v>
      </c>
    </row>
    <row r="3956" spans="1:3" ht="15" customHeight="1" x14ac:dyDescent="0.25">
      <c r="A3956" t="s">
        <v>6226</v>
      </c>
      <c r="B3956">
        <v>35.9</v>
      </c>
      <c r="C3956">
        <v>0.2</v>
      </c>
    </row>
    <row r="3957" spans="1:3" ht="15" customHeight="1" x14ac:dyDescent="0.25">
      <c r="A3957" t="s">
        <v>6227</v>
      </c>
      <c r="B3957">
        <v>35.9</v>
      </c>
      <c r="C3957">
        <v>0.2</v>
      </c>
    </row>
    <row r="3958" spans="1:3" ht="15" customHeight="1" x14ac:dyDescent="0.25">
      <c r="A3958" t="s">
        <v>6228</v>
      </c>
      <c r="B3958">
        <v>35.9</v>
      </c>
      <c r="C3958">
        <v>0.2</v>
      </c>
    </row>
    <row r="3959" spans="1:3" ht="15" customHeight="1" x14ac:dyDescent="0.25">
      <c r="A3959" t="s">
        <v>6229</v>
      </c>
      <c r="B3959">
        <v>35.9</v>
      </c>
      <c r="C3959">
        <v>0.2</v>
      </c>
    </row>
    <row r="3960" spans="1:3" ht="15" customHeight="1" x14ac:dyDescent="0.25">
      <c r="A3960" t="s">
        <v>6230</v>
      </c>
      <c r="B3960">
        <v>35.9</v>
      </c>
      <c r="C3960">
        <v>0.2</v>
      </c>
    </row>
    <row r="3961" spans="1:3" ht="15" customHeight="1" x14ac:dyDescent="0.25">
      <c r="A3961" t="s">
        <v>6231</v>
      </c>
      <c r="B3961">
        <v>35.9</v>
      </c>
      <c r="C3961">
        <v>0.2</v>
      </c>
    </row>
    <row r="3962" spans="1:3" ht="15" customHeight="1" x14ac:dyDescent="0.25">
      <c r="A3962" t="s">
        <v>6232</v>
      </c>
      <c r="B3962">
        <v>35.9</v>
      </c>
      <c r="C3962">
        <v>0.2</v>
      </c>
    </row>
    <row r="3963" spans="1:3" ht="15" customHeight="1" x14ac:dyDescent="0.25">
      <c r="A3963" t="s">
        <v>6233</v>
      </c>
      <c r="B3963">
        <v>35.9</v>
      </c>
      <c r="C3963">
        <v>0.2</v>
      </c>
    </row>
    <row r="3964" spans="1:3" ht="15" customHeight="1" x14ac:dyDescent="0.25">
      <c r="A3964" t="s">
        <v>6234</v>
      </c>
      <c r="B3964">
        <v>35.9</v>
      </c>
      <c r="C3964">
        <v>0.2</v>
      </c>
    </row>
    <row r="3965" spans="1:3" ht="15" customHeight="1" x14ac:dyDescent="0.25">
      <c r="A3965" t="s">
        <v>6235</v>
      </c>
      <c r="B3965">
        <v>35.9</v>
      </c>
      <c r="C3965">
        <v>0.2</v>
      </c>
    </row>
    <row r="3966" spans="1:3" ht="15" customHeight="1" x14ac:dyDescent="0.25">
      <c r="A3966" t="s">
        <v>6236</v>
      </c>
      <c r="B3966">
        <v>35.9</v>
      </c>
      <c r="C3966">
        <v>0.2</v>
      </c>
    </row>
    <row r="3967" spans="1:3" ht="15" customHeight="1" x14ac:dyDescent="0.25">
      <c r="A3967" t="s">
        <v>6237</v>
      </c>
      <c r="B3967">
        <v>40.9</v>
      </c>
      <c r="C3967">
        <v>0.2</v>
      </c>
    </row>
    <row r="3968" spans="1:3" ht="15" customHeight="1" x14ac:dyDescent="0.25">
      <c r="A3968" t="s">
        <v>6238</v>
      </c>
      <c r="B3968">
        <v>40.9</v>
      </c>
      <c r="C3968">
        <v>0.2</v>
      </c>
    </row>
    <row r="3969" spans="1:3" ht="15" customHeight="1" x14ac:dyDescent="0.25">
      <c r="A3969" t="s">
        <v>6239</v>
      </c>
      <c r="B3969">
        <v>40.9</v>
      </c>
      <c r="C3969">
        <v>0.2</v>
      </c>
    </row>
    <row r="3970" spans="1:3" ht="15" customHeight="1" x14ac:dyDescent="0.25">
      <c r="A3970" t="s">
        <v>6240</v>
      </c>
      <c r="B3970">
        <v>40.9</v>
      </c>
      <c r="C3970">
        <v>0.2</v>
      </c>
    </row>
    <row r="3971" spans="1:3" ht="15" customHeight="1" x14ac:dyDescent="0.25">
      <c r="A3971" t="s">
        <v>6241</v>
      </c>
      <c r="B3971">
        <v>40.9</v>
      </c>
      <c r="C3971">
        <v>0.2</v>
      </c>
    </row>
    <row r="3972" spans="1:3" ht="15" customHeight="1" x14ac:dyDescent="0.25">
      <c r="A3972" t="s">
        <v>6242</v>
      </c>
      <c r="B3972">
        <v>40.9</v>
      </c>
      <c r="C3972">
        <v>0.2</v>
      </c>
    </row>
    <row r="3973" spans="1:3" ht="15" customHeight="1" x14ac:dyDescent="0.25">
      <c r="A3973" t="s">
        <v>6243</v>
      </c>
      <c r="B3973">
        <v>40.9</v>
      </c>
      <c r="C3973">
        <v>0.2</v>
      </c>
    </row>
    <row r="3974" spans="1:3" ht="15" customHeight="1" x14ac:dyDescent="0.25">
      <c r="A3974" t="s">
        <v>6244</v>
      </c>
      <c r="B3974">
        <v>40.9</v>
      </c>
      <c r="C3974">
        <v>0.2</v>
      </c>
    </row>
    <row r="3975" spans="1:3" ht="15" customHeight="1" x14ac:dyDescent="0.25">
      <c r="A3975" t="s">
        <v>6245</v>
      </c>
      <c r="B3975">
        <v>40.9</v>
      </c>
      <c r="C3975">
        <v>0.2</v>
      </c>
    </row>
    <row r="3976" spans="1:3" ht="15" customHeight="1" x14ac:dyDescent="0.25">
      <c r="A3976" t="s">
        <v>6246</v>
      </c>
      <c r="B3976">
        <v>40.9</v>
      </c>
      <c r="C3976">
        <v>0.2</v>
      </c>
    </row>
    <row r="3977" spans="1:3" ht="15" customHeight="1" x14ac:dyDescent="0.25">
      <c r="A3977" t="s">
        <v>6247</v>
      </c>
      <c r="B3977">
        <v>40.9</v>
      </c>
      <c r="C3977">
        <v>0.2</v>
      </c>
    </row>
    <row r="3978" spans="1:3" ht="15" customHeight="1" x14ac:dyDescent="0.25">
      <c r="A3978" t="s">
        <v>6248</v>
      </c>
      <c r="B3978">
        <v>40.9</v>
      </c>
      <c r="C3978">
        <v>0.2</v>
      </c>
    </row>
    <row r="3979" spans="1:3" ht="15" customHeight="1" x14ac:dyDescent="0.25">
      <c r="A3979" t="s">
        <v>6249</v>
      </c>
      <c r="B3979">
        <v>35.4</v>
      </c>
      <c r="C3979">
        <v>0.2</v>
      </c>
    </row>
    <row r="3980" spans="1:3" ht="15" customHeight="1" x14ac:dyDescent="0.25">
      <c r="A3980" t="s">
        <v>6250</v>
      </c>
      <c r="B3980">
        <v>35.4</v>
      </c>
      <c r="C3980">
        <v>0.2</v>
      </c>
    </row>
    <row r="3981" spans="1:3" ht="15" customHeight="1" x14ac:dyDescent="0.25">
      <c r="A3981" t="s">
        <v>6251</v>
      </c>
      <c r="B3981">
        <v>27.9</v>
      </c>
      <c r="C3981">
        <v>0.2</v>
      </c>
    </row>
    <row r="3982" spans="1:3" ht="15" customHeight="1" x14ac:dyDescent="0.25">
      <c r="A3982" t="s">
        <v>6252</v>
      </c>
      <c r="B3982">
        <v>27.9</v>
      </c>
      <c r="C3982">
        <v>0.2</v>
      </c>
    </row>
    <row r="3983" spans="1:3" ht="15" customHeight="1" x14ac:dyDescent="0.25">
      <c r="A3983" t="s">
        <v>6253</v>
      </c>
      <c r="B3983">
        <v>27.9</v>
      </c>
      <c r="C3983">
        <v>0.2</v>
      </c>
    </row>
    <row r="3984" spans="1:3" ht="15" customHeight="1" x14ac:dyDescent="0.25">
      <c r="A3984" t="s">
        <v>6254</v>
      </c>
      <c r="B3984">
        <v>27.9</v>
      </c>
      <c r="C3984">
        <v>0.2</v>
      </c>
    </row>
    <row r="3985" spans="1:3" ht="15" customHeight="1" x14ac:dyDescent="0.25">
      <c r="A3985" t="s">
        <v>1196</v>
      </c>
      <c r="B3985">
        <v>27.9</v>
      </c>
      <c r="C3985">
        <v>0.2</v>
      </c>
    </row>
    <row r="3986" spans="1:3" ht="15" customHeight="1" x14ac:dyDescent="0.25">
      <c r="A3986" t="s">
        <v>6255</v>
      </c>
      <c r="B3986">
        <v>27.9</v>
      </c>
      <c r="C3986">
        <v>0.2</v>
      </c>
    </row>
    <row r="3987" spans="1:3" ht="15" customHeight="1" x14ac:dyDescent="0.25">
      <c r="A3987" t="s">
        <v>6256</v>
      </c>
      <c r="B3987">
        <v>27.9</v>
      </c>
      <c r="C3987">
        <v>0.2</v>
      </c>
    </row>
    <row r="3988" spans="1:3" ht="15" customHeight="1" x14ac:dyDescent="0.25">
      <c r="A3988" t="s">
        <v>6257</v>
      </c>
      <c r="B3988">
        <v>27.9</v>
      </c>
      <c r="C3988">
        <v>0.2</v>
      </c>
    </row>
    <row r="3989" spans="1:3" ht="15" customHeight="1" x14ac:dyDescent="0.25">
      <c r="A3989" t="s">
        <v>6258</v>
      </c>
      <c r="B3989">
        <v>27.9</v>
      </c>
      <c r="C3989">
        <v>0.3</v>
      </c>
    </row>
    <row r="3990" spans="1:3" ht="15" customHeight="1" x14ac:dyDescent="0.25">
      <c r="A3990" t="s">
        <v>6259</v>
      </c>
      <c r="B3990">
        <v>27.9</v>
      </c>
      <c r="C3990">
        <v>0.3</v>
      </c>
    </row>
    <row r="3991" spans="1:3" ht="15" customHeight="1" x14ac:dyDescent="0.25">
      <c r="A3991" t="s">
        <v>6260</v>
      </c>
      <c r="B3991">
        <v>27.9</v>
      </c>
      <c r="C3991">
        <v>0.3</v>
      </c>
    </row>
    <row r="3992" spans="1:3" ht="15" customHeight="1" x14ac:dyDescent="0.25">
      <c r="A3992" t="s">
        <v>6261</v>
      </c>
      <c r="B3992">
        <v>27.9</v>
      </c>
      <c r="C3992">
        <v>0.3</v>
      </c>
    </row>
    <row r="3993" spans="1:3" ht="15" customHeight="1" x14ac:dyDescent="0.25">
      <c r="A3993" t="s">
        <v>6262</v>
      </c>
      <c r="B3993">
        <v>27.9</v>
      </c>
      <c r="C3993">
        <v>0.3</v>
      </c>
    </row>
    <row r="3994" spans="1:3" ht="15" customHeight="1" x14ac:dyDescent="0.25">
      <c r="A3994" t="s">
        <v>6263</v>
      </c>
      <c r="B3994">
        <v>27.9</v>
      </c>
      <c r="C3994">
        <v>0.3</v>
      </c>
    </row>
    <row r="3995" spans="1:3" ht="15" customHeight="1" x14ac:dyDescent="0.25">
      <c r="A3995" t="s">
        <v>6264</v>
      </c>
      <c r="B3995">
        <v>27.9</v>
      </c>
      <c r="C3995">
        <v>0.3</v>
      </c>
    </row>
    <row r="3996" spans="1:3" ht="15" customHeight="1" x14ac:dyDescent="0.25">
      <c r="A3996" t="s">
        <v>6265</v>
      </c>
      <c r="B3996">
        <v>27.9</v>
      </c>
      <c r="C3996">
        <v>0.3</v>
      </c>
    </row>
    <row r="3997" spans="1:3" ht="15" customHeight="1" x14ac:dyDescent="0.25">
      <c r="A3997" t="s">
        <v>6266</v>
      </c>
      <c r="B3997">
        <v>27.9</v>
      </c>
      <c r="C3997">
        <v>0.2</v>
      </c>
    </row>
    <row r="3998" spans="1:3" ht="15" customHeight="1" x14ac:dyDescent="0.25">
      <c r="A3998" t="s">
        <v>6267</v>
      </c>
      <c r="B3998">
        <v>27.9</v>
      </c>
      <c r="C3998">
        <v>0.2</v>
      </c>
    </row>
    <row r="3999" spans="1:3" ht="15" customHeight="1" x14ac:dyDescent="0.25">
      <c r="A3999" t="s">
        <v>6268</v>
      </c>
      <c r="B3999">
        <v>27.9</v>
      </c>
      <c r="C3999">
        <v>0.2</v>
      </c>
    </row>
    <row r="4000" spans="1:3" ht="15" customHeight="1" x14ac:dyDescent="0.25">
      <c r="A4000" t="s">
        <v>6269</v>
      </c>
      <c r="B4000">
        <v>27.9</v>
      </c>
      <c r="C4000">
        <v>0.2</v>
      </c>
    </row>
    <row r="4001" spans="1:3" ht="15" customHeight="1" x14ac:dyDescent="0.25">
      <c r="A4001" t="s">
        <v>6270</v>
      </c>
      <c r="B4001">
        <v>19.399999999999999</v>
      </c>
      <c r="C4001">
        <v>0.03</v>
      </c>
    </row>
    <row r="4002" spans="1:3" ht="15" customHeight="1" x14ac:dyDescent="0.25">
      <c r="A4002" t="s">
        <v>6271</v>
      </c>
      <c r="B4002">
        <v>19.399999999999999</v>
      </c>
      <c r="C4002">
        <v>0.03</v>
      </c>
    </row>
    <row r="4003" spans="1:3" ht="15" customHeight="1" x14ac:dyDescent="0.25">
      <c r="A4003" t="s">
        <v>6272</v>
      </c>
      <c r="B4003">
        <v>19.399999999999999</v>
      </c>
      <c r="C4003">
        <v>0.03</v>
      </c>
    </row>
    <row r="4004" spans="1:3" ht="15" customHeight="1" x14ac:dyDescent="0.25">
      <c r="A4004" t="s">
        <v>6273</v>
      </c>
      <c r="B4004">
        <v>19.399999999999999</v>
      </c>
      <c r="C4004">
        <v>0.03</v>
      </c>
    </row>
    <row r="4005" spans="1:3" ht="15" customHeight="1" x14ac:dyDescent="0.25">
      <c r="A4005" t="s">
        <v>6274</v>
      </c>
      <c r="B4005">
        <v>19.399999999999999</v>
      </c>
      <c r="C4005">
        <v>0.03</v>
      </c>
    </row>
    <row r="4006" spans="1:3" ht="15" customHeight="1" x14ac:dyDescent="0.25">
      <c r="A4006" t="s">
        <v>6275</v>
      </c>
      <c r="B4006">
        <v>19.399999999999999</v>
      </c>
      <c r="C4006">
        <v>0.03</v>
      </c>
    </row>
    <row r="4007" spans="1:3" ht="15" customHeight="1" x14ac:dyDescent="0.25">
      <c r="A4007" t="s">
        <v>6276</v>
      </c>
      <c r="B4007">
        <v>19.399999999999999</v>
      </c>
      <c r="C4007">
        <v>0.03</v>
      </c>
    </row>
    <row r="4008" spans="1:3" ht="15" customHeight="1" x14ac:dyDescent="0.25">
      <c r="A4008" t="s">
        <v>6277</v>
      </c>
      <c r="B4008">
        <v>19.399999999999999</v>
      </c>
      <c r="C4008">
        <v>0.03</v>
      </c>
    </row>
    <row r="4009" spans="1:3" ht="15" customHeight="1" x14ac:dyDescent="0.25">
      <c r="A4009" t="s">
        <v>6278</v>
      </c>
      <c r="B4009">
        <v>19.399999999999999</v>
      </c>
      <c r="C4009">
        <v>0.03</v>
      </c>
    </row>
    <row r="4010" spans="1:3" ht="15" customHeight="1" x14ac:dyDescent="0.25">
      <c r="A4010" t="s">
        <v>6279</v>
      </c>
      <c r="B4010">
        <v>19.399999999999999</v>
      </c>
      <c r="C4010">
        <v>0.03</v>
      </c>
    </row>
    <row r="4011" spans="1:3" ht="15" customHeight="1" x14ac:dyDescent="0.25">
      <c r="A4011" t="s">
        <v>6280</v>
      </c>
      <c r="B4011">
        <v>19.399999999999999</v>
      </c>
      <c r="C4011">
        <v>0.03</v>
      </c>
    </row>
    <row r="4012" spans="1:3" ht="15" customHeight="1" x14ac:dyDescent="0.25">
      <c r="A4012" t="s">
        <v>6281</v>
      </c>
      <c r="B4012">
        <v>19.399999999999999</v>
      </c>
      <c r="C4012">
        <v>0.03</v>
      </c>
    </row>
    <row r="4013" spans="1:3" ht="15" customHeight="1" x14ac:dyDescent="0.25">
      <c r="A4013" t="s">
        <v>6282</v>
      </c>
      <c r="B4013">
        <v>19.100000000000001</v>
      </c>
      <c r="C4013">
        <v>0.03</v>
      </c>
    </row>
    <row r="4014" spans="1:3" ht="15" customHeight="1" x14ac:dyDescent="0.25">
      <c r="A4014" t="s">
        <v>6283</v>
      </c>
      <c r="B4014">
        <v>19.100000000000001</v>
      </c>
      <c r="C4014">
        <v>0.03</v>
      </c>
    </row>
    <row r="4015" spans="1:3" ht="15" customHeight="1" x14ac:dyDescent="0.25">
      <c r="A4015" t="s">
        <v>6284</v>
      </c>
      <c r="B4015">
        <v>19.100000000000001</v>
      </c>
      <c r="C4015">
        <v>0.03</v>
      </c>
    </row>
    <row r="4016" spans="1:3" ht="15" customHeight="1" x14ac:dyDescent="0.25">
      <c r="A4016" t="s">
        <v>6285</v>
      </c>
      <c r="B4016">
        <v>19.100000000000001</v>
      </c>
      <c r="C4016">
        <v>0.03</v>
      </c>
    </row>
    <row r="4017" spans="1:3" ht="15" customHeight="1" x14ac:dyDescent="0.25">
      <c r="A4017" t="s">
        <v>6286</v>
      </c>
      <c r="B4017">
        <v>40</v>
      </c>
      <c r="C4017">
        <v>0.2</v>
      </c>
    </row>
    <row r="4018" spans="1:3" ht="15" customHeight="1" x14ac:dyDescent="0.25">
      <c r="A4018" t="s">
        <v>6287</v>
      </c>
      <c r="B4018">
        <v>40</v>
      </c>
      <c r="C4018">
        <v>0.2</v>
      </c>
    </row>
    <row r="4019" spans="1:3" ht="15" customHeight="1" x14ac:dyDescent="0.25">
      <c r="A4019" t="s">
        <v>6288</v>
      </c>
      <c r="B4019">
        <v>40</v>
      </c>
      <c r="C4019">
        <v>0.2</v>
      </c>
    </row>
    <row r="4020" spans="1:3" ht="15" customHeight="1" x14ac:dyDescent="0.25">
      <c r="A4020" t="s">
        <v>6289</v>
      </c>
      <c r="B4020">
        <v>40</v>
      </c>
      <c r="C4020">
        <v>0.2</v>
      </c>
    </row>
    <row r="4021" spans="1:3" ht="15" customHeight="1" x14ac:dyDescent="0.25">
      <c r="A4021" t="s">
        <v>6290</v>
      </c>
      <c r="B4021">
        <v>40</v>
      </c>
      <c r="C4021">
        <v>0.2</v>
      </c>
    </row>
    <row r="4022" spans="1:3" ht="15" customHeight="1" x14ac:dyDescent="0.25">
      <c r="A4022" t="s">
        <v>6291</v>
      </c>
      <c r="B4022">
        <v>40</v>
      </c>
      <c r="C4022">
        <v>0.2</v>
      </c>
    </row>
    <row r="4023" spans="1:3" ht="15" customHeight="1" x14ac:dyDescent="0.25">
      <c r="A4023" t="s">
        <v>6292</v>
      </c>
      <c r="B4023">
        <v>40</v>
      </c>
      <c r="C4023">
        <v>0.2</v>
      </c>
    </row>
    <row r="4024" spans="1:3" ht="15" customHeight="1" x14ac:dyDescent="0.25">
      <c r="A4024" t="s">
        <v>6293</v>
      </c>
      <c r="B4024">
        <v>40</v>
      </c>
      <c r="C4024">
        <v>0.2</v>
      </c>
    </row>
    <row r="4025" spans="1:3" ht="15" customHeight="1" x14ac:dyDescent="0.25">
      <c r="A4025" t="s">
        <v>6294</v>
      </c>
      <c r="B4025">
        <v>38.5</v>
      </c>
      <c r="C4025">
        <v>0.3</v>
      </c>
    </row>
    <row r="4026" spans="1:3" ht="15" customHeight="1" x14ac:dyDescent="0.25">
      <c r="A4026" t="s">
        <v>6295</v>
      </c>
      <c r="B4026">
        <v>38.5</v>
      </c>
      <c r="C4026">
        <v>0.3</v>
      </c>
    </row>
    <row r="4027" spans="1:3" ht="15" customHeight="1" x14ac:dyDescent="0.25">
      <c r="A4027" t="s">
        <v>6296</v>
      </c>
      <c r="B4027">
        <v>38.5</v>
      </c>
      <c r="C4027">
        <v>0.3</v>
      </c>
    </row>
    <row r="4028" spans="1:3" ht="15" customHeight="1" x14ac:dyDescent="0.25">
      <c r="A4028" t="s">
        <v>6297</v>
      </c>
      <c r="B4028">
        <v>38.5</v>
      </c>
      <c r="C4028">
        <v>0.3</v>
      </c>
    </row>
    <row r="4029" spans="1:3" ht="15" customHeight="1" x14ac:dyDescent="0.25">
      <c r="A4029" t="s">
        <v>6298</v>
      </c>
      <c r="B4029">
        <v>38.5</v>
      </c>
      <c r="C4029">
        <v>0.3</v>
      </c>
    </row>
    <row r="4030" spans="1:3" ht="15" customHeight="1" x14ac:dyDescent="0.25">
      <c r="A4030" t="s">
        <v>6299</v>
      </c>
      <c r="B4030">
        <v>38.5</v>
      </c>
      <c r="C4030">
        <v>0.3</v>
      </c>
    </row>
    <row r="4031" spans="1:3" ht="15" customHeight="1" x14ac:dyDescent="0.25">
      <c r="A4031" t="s">
        <v>6300</v>
      </c>
      <c r="B4031">
        <v>38.5</v>
      </c>
      <c r="C4031">
        <v>0.3</v>
      </c>
    </row>
    <row r="4032" spans="1:3" ht="15" customHeight="1" x14ac:dyDescent="0.25">
      <c r="A4032" t="s">
        <v>6301</v>
      </c>
      <c r="B4032">
        <v>38.5</v>
      </c>
      <c r="C4032">
        <v>0.3</v>
      </c>
    </row>
    <row r="4033" spans="1:3" ht="15" customHeight="1" x14ac:dyDescent="0.25">
      <c r="A4033" t="s">
        <v>6302</v>
      </c>
      <c r="B4033">
        <v>14.9</v>
      </c>
      <c r="C4033">
        <v>0.3</v>
      </c>
    </row>
    <row r="4034" spans="1:3" ht="15" customHeight="1" x14ac:dyDescent="0.25">
      <c r="A4034" t="s">
        <v>6303</v>
      </c>
      <c r="B4034">
        <v>14.9</v>
      </c>
      <c r="C4034">
        <v>0.3</v>
      </c>
    </row>
    <row r="4035" spans="1:3" ht="15" customHeight="1" x14ac:dyDescent="0.25">
      <c r="A4035" t="s">
        <v>6304</v>
      </c>
      <c r="B4035">
        <v>14.9</v>
      </c>
      <c r="C4035">
        <v>0.3</v>
      </c>
    </row>
    <row r="4036" spans="1:3" ht="15" customHeight="1" x14ac:dyDescent="0.25">
      <c r="A4036" t="s">
        <v>6305</v>
      </c>
      <c r="B4036">
        <v>14.9</v>
      </c>
      <c r="C4036">
        <v>0.3</v>
      </c>
    </row>
    <row r="4037" spans="1:3" ht="15" customHeight="1" x14ac:dyDescent="0.25">
      <c r="A4037" t="s">
        <v>6306</v>
      </c>
      <c r="B4037">
        <v>14.9</v>
      </c>
      <c r="C4037">
        <v>0.3</v>
      </c>
    </row>
    <row r="4038" spans="1:3" ht="15" customHeight="1" x14ac:dyDescent="0.25">
      <c r="A4038" t="s">
        <v>6307</v>
      </c>
      <c r="B4038">
        <v>14.9</v>
      </c>
      <c r="C4038">
        <v>0.3</v>
      </c>
    </row>
    <row r="4039" spans="1:3" ht="15" customHeight="1" x14ac:dyDescent="0.25">
      <c r="A4039" t="s">
        <v>6308</v>
      </c>
      <c r="B4039">
        <v>14.9</v>
      </c>
      <c r="C4039">
        <v>0.3</v>
      </c>
    </row>
    <row r="4040" spans="1:3" ht="15" customHeight="1" x14ac:dyDescent="0.25">
      <c r="A4040" t="s">
        <v>6309</v>
      </c>
      <c r="B4040">
        <v>14.9</v>
      </c>
      <c r="C4040">
        <v>0.3</v>
      </c>
    </row>
    <row r="4041" spans="1:3" ht="15" customHeight="1" x14ac:dyDescent="0.25">
      <c r="A4041" t="s">
        <v>6310</v>
      </c>
      <c r="B4041">
        <v>14.9</v>
      </c>
      <c r="C4041">
        <v>0.3</v>
      </c>
    </row>
    <row r="4042" spans="1:3" ht="15" customHeight="1" x14ac:dyDescent="0.25">
      <c r="A4042" t="s">
        <v>6311</v>
      </c>
      <c r="B4042">
        <v>14.9</v>
      </c>
      <c r="C4042">
        <v>0.3</v>
      </c>
    </row>
    <row r="4043" spans="1:3" ht="15" customHeight="1" x14ac:dyDescent="0.25">
      <c r="A4043" t="s">
        <v>6312</v>
      </c>
      <c r="B4043">
        <v>14.9</v>
      </c>
      <c r="C4043">
        <v>0.3</v>
      </c>
    </row>
    <row r="4044" spans="1:3" ht="15" customHeight="1" x14ac:dyDescent="0.25">
      <c r="A4044" t="s">
        <v>6313</v>
      </c>
      <c r="B4044">
        <v>14.9</v>
      </c>
      <c r="C4044">
        <v>0.3</v>
      </c>
    </row>
    <row r="4045" spans="1:3" ht="15" customHeight="1" x14ac:dyDescent="0.25">
      <c r="A4045" t="s">
        <v>6314</v>
      </c>
      <c r="B4045">
        <v>14.9</v>
      </c>
      <c r="C4045">
        <v>0.3</v>
      </c>
    </row>
    <row r="4046" spans="1:3" ht="15" customHeight="1" x14ac:dyDescent="0.25">
      <c r="A4046" t="s">
        <v>6315</v>
      </c>
      <c r="B4046">
        <v>14.9</v>
      </c>
      <c r="C4046">
        <v>0.3</v>
      </c>
    </row>
    <row r="4047" spans="1:3" ht="15" customHeight="1" x14ac:dyDescent="0.25">
      <c r="A4047" t="s">
        <v>6316</v>
      </c>
      <c r="B4047">
        <v>14.9</v>
      </c>
      <c r="C4047">
        <v>0.3</v>
      </c>
    </row>
    <row r="4048" spans="1:3" ht="15" customHeight="1" x14ac:dyDescent="0.25">
      <c r="A4048" t="s">
        <v>6317</v>
      </c>
      <c r="B4048">
        <v>14.9</v>
      </c>
      <c r="C4048">
        <v>0.3</v>
      </c>
    </row>
    <row r="4049" spans="1:3" ht="15" customHeight="1" x14ac:dyDescent="0.25">
      <c r="A4049" t="s">
        <v>6318</v>
      </c>
      <c r="B4049">
        <v>14.9</v>
      </c>
      <c r="C4049">
        <v>0.3</v>
      </c>
    </row>
    <row r="4050" spans="1:3" ht="15" customHeight="1" x14ac:dyDescent="0.25">
      <c r="A4050" t="s">
        <v>6319</v>
      </c>
      <c r="B4050">
        <v>14.9</v>
      </c>
      <c r="C4050">
        <v>0.3</v>
      </c>
    </row>
    <row r="4051" spans="1:3" ht="15" customHeight="1" x14ac:dyDescent="0.25">
      <c r="A4051" t="s">
        <v>6320</v>
      </c>
      <c r="B4051">
        <v>14.9</v>
      </c>
      <c r="C4051">
        <v>0.3</v>
      </c>
    </row>
    <row r="4052" spans="1:3" ht="15" customHeight="1" x14ac:dyDescent="0.25">
      <c r="A4052" t="s">
        <v>6321</v>
      </c>
      <c r="B4052">
        <v>14.9</v>
      </c>
      <c r="C4052">
        <v>0.3</v>
      </c>
    </row>
    <row r="4053" spans="1:3" ht="15" customHeight="1" x14ac:dyDescent="0.25">
      <c r="A4053" t="s">
        <v>6322</v>
      </c>
      <c r="B4053">
        <v>43.7</v>
      </c>
      <c r="C4053">
        <v>0.05</v>
      </c>
    </row>
    <row r="4054" spans="1:3" ht="15" customHeight="1" x14ac:dyDescent="0.25">
      <c r="A4054" t="s">
        <v>6323</v>
      </c>
      <c r="B4054">
        <v>43.7</v>
      </c>
      <c r="C4054">
        <v>0.05</v>
      </c>
    </row>
    <row r="4055" spans="1:3" ht="15" customHeight="1" x14ac:dyDescent="0.25">
      <c r="A4055" t="s">
        <v>6324</v>
      </c>
      <c r="B4055">
        <v>43.7</v>
      </c>
      <c r="C4055">
        <v>0.05</v>
      </c>
    </row>
    <row r="4056" spans="1:3" ht="15" customHeight="1" x14ac:dyDescent="0.25">
      <c r="A4056" t="s">
        <v>6325</v>
      </c>
      <c r="B4056">
        <v>43.7</v>
      </c>
      <c r="C4056">
        <v>0.05</v>
      </c>
    </row>
    <row r="4057" spans="1:3" ht="15" customHeight="1" x14ac:dyDescent="0.25">
      <c r="A4057" t="s">
        <v>6326</v>
      </c>
      <c r="B4057">
        <v>43.7</v>
      </c>
      <c r="C4057">
        <v>0.05</v>
      </c>
    </row>
    <row r="4058" spans="1:3" ht="15" customHeight="1" x14ac:dyDescent="0.25">
      <c r="A4058" t="s">
        <v>6327</v>
      </c>
      <c r="B4058">
        <v>43.7</v>
      </c>
      <c r="C4058">
        <v>0.05</v>
      </c>
    </row>
    <row r="4059" spans="1:3" ht="15" customHeight="1" x14ac:dyDescent="0.25">
      <c r="A4059" t="s">
        <v>6328</v>
      </c>
      <c r="B4059">
        <v>34.5</v>
      </c>
      <c r="C4059">
        <v>0.05</v>
      </c>
    </row>
    <row r="4060" spans="1:3" ht="15" customHeight="1" x14ac:dyDescent="0.25">
      <c r="A4060" t="s">
        <v>6329</v>
      </c>
      <c r="B4060">
        <v>34.5</v>
      </c>
      <c r="C4060">
        <v>0.05</v>
      </c>
    </row>
    <row r="4061" spans="1:3" ht="15" customHeight="1" x14ac:dyDescent="0.25">
      <c r="A4061" t="s">
        <v>293</v>
      </c>
      <c r="B4061">
        <v>34.5</v>
      </c>
      <c r="C4061">
        <v>0.1</v>
      </c>
    </row>
    <row r="4062" spans="1:3" ht="15" customHeight="1" x14ac:dyDescent="0.25">
      <c r="A4062" t="s">
        <v>6330</v>
      </c>
      <c r="B4062">
        <v>34.5</v>
      </c>
      <c r="C4062">
        <v>0.1</v>
      </c>
    </row>
    <row r="4063" spans="1:3" ht="15" customHeight="1" x14ac:dyDescent="0.25">
      <c r="A4063" t="s">
        <v>6331</v>
      </c>
      <c r="B4063">
        <v>41.2</v>
      </c>
      <c r="C4063">
        <v>0.3</v>
      </c>
    </row>
    <row r="4064" spans="1:3" ht="15" customHeight="1" x14ac:dyDescent="0.25">
      <c r="A4064" t="s">
        <v>6332</v>
      </c>
      <c r="B4064">
        <v>41.2</v>
      </c>
      <c r="C4064">
        <v>0.3</v>
      </c>
    </row>
    <row r="4065" spans="1:3" ht="15" customHeight="1" x14ac:dyDescent="0.25">
      <c r="A4065" t="s">
        <v>6333</v>
      </c>
      <c r="B4065">
        <v>41.2</v>
      </c>
      <c r="C4065">
        <v>0.3</v>
      </c>
    </row>
    <row r="4066" spans="1:3" ht="15" customHeight="1" x14ac:dyDescent="0.25">
      <c r="A4066" t="s">
        <v>6334</v>
      </c>
      <c r="B4066">
        <v>41.2</v>
      </c>
      <c r="C4066">
        <v>0.3</v>
      </c>
    </row>
    <row r="4067" spans="1:3" ht="15" customHeight="1" x14ac:dyDescent="0.25">
      <c r="A4067" t="s">
        <v>6335</v>
      </c>
      <c r="B4067">
        <v>41.2</v>
      </c>
      <c r="C4067">
        <v>0.3</v>
      </c>
    </row>
    <row r="4068" spans="1:3" ht="15" customHeight="1" x14ac:dyDescent="0.25">
      <c r="A4068" t="s">
        <v>6336</v>
      </c>
      <c r="B4068">
        <v>41.2</v>
      </c>
      <c r="C4068">
        <v>0.3</v>
      </c>
    </row>
    <row r="4069" spans="1:3" ht="15" customHeight="1" x14ac:dyDescent="0.25">
      <c r="A4069" t="s">
        <v>6337</v>
      </c>
      <c r="B4069">
        <v>41.2</v>
      </c>
      <c r="C4069">
        <v>0.3</v>
      </c>
    </row>
    <row r="4070" spans="1:3" ht="15" customHeight="1" x14ac:dyDescent="0.25">
      <c r="A4070" t="s">
        <v>6338</v>
      </c>
      <c r="B4070">
        <v>41.2</v>
      </c>
      <c r="C4070">
        <v>0.3</v>
      </c>
    </row>
    <row r="4071" spans="1:3" ht="15" customHeight="1" x14ac:dyDescent="0.25">
      <c r="A4071" t="s">
        <v>6339</v>
      </c>
      <c r="B4071">
        <v>41.2</v>
      </c>
      <c r="C4071">
        <v>0.3</v>
      </c>
    </row>
    <row r="4072" spans="1:3" ht="15" customHeight="1" x14ac:dyDescent="0.25">
      <c r="A4072" t="s">
        <v>6340</v>
      </c>
      <c r="B4072">
        <v>41.2</v>
      </c>
      <c r="C4072">
        <v>0.3</v>
      </c>
    </row>
    <row r="4073" spans="1:3" ht="15" customHeight="1" x14ac:dyDescent="0.25">
      <c r="A4073" t="s">
        <v>6341</v>
      </c>
      <c r="B4073">
        <v>41.2</v>
      </c>
      <c r="C4073">
        <v>0.3</v>
      </c>
    </row>
    <row r="4074" spans="1:3" ht="15" customHeight="1" x14ac:dyDescent="0.25">
      <c r="A4074" t="s">
        <v>6342</v>
      </c>
      <c r="B4074">
        <v>41.2</v>
      </c>
      <c r="C4074">
        <v>0.3</v>
      </c>
    </row>
    <row r="4075" spans="1:3" ht="15" customHeight="1" x14ac:dyDescent="0.25">
      <c r="A4075" t="s">
        <v>6343</v>
      </c>
      <c r="B4075">
        <v>41.2</v>
      </c>
      <c r="C4075">
        <v>0.3</v>
      </c>
    </row>
    <row r="4076" spans="1:3" ht="15" customHeight="1" x14ac:dyDescent="0.25">
      <c r="A4076" t="s">
        <v>6344</v>
      </c>
      <c r="B4076">
        <v>41.2</v>
      </c>
      <c r="C4076">
        <v>0.3</v>
      </c>
    </row>
    <row r="4077" spans="1:3" ht="15" customHeight="1" x14ac:dyDescent="0.25">
      <c r="A4077" t="s">
        <v>6345</v>
      </c>
      <c r="B4077">
        <v>41.2</v>
      </c>
      <c r="C4077">
        <v>0.3</v>
      </c>
    </row>
    <row r="4078" spans="1:3" ht="15" customHeight="1" x14ac:dyDescent="0.25">
      <c r="A4078" t="s">
        <v>6346</v>
      </c>
      <c r="B4078">
        <v>13.6</v>
      </c>
      <c r="C4078">
        <v>0.2</v>
      </c>
    </row>
    <row r="4079" spans="1:3" ht="15" customHeight="1" x14ac:dyDescent="0.25">
      <c r="A4079" t="s">
        <v>6347</v>
      </c>
      <c r="B4079">
        <v>13.6</v>
      </c>
      <c r="C4079">
        <v>0.2</v>
      </c>
    </row>
    <row r="4080" spans="1:3" ht="15" customHeight="1" x14ac:dyDescent="0.25">
      <c r="A4080" t="s">
        <v>6348</v>
      </c>
      <c r="B4080">
        <v>13.6</v>
      </c>
      <c r="C4080">
        <v>0.2</v>
      </c>
    </row>
    <row r="4081" spans="1:3" ht="15" customHeight="1" x14ac:dyDescent="0.25">
      <c r="A4081" t="s">
        <v>6349</v>
      </c>
      <c r="B4081">
        <v>13.6</v>
      </c>
      <c r="C4081">
        <v>0.2</v>
      </c>
    </row>
    <row r="4082" spans="1:3" ht="15" customHeight="1" x14ac:dyDescent="0.25">
      <c r="A4082" t="s">
        <v>6350</v>
      </c>
      <c r="B4082">
        <v>13.6</v>
      </c>
      <c r="C4082">
        <v>0.2</v>
      </c>
    </row>
    <row r="4083" spans="1:3" ht="15" customHeight="1" x14ac:dyDescent="0.25">
      <c r="A4083" t="s">
        <v>6351</v>
      </c>
      <c r="B4083">
        <v>13.6</v>
      </c>
      <c r="C4083">
        <v>0.1</v>
      </c>
    </row>
    <row r="4084" spans="1:3" ht="15" customHeight="1" x14ac:dyDescent="0.25">
      <c r="A4084" t="s">
        <v>6352</v>
      </c>
      <c r="B4084">
        <v>13.6</v>
      </c>
      <c r="C4084">
        <v>0.1</v>
      </c>
    </row>
    <row r="4085" spans="1:3" ht="15" customHeight="1" x14ac:dyDescent="0.25">
      <c r="A4085" t="s">
        <v>6353</v>
      </c>
      <c r="B4085">
        <v>13.6</v>
      </c>
      <c r="C4085">
        <v>0.1</v>
      </c>
    </row>
    <row r="4086" spans="1:3" ht="15" customHeight="1" x14ac:dyDescent="0.25">
      <c r="A4086" t="s">
        <v>6354</v>
      </c>
      <c r="B4086">
        <v>13.6</v>
      </c>
      <c r="C4086">
        <v>0.1</v>
      </c>
    </row>
    <row r="4087" spans="1:3" ht="15" customHeight="1" x14ac:dyDescent="0.25">
      <c r="A4087" t="s">
        <v>6355</v>
      </c>
      <c r="B4087">
        <v>13.6</v>
      </c>
      <c r="C4087">
        <v>0.1</v>
      </c>
    </row>
    <row r="4088" spans="1:3" ht="15" customHeight="1" x14ac:dyDescent="0.25">
      <c r="A4088" t="s">
        <v>6356</v>
      </c>
      <c r="B4088">
        <v>13.6</v>
      </c>
      <c r="C4088">
        <v>0.2</v>
      </c>
    </row>
    <row r="4089" spans="1:3" ht="15" customHeight="1" x14ac:dyDescent="0.25">
      <c r="A4089" t="s">
        <v>6357</v>
      </c>
      <c r="B4089">
        <v>13.6</v>
      </c>
      <c r="C4089">
        <v>0.2</v>
      </c>
    </row>
    <row r="4090" spans="1:3" ht="15" customHeight="1" x14ac:dyDescent="0.25">
      <c r="A4090" t="s">
        <v>6358</v>
      </c>
      <c r="B4090">
        <v>13.6</v>
      </c>
      <c r="C4090">
        <v>0.2</v>
      </c>
    </row>
    <row r="4091" spans="1:3" ht="15" customHeight="1" x14ac:dyDescent="0.25">
      <c r="A4091" t="s">
        <v>6359</v>
      </c>
      <c r="B4091">
        <v>13.6</v>
      </c>
      <c r="C4091">
        <v>0.2</v>
      </c>
    </row>
    <row r="4092" spans="1:3" ht="15" customHeight="1" x14ac:dyDescent="0.25">
      <c r="A4092" t="s">
        <v>6360</v>
      </c>
      <c r="B4092">
        <v>13.6</v>
      </c>
      <c r="C4092">
        <v>0.2</v>
      </c>
    </row>
    <row r="4093" spans="1:3" ht="15" customHeight="1" x14ac:dyDescent="0.25">
      <c r="A4093" t="s">
        <v>6361</v>
      </c>
      <c r="B4093">
        <v>13.6</v>
      </c>
      <c r="C4093">
        <v>0.1</v>
      </c>
    </row>
    <row r="4094" spans="1:3" ht="15" customHeight="1" x14ac:dyDescent="0.25">
      <c r="A4094" t="s">
        <v>6362</v>
      </c>
      <c r="B4094">
        <v>13.6</v>
      </c>
      <c r="C4094">
        <v>0.1</v>
      </c>
    </row>
    <row r="4095" spans="1:3" ht="15" customHeight="1" x14ac:dyDescent="0.25">
      <c r="A4095" t="s">
        <v>6363</v>
      </c>
      <c r="B4095">
        <v>13.6</v>
      </c>
      <c r="C4095">
        <v>0.1</v>
      </c>
    </row>
    <row r="4096" spans="1:3" ht="15" customHeight="1" x14ac:dyDescent="0.25">
      <c r="A4096" t="s">
        <v>6364</v>
      </c>
      <c r="B4096">
        <v>13.6</v>
      </c>
      <c r="C4096">
        <v>0.1</v>
      </c>
    </row>
    <row r="4097" spans="1:3" ht="15" customHeight="1" x14ac:dyDescent="0.25">
      <c r="A4097" t="s">
        <v>6365</v>
      </c>
      <c r="B4097">
        <v>13.6</v>
      </c>
      <c r="C4097">
        <v>0.1</v>
      </c>
    </row>
    <row r="4098" spans="1:3" ht="15" customHeight="1" x14ac:dyDescent="0.25">
      <c r="A4098" t="s">
        <v>6366</v>
      </c>
      <c r="B4098">
        <v>13.6</v>
      </c>
      <c r="C4098">
        <v>0.1</v>
      </c>
    </row>
    <row r="4099" spans="1:3" ht="15" customHeight="1" x14ac:dyDescent="0.25">
      <c r="A4099" t="s">
        <v>6367</v>
      </c>
      <c r="B4099">
        <v>13.6</v>
      </c>
      <c r="C4099">
        <v>0.2</v>
      </c>
    </row>
    <row r="4100" spans="1:3" ht="15" customHeight="1" x14ac:dyDescent="0.25">
      <c r="A4100" t="s">
        <v>6368</v>
      </c>
      <c r="B4100">
        <v>13.6</v>
      </c>
      <c r="C4100">
        <v>0.2</v>
      </c>
    </row>
    <row r="4101" spans="1:3" ht="15" customHeight="1" x14ac:dyDescent="0.25">
      <c r="A4101" t="s">
        <v>6369</v>
      </c>
      <c r="B4101">
        <v>13.6</v>
      </c>
      <c r="C4101">
        <v>0.2</v>
      </c>
    </row>
    <row r="4102" spans="1:3" ht="15" customHeight="1" x14ac:dyDescent="0.25">
      <c r="A4102" t="s">
        <v>6370</v>
      </c>
      <c r="B4102">
        <v>13.6</v>
      </c>
      <c r="C4102">
        <v>0.1</v>
      </c>
    </row>
    <row r="4103" spans="1:3" ht="15" customHeight="1" x14ac:dyDescent="0.25">
      <c r="A4103" t="s">
        <v>6371</v>
      </c>
      <c r="B4103">
        <v>44.8</v>
      </c>
      <c r="C4103">
        <v>0.3</v>
      </c>
    </row>
    <row r="4104" spans="1:3" ht="15" customHeight="1" x14ac:dyDescent="0.25">
      <c r="A4104" t="s">
        <v>6372</v>
      </c>
      <c r="B4104">
        <v>13</v>
      </c>
      <c r="C4104">
        <v>0.1</v>
      </c>
    </row>
    <row r="4105" spans="1:3" ht="15" customHeight="1" x14ac:dyDescent="0.25">
      <c r="A4105" t="s">
        <v>6373</v>
      </c>
      <c r="B4105">
        <v>13</v>
      </c>
      <c r="C4105">
        <v>0.1</v>
      </c>
    </row>
    <row r="4106" spans="1:3" ht="15" customHeight="1" x14ac:dyDescent="0.25">
      <c r="A4106" t="s">
        <v>6374</v>
      </c>
      <c r="B4106">
        <v>13</v>
      </c>
      <c r="C4106">
        <v>0.1</v>
      </c>
    </row>
    <row r="4107" spans="1:3" ht="15" customHeight="1" x14ac:dyDescent="0.25">
      <c r="A4107" t="s">
        <v>6375</v>
      </c>
      <c r="B4107">
        <v>13</v>
      </c>
      <c r="C4107">
        <v>0.2</v>
      </c>
    </row>
    <row r="4108" spans="1:3" ht="15" customHeight="1" x14ac:dyDescent="0.25">
      <c r="A4108" t="s">
        <v>6376</v>
      </c>
      <c r="B4108">
        <v>13</v>
      </c>
      <c r="C4108">
        <v>0.1</v>
      </c>
    </row>
    <row r="4109" spans="1:3" ht="15" customHeight="1" x14ac:dyDescent="0.25">
      <c r="A4109" t="s">
        <v>6377</v>
      </c>
      <c r="B4109">
        <v>13</v>
      </c>
      <c r="C4109">
        <v>0.1</v>
      </c>
    </row>
    <row r="4110" spans="1:3" ht="15" customHeight="1" x14ac:dyDescent="0.25">
      <c r="A4110" t="s">
        <v>6378</v>
      </c>
      <c r="B4110">
        <v>13</v>
      </c>
      <c r="C4110">
        <v>0.2</v>
      </c>
    </row>
    <row r="4111" spans="1:3" ht="15" customHeight="1" x14ac:dyDescent="0.25">
      <c r="A4111" t="s">
        <v>6379</v>
      </c>
      <c r="B4111">
        <v>13</v>
      </c>
      <c r="C4111">
        <v>0.1</v>
      </c>
    </row>
    <row r="4112" spans="1:3" ht="15" customHeight="1" x14ac:dyDescent="0.25">
      <c r="A4112" t="s">
        <v>6380</v>
      </c>
      <c r="B4112">
        <v>13</v>
      </c>
      <c r="C4112">
        <v>0.1</v>
      </c>
    </row>
    <row r="4113" spans="1:3" ht="15" customHeight="1" x14ac:dyDescent="0.25">
      <c r="A4113" t="s">
        <v>6381</v>
      </c>
      <c r="B4113">
        <v>13</v>
      </c>
      <c r="C4113">
        <v>0.2</v>
      </c>
    </row>
    <row r="4114" spans="1:3" ht="15" customHeight="1" x14ac:dyDescent="0.25">
      <c r="A4114" t="s">
        <v>6382</v>
      </c>
      <c r="B4114">
        <v>13</v>
      </c>
      <c r="C4114">
        <v>0.1</v>
      </c>
    </row>
    <row r="4115" spans="1:3" ht="15" customHeight="1" x14ac:dyDescent="0.25">
      <c r="A4115" t="s">
        <v>6383</v>
      </c>
      <c r="B4115">
        <v>13</v>
      </c>
      <c r="C4115">
        <v>0.1</v>
      </c>
    </row>
    <row r="4116" spans="1:3" ht="15" customHeight="1" x14ac:dyDescent="0.25">
      <c r="A4116" t="s">
        <v>6384</v>
      </c>
      <c r="B4116">
        <v>13</v>
      </c>
      <c r="C4116">
        <v>0.2</v>
      </c>
    </row>
    <row r="4117" spans="1:3" ht="15" customHeight="1" x14ac:dyDescent="0.25">
      <c r="A4117" t="s">
        <v>6385</v>
      </c>
      <c r="B4117">
        <v>13</v>
      </c>
      <c r="C4117">
        <v>0.2</v>
      </c>
    </row>
    <row r="4118" spans="1:3" ht="15" customHeight="1" x14ac:dyDescent="0.25">
      <c r="A4118" t="s">
        <v>6386</v>
      </c>
      <c r="B4118">
        <v>13</v>
      </c>
      <c r="C4118">
        <v>0.2</v>
      </c>
    </row>
    <row r="4119" spans="1:3" ht="15" customHeight="1" x14ac:dyDescent="0.25">
      <c r="A4119" t="s">
        <v>2031</v>
      </c>
      <c r="B4119">
        <v>9.6</v>
      </c>
      <c r="C4119">
        <v>0.06</v>
      </c>
    </row>
    <row r="4120" spans="1:3" ht="15" customHeight="1" x14ac:dyDescent="0.25">
      <c r="A4120" t="s">
        <v>6387</v>
      </c>
      <c r="B4120">
        <v>44.5</v>
      </c>
      <c r="C4120">
        <v>0.3</v>
      </c>
    </row>
    <row r="4121" spans="1:3" ht="15" customHeight="1" x14ac:dyDescent="0.25">
      <c r="A4121" t="s">
        <v>6388</v>
      </c>
      <c r="B4121">
        <v>44.5</v>
      </c>
      <c r="C4121">
        <v>0.3</v>
      </c>
    </row>
    <row r="4122" spans="1:3" ht="15" customHeight="1" x14ac:dyDescent="0.25">
      <c r="A4122" t="s">
        <v>6389</v>
      </c>
      <c r="B4122">
        <v>44.5</v>
      </c>
      <c r="C4122">
        <v>0.3</v>
      </c>
    </row>
    <row r="4123" spans="1:3" ht="15" customHeight="1" x14ac:dyDescent="0.25">
      <c r="A4123" t="s">
        <v>6390</v>
      </c>
      <c r="B4123">
        <v>44.5</v>
      </c>
      <c r="C4123">
        <v>0.3</v>
      </c>
    </row>
    <row r="4124" spans="1:3" ht="15" customHeight="1" x14ac:dyDescent="0.25">
      <c r="A4124" t="s">
        <v>6391</v>
      </c>
      <c r="B4124">
        <v>44.5</v>
      </c>
      <c r="C4124">
        <v>0.3</v>
      </c>
    </row>
    <row r="4125" spans="1:3" ht="15" customHeight="1" x14ac:dyDescent="0.25">
      <c r="A4125" t="s">
        <v>6392</v>
      </c>
      <c r="B4125">
        <v>44.5</v>
      </c>
      <c r="C4125">
        <v>0.3</v>
      </c>
    </row>
    <row r="4126" spans="1:3" ht="15" customHeight="1" x14ac:dyDescent="0.25">
      <c r="A4126" t="s">
        <v>6393</v>
      </c>
      <c r="B4126">
        <v>44.5</v>
      </c>
      <c r="C4126">
        <v>0.3</v>
      </c>
    </row>
    <row r="4127" spans="1:3" ht="15" customHeight="1" x14ac:dyDescent="0.25">
      <c r="A4127" t="s">
        <v>6394</v>
      </c>
      <c r="B4127">
        <v>44.5</v>
      </c>
      <c r="C4127">
        <v>0.3</v>
      </c>
    </row>
    <row r="4128" spans="1:3" ht="15" customHeight="1" x14ac:dyDescent="0.25">
      <c r="A4128" t="s">
        <v>6395</v>
      </c>
      <c r="B4128">
        <v>9.1</v>
      </c>
      <c r="C4128">
        <v>0.1</v>
      </c>
    </row>
    <row r="4129" spans="1:3" ht="15" customHeight="1" x14ac:dyDescent="0.25">
      <c r="A4129" t="s">
        <v>6396</v>
      </c>
      <c r="B4129">
        <v>9.1</v>
      </c>
      <c r="C4129">
        <v>0.1</v>
      </c>
    </row>
    <row r="4130" spans="1:3" ht="15" customHeight="1" x14ac:dyDescent="0.25">
      <c r="A4130" t="s">
        <v>6397</v>
      </c>
      <c r="B4130">
        <v>9.1</v>
      </c>
      <c r="C4130">
        <v>0.03</v>
      </c>
    </row>
    <row r="4131" spans="1:3" ht="15" customHeight="1" x14ac:dyDescent="0.25">
      <c r="A4131" t="s">
        <v>6398</v>
      </c>
      <c r="B4131">
        <v>17.100000000000001</v>
      </c>
      <c r="C4131">
        <v>0.2</v>
      </c>
    </row>
    <row r="4132" spans="1:3" ht="15" customHeight="1" x14ac:dyDescent="0.25">
      <c r="A4132" t="s">
        <v>6399</v>
      </c>
      <c r="B4132">
        <v>17.100000000000001</v>
      </c>
      <c r="C4132">
        <v>0.2</v>
      </c>
    </row>
    <row r="4133" spans="1:3" ht="15" customHeight="1" x14ac:dyDescent="0.25">
      <c r="A4133" t="s">
        <v>6400</v>
      </c>
      <c r="B4133">
        <v>17.100000000000001</v>
      </c>
      <c r="C4133">
        <v>0.2</v>
      </c>
    </row>
    <row r="4134" spans="1:3" ht="15" customHeight="1" x14ac:dyDescent="0.25">
      <c r="A4134" t="s">
        <v>6401</v>
      </c>
      <c r="B4134">
        <v>17.100000000000001</v>
      </c>
      <c r="C4134">
        <v>0.2</v>
      </c>
    </row>
    <row r="4135" spans="1:3" ht="15" customHeight="1" x14ac:dyDescent="0.25">
      <c r="A4135" t="s">
        <v>6402</v>
      </c>
      <c r="B4135">
        <v>17.100000000000001</v>
      </c>
      <c r="C4135">
        <v>0.2</v>
      </c>
    </row>
    <row r="4136" spans="1:3" ht="15" customHeight="1" x14ac:dyDescent="0.25">
      <c r="A4136" t="s">
        <v>6403</v>
      </c>
      <c r="B4136">
        <v>17.100000000000001</v>
      </c>
      <c r="C4136">
        <v>0.2</v>
      </c>
    </row>
    <row r="4137" spans="1:3" ht="15" customHeight="1" x14ac:dyDescent="0.25">
      <c r="A4137" t="s">
        <v>6404</v>
      </c>
      <c r="B4137">
        <v>17.100000000000001</v>
      </c>
      <c r="C4137">
        <v>0.2</v>
      </c>
    </row>
    <row r="4138" spans="1:3" ht="15" customHeight="1" x14ac:dyDescent="0.25">
      <c r="A4138" t="s">
        <v>6405</v>
      </c>
      <c r="B4138">
        <v>17.100000000000001</v>
      </c>
      <c r="C4138">
        <v>0.2</v>
      </c>
    </row>
    <row r="4139" spans="1:3" ht="15" customHeight="1" x14ac:dyDescent="0.25">
      <c r="A4139" t="s">
        <v>6406</v>
      </c>
      <c r="B4139">
        <v>17.100000000000001</v>
      </c>
      <c r="C4139">
        <v>0.2</v>
      </c>
    </row>
    <row r="4140" spans="1:3" ht="15" customHeight="1" x14ac:dyDescent="0.25">
      <c r="A4140" t="s">
        <v>6407</v>
      </c>
      <c r="B4140">
        <v>17.100000000000001</v>
      </c>
      <c r="C4140">
        <v>0.2</v>
      </c>
    </row>
    <row r="4141" spans="1:3" ht="15" customHeight="1" x14ac:dyDescent="0.25">
      <c r="A4141" t="s">
        <v>6408</v>
      </c>
      <c r="B4141">
        <v>17.100000000000001</v>
      </c>
      <c r="C4141">
        <v>0.2</v>
      </c>
    </row>
    <row r="4142" spans="1:3" ht="15" customHeight="1" x14ac:dyDescent="0.25">
      <c r="A4142" t="s">
        <v>6409</v>
      </c>
      <c r="B4142">
        <v>17.100000000000001</v>
      </c>
      <c r="C4142">
        <v>0.2</v>
      </c>
    </row>
    <row r="4143" spans="1:3" ht="15" customHeight="1" x14ac:dyDescent="0.25">
      <c r="A4143" t="s">
        <v>6410</v>
      </c>
      <c r="B4143">
        <v>17.100000000000001</v>
      </c>
      <c r="C4143">
        <v>0.2</v>
      </c>
    </row>
    <row r="4144" spans="1:3" ht="15" customHeight="1" x14ac:dyDescent="0.25">
      <c r="A4144" t="s">
        <v>6411</v>
      </c>
      <c r="B4144">
        <v>17.100000000000001</v>
      </c>
      <c r="C4144">
        <v>0.2</v>
      </c>
    </row>
    <row r="4145" spans="1:3" ht="15" customHeight="1" x14ac:dyDescent="0.25">
      <c r="A4145" t="s">
        <v>6412</v>
      </c>
      <c r="B4145">
        <v>17.100000000000001</v>
      </c>
      <c r="C4145">
        <v>0.2</v>
      </c>
    </row>
    <row r="4146" spans="1:3" ht="15" customHeight="1" x14ac:dyDescent="0.25">
      <c r="A4146" t="s">
        <v>6413</v>
      </c>
      <c r="B4146">
        <v>17.100000000000001</v>
      </c>
      <c r="C4146">
        <v>0.2</v>
      </c>
    </row>
    <row r="4147" spans="1:3" ht="15" customHeight="1" x14ac:dyDescent="0.25">
      <c r="A4147" t="s">
        <v>6414</v>
      </c>
      <c r="B4147">
        <v>17.100000000000001</v>
      </c>
      <c r="C4147">
        <v>0.2</v>
      </c>
    </row>
    <row r="4148" spans="1:3" ht="15" customHeight="1" x14ac:dyDescent="0.25">
      <c r="A4148" t="s">
        <v>6415</v>
      </c>
      <c r="B4148">
        <v>17.100000000000001</v>
      </c>
      <c r="C4148">
        <v>0.2</v>
      </c>
    </row>
    <row r="4149" spans="1:3" ht="15" customHeight="1" x14ac:dyDescent="0.25">
      <c r="A4149" t="s">
        <v>6416</v>
      </c>
      <c r="B4149">
        <v>17.100000000000001</v>
      </c>
      <c r="C4149">
        <v>0.2</v>
      </c>
    </row>
    <row r="4150" spans="1:3" ht="15" customHeight="1" x14ac:dyDescent="0.25">
      <c r="A4150" t="s">
        <v>6417</v>
      </c>
      <c r="B4150">
        <v>17.100000000000001</v>
      </c>
      <c r="C4150">
        <v>0.2</v>
      </c>
    </row>
    <row r="4151" spans="1:3" ht="15" customHeight="1" x14ac:dyDescent="0.25">
      <c r="A4151" t="s">
        <v>6418</v>
      </c>
      <c r="B4151">
        <v>14.6</v>
      </c>
      <c r="C4151">
        <v>0.3</v>
      </c>
    </row>
    <row r="4152" spans="1:3" ht="15" customHeight="1" x14ac:dyDescent="0.25">
      <c r="A4152" t="s">
        <v>6419</v>
      </c>
      <c r="B4152">
        <v>14.6</v>
      </c>
      <c r="C4152">
        <v>0.3</v>
      </c>
    </row>
    <row r="4153" spans="1:3" ht="15" customHeight="1" x14ac:dyDescent="0.25">
      <c r="A4153" t="s">
        <v>6420</v>
      </c>
      <c r="B4153">
        <v>14.6</v>
      </c>
      <c r="C4153">
        <v>0.3</v>
      </c>
    </row>
    <row r="4154" spans="1:3" ht="15" customHeight="1" x14ac:dyDescent="0.25">
      <c r="A4154" t="s">
        <v>6421</v>
      </c>
      <c r="B4154">
        <v>14.6</v>
      </c>
      <c r="C4154">
        <v>0.3</v>
      </c>
    </row>
    <row r="4155" spans="1:3" ht="15" customHeight="1" x14ac:dyDescent="0.25">
      <c r="A4155" t="s">
        <v>6422</v>
      </c>
      <c r="B4155">
        <v>14.6</v>
      </c>
      <c r="C4155">
        <v>0.3</v>
      </c>
    </row>
    <row r="4156" spans="1:3" ht="15" customHeight="1" x14ac:dyDescent="0.25">
      <c r="A4156" t="s">
        <v>6423</v>
      </c>
      <c r="B4156">
        <v>14.6</v>
      </c>
      <c r="C4156">
        <v>0.3</v>
      </c>
    </row>
    <row r="4157" spans="1:3" ht="15" customHeight="1" x14ac:dyDescent="0.25">
      <c r="A4157" t="s">
        <v>6424</v>
      </c>
      <c r="B4157">
        <v>14.6</v>
      </c>
      <c r="C4157">
        <v>0.3</v>
      </c>
    </row>
    <row r="4158" spans="1:3" ht="15" customHeight="1" x14ac:dyDescent="0.25">
      <c r="A4158" t="s">
        <v>6425</v>
      </c>
      <c r="B4158">
        <v>14.6</v>
      </c>
      <c r="C4158">
        <v>0.3</v>
      </c>
    </row>
    <row r="4159" spans="1:3" ht="15" customHeight="1" x14ac:dyDescent="0.25">
      <c r="A4159" t="s">
        <v>6426</v>
      </c>
      <c r="B4159">
        <v>14.6</v>
      </c>
      <c r="C4159">
        <v>0.3</v>
      </c>
    </row>
    <row r="4160" spans="1:3" ht="15" customHeight="1" x14ac:dyDescent="0.25">
      <c r="A4160" t="s">
        <v>6427</v>
      </c>
      <c r="B4160">
        <v>14.6</v>
      </c>
      <c r="C4160">
        <v>0.3</v>
      </c>
    </row>
    <row r="4161" spans="1:3" ht="15" customHeight="1" x14ac:dyDescent="0.25">
      <c r="A4161" t="s">
        <v>6428</v>
      </c>
      <c r="B4161">
        <v>14.6</v>
      </c>
      <c r="C4161">
        <v>0.3</v>
      </c>
    </row>
    <row r="4162" spans="1:3" ht="15" customHeight="1" x14ac:dyDescent="0.25">
      <c r="A4162" t="s">
        <v>6429</v>
      </c>
      <c r="B4162">
        <v>14.6</v>
      </c>
      <c r="C4162">
        <v>0.3</v>
      </c>
    </row>
    <row r="4163" spans="1:3" ht="15" customHeight="1" x14ac:dyDescent="0.25">
      <c r="A4163" t="s">
        <v>6430</v>
      </c>
      <c r="B4163">
        <v>14.6</v>
      </c>
      <c r="C4163">
        <v>0.3</v>
      </c>
    </row>
    <row r="4164" spans="1:3" ht="15" customHeight="1" x14ac:dyDescent="0.25">
      <c r="A4164" t="s">
        <v>6431</v>
      </c>
      <c r="B4164">
        <v>14.6</v>
      </c>
      <c r="C4164">
        <v>0.3</v>
      </c>
    </row>
    <row r="4165" spans="1:3" ht="15" customHeight="1" x14ac:dyDescent="0.25">
      <c r="A4165" t="s">
        <v>6432</v>
      </c>
      <c r="B4165">
        <v>14.6</v>
      </c>
      <c r="C4165">
        <v>0.3</v>
      </c>
    </row>
    <row r="4166" spans="1:3" ht="15" customHeight="1" x14ac:dyDescent="0.25">
      <c r="A4166" t="s">
        <v>6433</v>
      </c>
      <c r="B4166">
        <v>14.6</v>
      </c>
      <c r="C4166">
        <v>0.3</v>
      </c>
    </row>
    <row r="4167" spans="1:3" ht="15" customHeight="1" x14ac:dyDescent="0.25">
      <c r="A4167" t="s">
        <v>6434</v>
      </c>
      <c r="B4167">
        <v>14.6</v>
      </c>
      <c r="C4167">
        <v>0.3</v>
      </c>
    </row>
    <row r="4168" spans="1:3" ht="15" customHeight="1" x14ac:dyDescent="0.25">
      <c r="A4168" t="s">
        <v>6435</v>
      </c>
      <c r="B4168">
        <v>14.6</v>
      </c>
      <c r="C4168">
        <v>0.3</v>
      </c>
    </row>
    <row r="4169" spans="1:3" ht="15" customHeight="1" x14ac:dyDescent="0.25">
      <c r="A4169" t="s">
        <v>6436</v>
      </c>
      <c r="B4169">
        <v>36.5</v>
      </c>
      <c r="C4169">
        <v>0.3</v>
      </c>
    </row>
    <row r="4170" spans="1:3" ht="15" customHeight="1" x14ac:dyDescent="0.25">
      <c r="A4170" t="s">
        <v>6437</v>
      </c>
      <c r="B4170">
        <v>36.5</v>
      </c>
      <c r="C4170">
        <v>0.3</v>
      </c>
    </row>
    <row r="4171" spans="1:3" ht="15" customHeight="1" x14ac:dyDescent="0.25">
      <c r="A4171" t="s">
        <v>6438</v>
      </c>
      <c r="B4171">
        <v>36.5</v>
      </c>
      <c r="C4171">
        <v>0.3</v>
      </c>
    </row>
    <row r="4172" spans="1:3" ht="15" customHeight="1" x14ac:dyDescent="0.25">
      <c r="A4172" t="s">
        <v>6439</v>
      </c>
      <c r="B4172">
        <v>36.5</v>
      </c>
      <c r="C4172">
        <v>0.3</v>
      </c>
    </row>
    <row r="4173" spans="1:3" ht="15" customHeight="1" x14ac:dyDescent="0.25">
      <c r="A4173" t="s">
        <v>6440</v>
      </c>
      <c r="B4173">
        <v>36.5</v>
      </c>
      <c r="C4173">
        <v>0.3</v>
      </c>
    </row>
    <row r="4174" spans="1:3" ht="15" customHeight="1" x14ac:dyDescent="0.25">
      <c r="A4174" t="s">
        <v>6441</v>
      </c>
      <c r="B4174">
        <v>36.5</v>
      </c>
      <c r="C4174">
        <v>0.3</v>
      </c>
    </row>
    <row r="4175" spans="1:3" ht="15" customHeight="1" x14ac:dyDescent="0.25">
      <c r="A4175" t="s">
        <v>6442</v>
      </c>
      <c r="B4175">
        <v>36.5</v>
      </c>
      <c r="C4175">
        <v>0.3</v>
      </c>
    </row>
    <row r="4176" spans="1:3" ht="15" customHeight="1" x14ac:dyDescent="0.25">
      <c r="A4176" t="s">
        <v>6443</v>
      </c>
      <c r="B4176">
        <v>36.5</v>
      </c>
      <c r="C4176">
        <v>0.3</v>
      </c>
    </row>
    <row r="4177" spans="1:3" ht="15" customHeight="1" x14ac:dyDescent="0.25">
      <c r="A4177" t="s">
        <v>6444</v>
      </c>
      <c r="B4177">
        <v>36.5</v>
      </c>
      <c r="C4177">
        <v>0.3</v>
      </c>
    </row>
    <row r="4178" spans="1:3" ht="15" customHeight="1" x14ac:dyDescent="0.25">
      <c r="A4178" t="s">
        <v>6445</v>
      </c>
      <c r="B4178">
        <v>36.5</v>
      </c>
      <c r="C4178">
        <v>0.3</v>
      </c>
    </row>
    <row r="4179" spans="1:3" ht="15" customHeight="1" x14ac:dyDescent="0.25">
      <c r="A4179" t="s">
        <v>6446</v>
      </c>
      <c r="B4179">
        <v>34.200000000000003</v>
      </c>
      <c r="C4179">
        <v>0.3</v>
      </c>
    </row>
    <row r="4180" spans="1:3" ht="15" customHeight="1" x14ac:dyDescent="0.25">
      <c r="A4180" t="s">
        <v>6447</v>
      </c>
      <c r="B4180">
        <v>34.200000000000003</v>
      </c>
      <c r="C4180">
        <v>0.3</v>
      </c>
    </row>
    <row r="4181" spans="1:3" ht="15" customHeight="1" x14ac:dyDescent="0.25">
      <c r="A4181" t="s">
        <v>6448</v>
      </c>
      <c r="B4181">
        <v>34.200000000000003</v>
      </c>
      <c r="C4181">
        <v>0.3</v>
      </c>
    </row>
    <row r="4182" spans="1:3" ht="15" customHeight="1" x14ac:dyDescent="0.25">
      <c r="A4182" t="s">
        <v>6449</v>
      </c>
      <c r="B4182">
        <v>34.200000000000003</v>
      </c>
      <c r="C4182">
        <v>0.3</v>
      </c>
    </row>
    <row r="4183" spans="1:3" ht="15" customHeight="1" x14ac:dyDescent="0.25">
      <c r="A4183" t="s">
        <v>6450</v>
      </c>
      <c r="B4183">
        <v>34.200000000000003</v>
      </c>
      <c r="C4183">
        <v>0.3</v>
      </c>
    </row>
    <row r="4184" spans="1:3" ht="15" customHeight="1" x14ac:dyDescent="0.25">
      <c r="A4184" t="s">
        <v>6451</v>
      </c>
      <c r="B4184">
        <v>34.200000000000003</v>
      </c>
      <c r="C4184">
        <v>0.3</v>
      </c>
    </row>
    <row r="4185" spans="1:3" ht="15" customHeight="1" x14ac:dyDescent="0.25">
      <c r="A4185" t="s">
        <v>6452</v>
      </c>
      <c r="B4185">
        <v>34.200000000000003</v>
      </c>
      <c r="C4185">
        <v>0.3</v>
      </c>
    </row>
    <row r="4186" spans="1:3" ht="15" customHeight="1" x14ac:dyDescent="0.25">
      <c r="A4186" t="s">
        <v>6453</v>
      </c>
      <c r="B4186">
        <v>34.200000000000003</v>
      </c>
      <c r="C4186">
        <v>0.3</v>
      </c>
    </row>
    <row r="4187" spans="1:3" ht="15" customHeight="1" x14ac:dyDescent="0.25">
      <c r="A4187" t="s">
        <v>6454</v>
      </c>
      <c r="B4187">
        <v>34.200000000000003</v>
      </c>
      <c r="C4187">
        <v>0.3</v>
      </c>
    </row>
    <row r="4188" spans="1:3" ht="15" customHeight="1" x14ac:dyDescent="0.25">
      <c r="A4188" t="s">
        <v>6455</v>
      </c>
      <c r="B4188">
        <v>34.200000000000003</v>
      </c>
      <c r="C4188">
        <v>0.3</v>
      </c>
    </row>
    <row r="4189" spans="1:3" ht="15" customHeight="1" x14ac:dyDescent="0.25">
      <c r="A4189" t="s">
        <v>6456</v>
      </c>
      <c r="B4189">
        <v>21.3</v>
      </c>
      <c r="C4189">
        <v>0.3</v>
      </c>
    </row>
    <row r="4190" spans="1:3" ht="15" customHeight="1" x14ac:dyDescent="0.25">
      <c r="A4190" t="s">
        <v>6457</v>
      </c>
      <c r="B4190">
        <v>21.3</v>
      </c>
      <c r="C4190">
        <v>0.3</v>
      </c>
    </row>
    <row r="4191" spans="1:3" ht="15" customHeight="1" x14ac:dyDescent="0.25">
      <c r="A4191" t="s">
        <v>6458</v>
      </c>
      <c r="B4191">
        <v>21.3</v>
      </c>
      <c r="C4191">
        <v>0.3</v>
      </c>
    </row>
    <row r="4192" spans="1:3" ht="15" customHeight="1" x14ac:dyDescent="0.25">
      <c r="A4192" t="s">
        <v>6459</v>
      </c>
      <c r="B4192">
        <v>21.3</v>
      </c>
      <c r="C4192">
        <v>0.3</v>
      </c>
    </row>
    <row r="4193" spans="1:3" ht="15" customHeight="1" x14ac:dyDescent="0.25">
      <c r="A4193" t="s">
        <v>6460</v>
      </c>
      <c r="B4193">
        <v>21.3</v>
      </c>
      <c r="C4193">
        <v>0.3</v>
      </c>
    </row>
    <row r="4194" spans="1:3" ht="15" customHeight="1" x14ac:dyDescent="0.25">
      <c r="A4194" t="s">
        <v>6461</v>
      </c>
      <c r="B4194">
        <v>21.3</v>
      </c>
      <c r="C4194">
        <v>0.3</v>
      </c>
    </row>
    <row r="4195" spans="1:3" ht="15" customHeight="1" x14ac:dyDescent="0.25">
      <c r="A4195" t="s">
        <v>6462</v>
      </c>
      <c r="B4195">
        <v>21.3</v>
      </c>
      <c r="C4195">
        <v>0.3</v>
      </c>
    </row>
    <row r="4196" spans="1:3" ht="15" customHeight="1" x14ac:dyDescent="0.25">
      <c r="A4196" t="s">
        <v>6463</v>
      </c>
      <c r="B4196">
        <v>21.3</v>
      </c>
      <c r="C4196">
        <v>0.3</v>
      </c>
    </row>
    <row r="4197" spans="1:3" ht="15" customHeight="1" x14ac:dyDescent="0.25">
      <c r="A4197" t="s">
        <v>6464</v>
      </c>
      <c r="B4197">
        <v>21.3</v>
      </c>
      <c r="C4197">
        <v>0.3</v>
      </c>
    </row>
    <row r="4198" spans="1:3" ht="15" customHeight="1" x14ac:dyDescent="0.25">
      <c r="A4198" t="s">
        <v>6465</v>
      </c>
      <c r="B4198">
        <v>21.3</v>
      </c>
      <c r="C4198">
        <v>0.3</v>
      </c>
    </row>
    <row r="4199" spans="1:3" ht="15" customHeight="1" x14ac:dyDescent="0.25">
      <c r="A4199" t="s">
        <v>6466</v>
      </c>
      <c r="B4199">
        <v>21.3</v>
      </c>
      <c r="C4199">
        <v>0.3</v>
      </c>
    </row>
    <row r="4200" spans="1:3" ht="15" customHeight="1" x14ac:dyDescent="0.25">
      <c r="A4200" t="s">
        <v>6467</v>
      </c>
      <c r="B4200">
        <v>21.3</v>
      </c>
      <c r="C4200">
        <v>0.3</v>
      </c>
    </row>
    <row r="4201" spans="1:3" ht="15" customHeight="1" x14ac:dyDescent="0.25">
      <c r="A4201" t="s">
        <v>6468</v>
      </c>
      <c r="B4201">
        <v>21.3</v>
      </c>
      <c r="C4201">
        <v>0.3</v>
      </c>
    </row>
    <row r="4202" spans="1:3" ht="15" customHeight="1" x14ac:dyDescent="0.25">
      <c r="A4202" t="s">
        <v>6469</v>
      </c>
      <c r="B4202">
        <v>21.3</v>
      </c>
      <c r="C4202">
        <v>0.3</v>
      </c>
    </row>
    <row r="4203" spans="1:3" ht="15" customHeight="1" x14ac:dyDescent="0.25">
      <c r="A4203" t="s">
        <v>6470</v>
      </c>
      <c r="B4203">
        <v>21.3</v>
      </c>
      <c r="C4203">
        <v>0.3</v>
      </c>
    </row>
    <row r="4204" spans="1:3" ht="15" customHeight="1" x14ac:dyDescent="0.25">
      <c r="A4204" t="s">
        <v>6471</v>
      </c>
      <c r="B4204">
        <v>21.3</v>
      </c>
      <c r="C4204">
        <v>0.3</v>
      </c>
    </row>
    <row r="4205" spans="1:3" ht="15" customHeight="1" x14ac:dyDescent="0.25">
      <c r="A4205" t="s">
        <v>6472</v>
      </c>
      <c r="B4205">
        <v>21.3</v>
      </c>
      <c r="C4205">
        <v>0.3</v>
      </c>
    </row>
    <row r="4206" spans="1:3" ht="15" customHeight="1" x14ac:dyDescent="0.25">
      <c r="A4206" t="s">
        <v>6473</v>
      </c>
      <c r="B4206">
        <v>21.3</v>
      </c>
      <c r="C4206">
        <v>0.3</v>
      </c>
    </row>
    <row r="4207" spans="1:3" ht="15" customHeight="1" x14ac:dyDescent="0.25">
      <c r="A4207" t="s">
        <v>6474</v>
      </c>
      <c r="B4207">
        <v>21.3</v>
      </c>
      <c r="C4207">
        <v>0.3</v>
      </c>
    </row>
    <row r="4208" spans="1:3" ht="15" customHeight="1" x14ac:dyDescent="0.25">
      <c r="A4208" t="s">
        <v>6475</v>
      </c>
      <c r="B4208">
        <v>21.3</v>
      </c>
      <c r="C4208">
        <v>0.3</v>
      </c>
    </row>
    <row r="4209" spans="1:3" ht="15" customHeight="1" x14ac:dyDescent="0.25">
      <c r="A4209" t="s">
        <v>6476</v>
      </c>
      <c r="B4209">
        <v>21.3</v>
      </c>
      <c r="C4209">
        <v>0.3</v>
      </c>
    </row>
    <row r="4210" spans="1:3" ht="15" customHeight="1" x14ac:dyDescent="0.25">
      <c r="A4210" t="s">
        <v>6477</v>
      </c>
      <c r="B4210">
        <v>21.3</v>
      </c>
      <c r="C4210">
        <v>0.3</v>
      </c>
    </row>
    <row r="4211" spans="1:3" ht="15" customHeight="1" x14ac:dyDescent="0.25">
      <c r="A4211" t="s">
        <v>6478</v>
      </c>
      <c r="B4211">
        <v>21.3</v>
      </c>
      <c r="C4211">
        <v>0.3</v>
      </c>
    </row>
    <row r="4212" spans="1:3" ht="15" customHeight="1" x14ac:dyDescent="0.25">
      <c r="A4212" t="s">
        <v>6479</v>
      </c>
      <c r="B4212">
        <v>21.3</v>
      </c>
      <c r="C4212">
        <v>0.3</v>
      </c>
    </row>
    <row r="4213" spans="1:3" ht="15" customHeight="1" x14ac:dyDescent="0.25">
      <c r="A4213" t="s">
        <v>6480</v>
      </c>
      <c r="B4213">
        <v>21.3</v>
      </c>
      <c r="C4213">
        <v>0.3</v>
      </c>
    </row>
    <row r="4214" spans="1:3" ht="15" customHeight="1" x14ac:dyDescent="0.25">
      <c r="A4214" t="s">
        <v>6481</v>
      </c>
      <c r="B4214">
        <v>21.3</v>
      </c>
      <c r="C4214">
        <v>0.3</v>
      </c>
    </row>
    <row r="4215" spans="1:3" ht="15" customHeight="1" x14ac:dyDescent="0.25">
      <c r="A4215" t="s">
        <v>6482</v>
      </c>
      <c r="B4215">
        <v>21.3</v>
      </c>
      <c r="C4215">
        <v>0.3</v>
      </c>
    </row>
    <row r="4216" spans="1:3" ht="15" customHeight="1" x14ac:dyDescent="0.25">
      <c r="A4216" t="s">
        <v>6483</v>
      </c>
      <c r="B4216">
        <v>33.200000000000003</v>
      </c>
      <c r="C4216">
        <v>0.2</v>
      </c>
    </row>
    <row r="4217" spans="1:3" ht="15" customHeight="1" x14ac:dyDescent="0.25">
      <c r="A4217" t="s">
        <v>6484</v>
      </c>
      <c r="B4217">
        <v>33.200000000000003</v>
      </c>
      <c r="C4217">
        <v>0.2</v>
      </c>
    </row>
    <row r="4218" spans="1:3" ht="15" customHeight="1" x14ac:dyDescent="0.25">
      <c r="A4218" t="s">
        <v>6485</v>
      </c>
      <c r="B4218">
        <v>33.200000000000003</v>
      </c>
      <c r="C4218">
        <v>0.2</v>
      </c>
    </row>
    <row r="4219" spans="1:3" ht="15" customHeight="1" x14ac:dyDescent="0.25">
      <c r="A4219" t="s">
        <v>6486</v>
      </c>
      <c r="B4219">
        <v>32.200000000000003</v>
      </c>
      <c r="C4219">
        <v>0.05</v>
      </c>
    </row>
    <row r="4220" spans="1:3" ht="15" customHeight="1" x14ac:dyDescent="0.25">
      <c r="A4220" t="s">
        <v>6487</v>
      </c>
      <c r="B4220">
        <v>32.200000000000003</v>
      </c>
      <c r="C4220">
        <v>0.2</v>
      </c>
    </row>
    <row r="4221" spans="1:3" ht="15" customHeight="1" x14ac:dyDescent="0.25">
      <c r="A4221" t="s">
        <v>6488</v>
      </c>
      <c r="B4221">
        <v>32.200000000000003</v>
      </c>
      <c r="C4221">
        <v>0.05</v>
      </c>
    </row>
    <row r="4222" spans="1:3" ht="15" customHeight="1" x14ac:dyDescent="0.25">
      <c r="A4222" t="s">
        <v>6489</v>
      </c>
      <c r="B4222">
        <v>32.200000000000003</v>
      </c>
      <c r="C4222">
        <v>0.05</v>
      </c>
    </row>
    <row r="4223" spans="1:3" ht="15" customHeight="1" x14ac:dyDescent="0.25">
      <c r="A4223" t="s">
        <v>6490</v>
      </c>
      <c r="B4223">
        <v>32.200000000000003</v>
      </c>
      <c r="C4223">
        <v>0.2</v>
      </c>
    </row>
    <row r="4224" spans="1:3" ht="15" customHeight="1" x14ac:dyDescent="0.25">
      <c r="A4224" t="s">
        <v>6491</v>
      </c>
      <c r="B4224">
        <v>32.200000000000003</v>
      </c>
      <c r="C4224">
        <v>0.05</v>
      </c>
    </row>
    <row r="4225" spans="1:3" ht="15" customHeight="1" x14ac:dyDescent="0.25">
      <c r="A4225" t="s">
        <v>6492</v>
      </c>
      <c r="B4225">
        <v>32.200000000000003</v>
      </c>
      <c r="C4225">
        <v>0.2</v>
      </c>
    </row>
    <row r="4226" spans="1:3" ht="15" customHeight="1" x14ac:dyDescent="0.25">
      <c r="A4226" t="s">
        <v>6493</v>
      </c>
      <c r="B4226">
        <v>32.200000000000003</v>
      </c>
      <c r="C4226">
        <v>0.05</v>
      </c>
    </row>
    <row r="4227" spans="1:3" ht="15" customHeight="1" x14ac:dyDescent="0.25">
      <c r="A4227" t="s">
        <v>6494</v>
      </c>
      <c r="B4227">
        <v>32.200000000000003</v>
      </c>
      <c r="C4227">
        <v>0.2</v>
      </c>
    </row>
    <row r="4228" spans="1:3" ht="15" customHeight="1" x14ac:dyDescent="0.25">
      <c r="A4228" t="s">
        <v>6495</v>
      </c>
      <c r="B4228">
        <v>32.200000000000003</v>
      </c>
      <c r="C4228">
        <v>0.05</v>
      </c>
    </row>
    <row r="4229" spans="1:3" ht="15" customHeight="1" x14ac:dyDescent="0.25">
      <c r="A4229" t="s">
        <v>6496</v>
      </c>
      <c r="B4229">
        <v>32.200000000000003</v>
      </c>
      <c r="C4229">
        <v>0.05</v>
      </c>
    </row>
    <row r="4230" spans="1:3" ht="15" customHeight="1" x14ac:dyDescent="0.25">
      <c r="A4230" t="s">
        <v>6497</v>
      </c>
      <c r="B4230">
        <v>32.200000000000003</v>
      </c>
      <c r="C4230">
        <v>0.2</v>
      </c>
    </row>
    <row r="4231" spans="1:3" ht="15" customHeight="1" x14ac:dyDescent="0.25">
      <c r="A4231" t="s">
        <v>6498</v>
      </c>
      <c r="B4231">
        <v>32.200000000000003</v>
      </c>
      <c r="C4231">
        <v>0.05</v>
      </c>
    </row>
    <row r="4232" spans="1:3" ht="15" customHeight="1" x14ac:dyDescent="0.25">
      <c r="A4232" t="s">
        <v>6499</v>
      </c>
      <c r="B4232">
        <v>32.200000000000003</v>
      </c>
      <c r="C4232">
        <v>0.2</v>
      </c>
    </row>
    <row r="4233" spans="1:3" ht="15" customHeight="1" x14ac:dyDescent="0.25">
      <c r="A4233" t="s">
        <v>6500</v>
      </c>
      <c r="B4233">
        <v>33.200000000000003</v>
      </c>
      <c r="C4233">
        <v>0.1</v>
      </c>
    </row>
    <row r="4234" spans="1:3" ht="15" customHeight="1" x14ac:dyDescent="0.25">
      <c r="A4234" t="s">
        <v>6501</v>
      </c>
      <c r="B4234">
        <v>33.200000000000003</v>
      </c>
      <c r="C4234">
        <v>0.2</v>
      </c>
    </row>
    <row r="4235" spans="1:3" ht="15" customHeight="1" x14ac:dyDescent="0.25">
      <c r="A4235" t="s">
        <v>6502</v>
      </c>
      <c r="B4235">
        <v>33.200000000000003</v>
      </c>
      <c r="C4235">
        <v>0.1</v>
      </c>
    </row>
    <row r="4236" spans="1:3" ht="15" customHeight="1" x14ac:dyDescent="0.25">
      <c r="A4236" t="s">
        <v>6503</v>
      </c>
      <c r="B4236">
        <v>33.200000000000003</v>
      </c>
      <c r="C4236">
        <v>0.2</v>
      </c>
    </row>
    <row r="4237" spans="1:3" ht="15" customHeight="1" x14ac:dyDescent="0.25">
      <c r="A4237" t="s">
        <v>6504</v>
      </c>
      <c r="B4237">
        <v>33.200000000000003</v>
      </c>
      <c r="C4237">
        <v>0.1</v>
      </c>
    </row>
    <row r="4238" spans="1:3" ht="15" customHeight="1" x14ac:dyDescent="0.25">
      <c r="A4238" t="s">
        <v>6505</v>
      </c>
      <c r="B4238">
        <v>33.200000000000003</v>
      </c>
      <c r="C4238">
        <v>0.2</v>
      </c>
    </row>
    <row r="4239" spans="1:3" ht="15" customHeight="1" x14ac:dyDescent="0.25">
      <c r="A4239" t="s">
        <v>6506</v>
      </c>
      <c r="B4239">
        <v>33.200000000000003</v>
      </c>
      <c r="C4239">
        <v>0.1</v>
      </c>
    </row>
    <row r="4240" spans="1:3" ht="15" customHeight="1" x14ac:dyDescent="0.25">
      <c r="A4240" t="s">
        <v>6507</v>
      </c>
      <c r="B4240">
        <v>33.200000000000003</v>
      </c>
      <c r="C4240">
        <v>0.2</v>
      </c>
    </row>
    <row r="4241" spans="1:3" ht="15" customHeight="1" x14ac:dyDescent="0.25">
      <c r="A4241" t="s">
        <v>6508</v>
      </c>
      <c r="B4241">
        <v>33.200000000000003</v>
      </c>
      <c r="C4241">
        <v>0.1</v>
      </c>
    </row>
    <row r="4242" spans="1:3" ht="15" customHeight="1" x14ac:dyDescent="0.25">
      <c r="A4242" t="s">
        <v>6509</v>
      </c>
      <c r="B4242">
        <v>33.200000000000003</v>
      </c>
      <c r="C4242">
        <v>0.2</v>
      </c>
    </row>
    <row r="4243" spans="1:3" ht="15" customHeight="1" x14ac:dyDescent="0.25">
      <c r="A4243" t="s">
        <v>6510</v>
      </c>
      <c r="B4243">
        <v>33.200000000000003</v>
      </c>
      <c r="C4243">
        <v>0.1</v>
      </c>
    </row>
    <row r="4244" spans="1:3" ht="15" customHeight="1" x14ac:dyDescent="0.25">
      <c r="A4244" t="s">
        <v>6511</v>
      </c>
      <c r="B4244">
        <v>33.200000000000003</v>
      </c>
      <c r="C4244">
        <v>0.2</v>
      </c>
    </row>
    <row r="4245" spans="1:3" ht="15" customHeight="1" x14ac:dyDescent="0.25">
      <c r="A4245" t="s">
        <v>6512</v>
      </c>
      <c r="B4245">
        <v>20.6</v>
      </c>
      <c r="C4245">
        <v>0.3</v>
      </c>
    </row>
    <row r="4246" spans="1:3" ht="15" customHeight="1" x14ac:dyDescent="0.25">
      <c r="A4246" t="s">
        <v>6513</v>
      </c>
      <c r="B4246">
        <v>20.6</v>
      </c>
      <c r="C4246">
        <v>0.3</v>
      </c>
    </row>
    <row r="4247" spans="1:3" ht="15" customHeight="1" x14ac:dyDescent="0.25">
      <c r="A4247" t="s">
        <v>6514</v>
      </c>
      <c r="B4247">
        <v>20.6</v>
      </c>
      <c r="C4247">
        <v>0.3</v>
      </c>
    </row>
    <row r="4248" spans="1:3" ht="15" customHeight="1" x14ac:dyDescent="0.25">
      <c r="A4248" t="s">
        <v>6515</v>
      </c>
      <c r="B4248">
        <v>20.6</v>
      </c>
      <c r="C4248">
        <v>0.3</v>
      </c>
    </row>
    <row r="4249" spans="1:3" ht="15" customHeight="1" x14ac:dyDescent="0.25">
      <c r="A4249" t="s">
        <v>6516</v>
      </c>
      <c r="B4249">
        <v>20.6</v>
      </c>
      <c r="C4249">
        <v>0.3</v>
      </c>
    </row>
    <row r="4250" spans="1:3" ht="15" customHeight="1" x14ac:dyDescent="0.25">
      <c r="A4250" t="s">
        <v>6517</v>
      </c>
      <c r="B4250">
        <v>20.6</v>
      </c>
      <c r="C4250">
        <v>0.3</v>
      </c>
    </row>
    <row r="4251" spans="1:3" ht="15" customHeight="1" x14ac:dyDescent="0.25">
      <c r="A4251" t="s">
        <v>6518</v>
      </c>
      <c r="B4251">
        <v>20.6</v>
      </c>
      <c r="C4251">
        <v>0.3</v>
      </c>
    </row>
    <row r="4252" spans="1:3" ht="15" customHeight="1" x14ac:dyDescent="0.25">
      <c r="A4252" t="s">
        <v>6519</v>
      </c>
      <c r="B4252">
        <v>20.6</v>
      </c>
      <c r="C4252">
        <v>0.3</v>
      </c>
    </row>
    <row r="4253" spans="1:3" ht="15" customHeight="1" x14ac:dyDescent="0.25">
      <c r="A4253" t="s">
        <v>6520</v>
      </c>
      <c r="B4253">
        <v>20.6</v>
      </c>
      <c r="C4253">
        <v>0.3</v>
      </c>
    </row>
    <row r="4254" spans="1:3" ht="15" customHeight="1" x14ac:dyDescent="0.25">
      <c r="A4254" t="s">
        <v>6521</v>
      </c>
      <c r="B4254">
        <v>20.6</v>
      </c>
      <c r="C4254">
        <v>0.3</v>
      </c>
    </row>
    <row r="4255" spans="1:3" ht="15" customHeight="1" x14ac:dyDescent="0.25">
      <c r="A4255" t="s">
        <v>6522</v>
      </c>
      <c r="B4255">
        <v>20.6</v>
      </c>
      <c r="C4255">
        <v>0.3</v>
      </c>
    </row>
    <row r="4256" spans="1:3" ht="15" customHeight="1" x14ac:dyDescent="0.25">
      <c r="A4256" t="s">
        <v>6523</v>
      </c>
      <c r="B4256">
        <v>33.9</v>
      </c>
      <c r="C4256">
        <v>0.3</v>
      </c>
    </row>
    <row r="4257" spans="1:3" ht="15" customHeight="1" x14ac:dyDescent="0.25">
      <c r="A4257" t="s">
        <v>6524</v>
      </c>
      <c r="B4257">
        <v>33.9</v>
      </c>
      <c r="C4257">
        <v>0.3</v>
      </c>
    </row>
    <row r="4258" spans="1:3" ht="15" customHeight="1" x14ac:dyDescent="0.25">
      <c r="A4258" t="s">
        <v>6525</v>
      </c>
      <c r="B4258">
        <v>33.9</v>
      </c>
      <c r="C4258">
        <v>0.3</v>
      </c>
    </row>
    <row r="4259" spans="1:3" ht="15" customHeight="1" x14ac:dyDescent="0.25">
      <c r="A4259" t="s">
        <v>6526</v>
      </c>
      <c r="B4259">
        <v>33.9</v>
      </c>
      <c r="C4259">
        <v>0.3</v>
      </c>
    </row>
    <row r="4260" spans="1:3" ht="15" customHeight="1" x14ac:dyDescent="0.25">
      <c r="A4260" t="s">
        <v>6527</v>
      </c>
      <c r="B4260">
        <v>33.9</v>
      </c>
      <c r="C4260">
        <v>0.3</v>
      </c>
    </row>
    <row r="4261" spans="1:3" ht="15" customHeight="1" x14ac:dyDescent="0.25">
      <c r="A4261" t="s">
        <v>6528</v>
      </c>
      <c r="B4261">
        <v>15.3</v>
      </c>
      <c r="C4261">
        <v>0.2</v>
      </c>
    </row>
    <row r="4262" spans="1:3" ht="15" customHeight="1" x14ac:dyDescent="0.25">
      <c r="A4262" t="s">
        <v>6529</v>
      </c>
      <c r="B4262">
        <v>15.3</v>
      </c>
      <c r="C4262">
        <v>0.2</v>
      </c>
    </row>
    <row r="4263" spans="1:3" ht="15" customHeight="1" x14ac:dyDescent="0.25">
      <c r="A4263" t="s">
        <v>6530</v>
      </c>
      <c r="B4263">
        <v>15.3</v>
      </c>
      <c r="C4263">
        <v>0.2</v>
      </c>
    </row>
    <row r="4264" spans="1:3" ht="15" customHeight="1" x14ac:dyDescent="0.25">
      <c r="A4264" t="s">
        <v>6531</v>
      </c>
      <c r="B4264">
        <v>15.3</v>
      </c>
      <c r="C4264">
        <v>0.2</v>
      </c>
    </row>
    <row r="4265" spans="1:3" ht="15" customHeight="1" x14ac:dyDescent="0.25">
      <c r="A4265" t="s">
        <v>6532</v>
      </c>
      <c r="B4265">
        <v>15.3</v>
      </c>
      <c r="C4265">
        <v>0.2</v>
      </c>
    </row>
    <row r="4266" spans="1:3" ht="15" customHeight="1" x14ac:dyDescent="0.25">
      <c r="A4266" t="s">
        <v>6533</v>
      </c>
      <c r="B4266">
        <v>15.3</v>
      </c>
      <c r="C4266">
        <v>0.05</v>
      </c>
    </row>
    <row r="4267" spans="1:3" ht="15" customHeight="1" x14ac:dyDescent="0.25">
      <c r="A4267" t="s">
        <v>6534</v>
      </c>
      <c r="B4267">
        <v>15.3</v>
      </c>
      <c r="C4267">
        <v>0.1</v>
      </c>
    </row>
    <row r="4268" spans="1:3" ht="15" customHeight="1" x14ac:dyDescent="0.25">
      <c r="A4268" t="s">
        <v>6535</v>
      </c>
      <c r="B4268">
        <v>15.3</v>
      </c>
      <c r="C4268">
        <v>0.1</v>
      </c>
    </row>
    <row r="4269" spans="1:3" ht="15" customHeight="1" x14ac:dyDescent="0.25">
      <c r="A4269" t="s">
        <v>6536</v>
      </c>
      <c r="B4269">
        <v>15.3</v>
      </c>
      <c r="C4269">
        <v>0.1</v>
      </c>
    </row>
    <row r="4270" spans="1:3" ht="15" customHeight="1" x14ac:dyDescent="0.25">
      <c r="A4270" t="s">
        <v>6537</v>
      </c>
      <c r="B4270">
        <v>15.3</v>
      </c>
      <c r="C4270">
        <v>0.1</v>
      </c>
    </row>
    <row r="4271" spans="1:3" ht="15" customHeight="1" x14ac:dyDescent="0.25">
      <c r="A4271" t="s">
        <v>1129</v>
      </c>
      <c r="B4271">
        <v>8.3000000000000007</v>
      </c>
      <c r="C4271">
        <v>0.03</v>
      </c>
    </row>
    <row r="4272" spans="1:3" ht="15" customHeight="1" x14ac:dyDescent="0.25">
      <c r="A4272" t="s">
        <v>6538</v>
      </c>
      <c r="B4272">
        <v>8.3000000000000007</v>
      </c>
      <c r="C4272">
        <v>0.03</v>
      </c>
    </row>
    <row r="4273" spans="1:3" ht="15" customHeight="1" x14ac:dyDescent="0.25">
      <c r="A4273" t="s">
        <v>6539</v>
      </c>
      <c r="B4273">
        <v>8.3000000000000007</v>
      </c>
      <c r="C4273">
        <v>0.03</v>
      </c>
    </row>
    <row r="4274" spans="1:3" ht="15" customHeight="1" x14ac:dyDescent="0.25">
      <c r="A4274" t="s">
        <v>6540</v>
      </c>
      <c r="B4274">
        <v>8.3000000000000007</v>
      </c>
      <c r="C4274">
        <v>0.03</v>
      </c>
    </row>
    <row r="4275" spans="1:3" ht="15" customHeight="1" x14ac:dyDescent="0.25">
      <c r="A4275" t="s">
        <v>6541</v>
      </c>
      <c r="B4275">
        <v>8.3000000000000007</v>
      </c>
      <c r="C4275">
        <v>0.03</v>
      </c>
    </row>
    <row r="4276" spans="1:3" ht="15" customHeight="1" x14ac:dyDescent="0.25">
      <c r="A4276" t="s">
        <v>6542</v>
      </c>
      <c r="B4276">
        <v>10.8</v>
      </c>
      <c r="C4276">
        <v>0.3</v>
      </c>
    </row>
    <row r="4277" spans="1:3" ht="15" customHeight="1" x14ac:dyDescent="0.25">
      <c r="A4277" t="s">
        <v>6543</v>
      </c>
      <c r="B4277">
        <v>10.8</v>
      </c>
      <c r="C4277">
        <v>0.3</v>
      </c>
    </row>
    <row r="4278" spans="1:3" ht="15" customHeight="1" x14ac:dyDescent="0.25">
      <c r="A4278" t="s">
        <v>6544</v>
      </c>
      <c r="B4278">
        <v>10.8</v>
      </c>
      <c r="C4278">
        <v>0.3</v>
      </c>
    </row>
    <row r="4279" spans="1:3" ht="15" customHeight="1" x14ac:dyDescent="0.25">
      <c r="A4279" t="s">
        <v>6545</v>
      </c>
      <c r="B4279">
        <v>10.8</v>
      </c>
      <c r="C4279">
        <v>0.3</v>
      </c>
    </row>
    <row r="4280" spans="1:3" ht="15" customHeight="1" x14ac:dyDescent="0.25">
      <c r="A4280" t="s">
        <v>6546</v>
      </c>
      <c r="B4280">
        <v>10.8</v>
      </c>
      <c r="C4280">
        <v>0.3</v>
      </c>
    </row>
    <row r="4281" spans="1:3" ht="15" customHeight="1" x14ac:dyDescent="0.25">
      <c r="A4281" t="s">
        <v>6547</v>
      </c>
      <c r="B4281">
        <v>10.8</v>
      </c>
      <c r="C4281">
        <v>0.3</v>
      </c>
    </row>
    <row r="4282" spans="1:3" ht="15" customHeight="1" x14ac:dyDescent="0.25">
      <c r="A4282" t="s">
        <v>6548</v>
      </c>
      <c r="B4282">
        <v>10.8</v>
      </c>
      <c r="C4282">
        <v>0.3</v>
      </c>
    </row>
    <row r="4283" spans="1:3" ht="15" customHeight="1" x14ac:dyDescent="0.25">
      <c r="A4283" t="s">
        <v>6549</v>
      </c>
      <c r="B4283">
        <v>10.8</v>
      </c>
      <c r="C4283">
        <v>0.3</v>
      </c>
    </row>
    <row r="4284" spans="1:3" ht="15" customHeight="1" x14ac:dyDescent="0.25">
      <c r="A4284" t="s">
        <v>6550</v>
      </c>
      <c r="B4284">
        <v>10.8</v>
      </c>
      <c r="C4284">
        <v>0.3</v>
      </c>
    </row>
    <row r="4285" spans="1:3" ht="15" customHeight="1" x14ac:dyDescent="0.25">
      <c r="A4285" t="s">
        <v>6551</v>
      </c>
      <c r="B4285">
        <v>10.8</v>
      </c>
      <c r="C4285">
        <v>0.3</v>
      </c>
    </row>
    <row r="4286" spans="1:3" ht="15" customHeight="1" x14ac:dyDescent="0.25">
      <c r="A4286" t="s">
        <v>6552</v>
      </c>
      <c r="B4286">
        <v>10.8</v>
      </c>
      <c r="C4286">
        <v>0.3</v>
      </c>
    </row>
    <row r="4287" spans="1:3" ht="15" customHeight="1" x14ac:dyDescent="0.25">
      <c r="A4287" t="s">
        <v>6553</v>
      </c>
      <c r="B4287">
        <v>10.8</v>
      </c>
      <c r="C4287">
        <v>0.3</v>
      </c>
    </row>
    <row r="4288" spans="1:3" ht="15" customHeight="1" x14ac:dyDescent="0.25">
      <c r="A4288" t="s">
        <v>6554</v>
      </c>
      <c r="B4288">
        <v>10.8</v>
      </c>
      <c r="C4288">
        <v>0.3</v>
      </c>
    </row>
    <row r="4289" spans="1:3" ht="15" customHeight="1" x14ac:dyDescent="0.25">
      <c r="A4289" t="s">
        <v>6555</v>
      </c>
      <c r="B4289">
        <v>10.8</v>
      </c>
      <c r="C4289">
        <v>0.3</v>
      </c>
    </row>
    <row r="4290" spans="1:3" ht="15" customHeight="1" x14ac:dyDescent="0.25">
      <c r="A4290" t="s">
        <v>6556</v>
      </c>
      <c r="B4290">
        <v>33.9</v>
      </c>
    </row>
    <row r="4291" spans="1:3" ht="15" customHeight="1" x14ac:dyDescent="0.25">
      <c r="A4291" t="s">
        <v>6557</v>
      </c>
      <c r="B4291">
        <v>33.9</v>
      </c>
    </row>
    <row r="4292" spans="1:3" ht="15" customHeight="1" x14ac:dyDescent="0.25">
      <c r="A4292" t="s">
        <v>6558</v>
      </c>
      <c r="B4292">
        <v>33.9</v>
      </c>
    </row>
    <row r="4293" spans="1:3" ht="15" customHeight="1" x14ac:dyDescent="0.25">
      <c r="A4293" t="s">
        <v>6559</v>
      </c>
      <c r="B4293">
        <v>33.9</v>
      </c>
    </row>
    <row r="4294" spans="1:3" ht="15" customHeight="1" x14ac:dyDescent="0.25">
      <c r="A4294" t="s">
        <v>6560</v>
      </c>
      <c r="B4294">
        <v>33.9</v>
      </c>
    </row>
    <row r="4295" spans="1:3" ht="15" customHeight="1" x14ac:dyDescent="0.25">
      <c r="A4295" t="s">
        <v>6561</v>
      </c>
      <c r="B4295">
        <v>33.9</v>
      </c>
    </row>
    <row r="4296" spans="1:3" ht="15" customHeight="1" x14ac:dyDescent="0.25">
      <c r="A4296" t="s">
        <v>6562</v>
      </c>
      <c r="B4296">
        <v>33.9</v>
      </c>
    </row>
    <row r="4297" spans="1:3" ht="15" customHeight="1" x14ac:dyDescent="0.25">
      <c r="A4297" t="s">
        <v>6563</v>
      </c>
      <c r="B4297">
        <v>33.9</v>
      </c>
    </row>
    <row r="4298" spans="1:3" ht="15" customHeight="1" x14ac:dyDescent="0.25">
      <c r="A4298" t="s">
        <v>6564</v>
      </c>
      <c r="B4298">
        <v>33.9</v>
      </c>
    </row>
    <row r="4299" spans="1:3" ht="15" customHeight="1" x14ac:dyDescent="0.25">
      <c r="A4299" t="s">
        <v>6565</v>
      </c>
      <c r="B4299">
        <v>20.6</v>
      </c>
      <c r="C4299">
        <v>0.3</v>
      </c>
    </row>
    <row r="4300" spans="1:3" ht="15" customHeight="1" x14ac:dyDescent="0.25">
      <c r="A4300" t="s">
        <v>6566</v>
      </c>
      <c r="B4300">
        <v>20.6</v>
      </c>
      <c r="C4300">
        <v>0.3</v>
      </c>
    </row>
    <row r="4301" spans="1:3" ht="15" customHeight="1" x14ac:dyDescent="0.25">
      <c r="A4301" t="s">
        <v>6567</v>
      </c>
      <c r="B4301">
        <v>20.6</v>
      </c>
      <c r="C4301">
        <v>0.3</v>
      </c>
    </row>
    <row r="4302" spans="1:3" ht="15" customHeight="1" x14ac:dyDescent="0.25">
      <c r="A4302" t="s">
        <v>6568</v>
      </c>
      <c r="B4302">
        <v>20.6</v>
      </c>
      <c r="C4302">
        <v>0.3</v>
      </c>
    </row>
    <row r="4303" spans="1:3" ht="15" customHeight="1" x14ac:dyDescent="0.25">
      <c r="A4303" t="s">
        <v>6569</v>
      </c>
      <c r="B4303">
        <v>20.6</v>
      </c>
      <c r="C4303">
        <v>0.3</v>
      </c>
    </row>
    <row r="4304" spans="1:3" ht="15" customHeight="1" x14ac:dyDescent="0.25">
      <c r="A4304" t="s">
        <v>6570</v>
      </c>
      <c r="B4304">
        <v>20.6</v>
      </c>
      <c r="C4304">
        <v>0.3</v>
      </c>
    </row>
    <row r="4305" spans="1:3" ht="15" customHeight="1" x14ac:dyDescent="0.25">
      <c r="A4305" t="s">
        <v>6571</v>
      </c>
      <c r="B4305">
        <v>20.6</v>
      </c>
      <c r="C4305">
        <v>0.3</v>
      </c>
    </row>
    <row r="4306" spans="1:3" ht="15" customHeight="1" x14ac:dyDescent="0.25">
      <c r="A4306" t="s">
        <v>6572</v>
      </c>
      <c r="B4306">
        <v>20.6</v>
      </c>
      <c r="C4306">
        <v>0.3</v>
      </c>
    </row>
    <row r="4307" spans="1:3" ht="15" customHeight="1" x14ac:dyDescent="0.25">
      <c r="A4307" t="s">
        <v>6573</v>
      </c>
      <c r="B4307">
        <v>20.6</v>
      </c>
      <c r="C4307">
        <v>0.3</v>
      </c>
    </row>
    <row r="4308" spans="1:3" ht="15" customHeight="1" x14ac:dyDescent="0.25">
      <c r="A4308" t="s">
        <v>6574</v>
      </c>
      <c r="B4308">
        <v>20.6</v>
      </c>
      <c r="C4308">
        <v>0.3</v>
      </c>
    </row>
    <row r="4309" spans="1:3" ht="15" customHeight="1" x14ac:dyDescent="0.25">
      <c r="A4309" t="s">
        <v>6575</v>
      </c>
      <c r="B4309">
        <v>20.6</v>
      </c>
      <c r="C4309">
        <v>0.3</v>
      </c>
    </row>
    <row r="4310" spans="1:3" ht="15" customHeight="1" x14ac:dyDescent="0.25">
      <c r="A4310" t="s">
        <v>6576</v>
      </c>
      <c r="B4310">
        <v>20.6</v>
      </c>
      <c r="C4310">
        <v>0.3</v>
      </c>
    </row>
    <row r="4311" spans="1:3" ht="15" customHeight="1" x14ac:dyDescent="0.25">
      <c r="A4311" t="s">
        <v>6577</v>
      </c>
      <c r="B4311">
        <v>13.6</v>
      </c>
      <c r="C4311">
        <v>0.2</v>
      </c>
    </row>
    <row r="4312" spans="1:3" ht="15" customHeight="1" x14ac:dyDescent="0.25">
      <c r="A4312" t="s">
        <v>6578</v>
      </c>
      <c r="B4312">
        <v>13.6</v>
      </c>
      <c r="C4312">
        <v>0.2</v>
      </c>
    </row>
    <row r="4313" spans="1:3" ht="15" customHeight="1" x14ac:dyDescent="0.25">
      <c r="A4313" t="s">
        <v>6579</v>
      </c>
      <c r="B4313">
        <v>13.6</v>
      </c>
      <c r="C4313">
        <v>0.2</v>
      </c>
    </row>
    <row r="4314" spans="1:3" ht="15" customHeight="1" x14ac:dyDescent="0.25">
      <c r="A4314" t="s">
        <v>6580</v>
      </c>
      <c r="B4314">
        <v>13.6</v>
      </c>
      <c r="C4314">
        <v>0.2</v>
      </c>
    </row>
    <row r="4315" spans="1:3" ht="15" customHeight="1" x14ac:dyDescent="0.25">
      <c r="A4315" t="s">
        <v>6581</v>
      </c>
      <c r="B4315">
        <v>13.6</v>
      </c>
      <c r="C4315">
        <v>0.2</v>
      </c>
    </row>
    <row r="4316" spans="1:3" ht="15" customHeight="1" x14ac:dyDescent="0.25">
      <c r="A4316" t="s">
        <v>6582</v>
      </c>
      <c r="B4316">
        <v>13.6</v>
      </c>
      <c r="C4316">
        <v>0.2</v>
      </c>
    </row>
    <row r="4317" spans="1:3" ht="15" customHeight="1" x14ac:dyDescent="0.25">
      <c r="A4317" t="s">
        <v>6583</v>
      </c>
      <c r="B4317">
        <v>13.6</v>
      </c>
      <c r="C4317">
        <v>0.2</v>
      </c>
    </row>
    <row r="4318" spans="1:3" ht="15" customHeight="1" x14ac:dyDescent="0.25">
      <c r="A4318" t="s">
        <v>6584</v>
      </c>
      <c r="B4318">
        <v>13.6</v>
      </c>
      <c r="C4318">
        <v>0.2</v>
      </c>
    </row>
    <row r="4319" spans="1:3" ht="15" customHeight="1" x14ac:dyDescent="0.25">
      <c r="A4319" t="s">
        <v>6585</v>
      </c>
      <c r="B4319">
        <v>13.6</v>
      </c>
      <c r="C4319">
        <v>0.2</v>
      </c>
    </row>
    <row r="4320" spans="1:3" ht="15" customHeight="1" x14ac:dyDescent="0.25">
      <c r="A4320" t="s">
        <v>6586</v>
      </c>
      <c r="B4320">
        <v>13.6</v>
      </c>
      <c r="C4320">
        <v>0.2</v>
      </c>
    </row>
    <row r="4321" spans="1:3" ht="15" customHeight="1" x14ac:dyDescent="0.25">
      <c r="A4321" t="s">
        <v>6587</v>
      </c>
      <c r="B4321">
        <v>13.6</v>
      </c>
      <c r="C4321">
        <v>0.2</v>
      </c>
    </row>
    <row r="4322" spans="1:3" ht="15" customHeight="1" x14ac:dyDescent="0.25">
      <c r="A4322" t="s">
        <v>6588</v>
      </c>
      <c r="B4322">
        <v>13.6</v>
      </c>
      <c r="C4322">
        <v>0.2</v>
      </c>
    </row>
    <row r="4323" spans="1:3" ht="15" customHeight="1" x14ac:dyDescent="0.25">
      <c r="A4323" t="s">
        <v>6589</v>
      </c>
      <c r="B4323">
        <v>13.6</v>
      </c>
      <c r="C4323">
        <v>0.1</v>
      </c>
    </row>
    <row r="4324" spans="1:3" ht="15" customHeight="1" x14ac:dyDescent="0.25">
      <c r="A4324" t="s">
        <v>6590</v>
      </c>
      <c r="B4324">
        <v>13.6</v>
      </c>
      <c r="C4324">
        <v>0.1</v>
      </c>
    </row>
    <row r="4325" spans="1:3" ht="15" customHeight="1" x14ac:dyDescent="0.25">
      <c r="A4325" t="s">
        <v>6591</v>
      </c>
      <c r="B4325">
        <v>13.6</v>
      </c>
      <c r="C4325">
        <v>0.1</v>
      </c>
    </row>
    <row r="4326" spans="1:3" ht="15" customHeight="1" x14ac:dyDescent="0.25">
      <c r="A4326" t="s">
        <v>6592</v>
      </c>
      <c r="B4326">
        <v>13.6</v>
      </c>
      <c r="C4326">
        <v>0.1</v>
      </c>
    </row>
    <row r="4327" spans="1:3" ht="15" customHeight="1" x14ac:dyDescent="0.25">
      <c r="A4327" t="s">
        <v>6593</v>
      </c>
      <c r="B4327">
        <v>13.6</v>
      </c>
      <c r="C4327">
        <v>0.2</v>
      </c>
    </row>
    <row r="4328" spans="1:3" ht="15" customHeight="1" x14ac:dyDescent="0.25">
      <c r="A4328" t="s">
        <v>6594</v>
      </c>
      <c r="B4328">
        <v>13.6</v>
      </c>
      <c r="C4328">
        <v>0.2</v>
      </c>
    </row>
    <row r="4329" spans="1:3" ht="15" customHeight="1" x14ac:dyDescent="0.25">
      <c r="A4329" t="s">
        <v>6595</v>
      </c>
      <c r="B4329">
        <v>13.6</v>
      </c>
      <c r="C4329">
        <v>0.2</v>
      </c>
    </row>
    <row r="4330" spans="1:3" ht="15" customHeight="1" x14ac:dyDescent="0.25">
      <c r="A4330" t="s">
        <v>6596</v>
      </c>
      <c r="B4330">
        <v>13.6</v>
      </c>
      <c r="C4330">
        <v>0.2</v>
      </c>
    </row>
    <row r="4331" spans="1:3" ht="15" customHeight="1" x14ac:dyDescent="0.25">
      <c r="A4331" t="s">
        <v>6597</v>
      </c>
      <c r="B4331">
        <v>13.6</v>
      </c>
      <c r="C4331">
        <v>0.2</v>
      </c>
    </row>
    <row r="4332" spans="1:3" ht="15" customHeight="1" x14ac:dyDescent="0.25">
      <c r="A4332" t="s">
        <v>6598</v>
      </c>
      <c r="B4332">
        <v>13.6</v>
      </c>
      <c r="C4332">
        <v>0.2</v>
      </c>
    </row>
    <row r="4333" spans="1:3" ht="15" customHeight="1" x14ac:dyDescent="0.25">
      <c r="A4333" t="s">
        <v>6599</v>
      </c>
      <c r="B4333">
        <v>13.6</v>
      </c>
      <c r="C4333">
        <v>0.2</v>
      </c>
    </row>
    <row r="4334" spans="1:3" ht="15" customHeight="1" x14ac:dyDescent="0.25">
      <c r="A4334" t="s">
        <v>6600</v>
      </c>
      <c r="B4334">
        <v>13.6</v>
      </c>
      <c r="C4334">
        <v>0.2</v>
      </c>
    </row>
    <row r="4335" spans="1:3" ht="15" customHeight="1" x14ac:dyDescent="0.25">
      <c r="A4335" t="s">
        <v>6601</v>
      </c>
      <c r="B4335">
        <v>13.6</v>
      </c>
      <c r="C4335">
        <v>0.2</v>
      </c>
    </row>
    <row r="4336" spans="1:3" ht="15" customHeight="1" x14ac:dyDescent="0.25">
      <c r="A4336" t="s">
        <v>6602</v>
      </c>
      <c r="B4336">
        <v>13.6</v>
      </c>
      <c r="C4336">
        <v>0.2</v>
      </c>
    </row>
    <row r="4337" spans="1:3" ht="15" customHeight="1" x14ac:dyDescent="0.25">
      <c r="A4337" t="s">
        <v>6603</v>
      </c>
      <c r="B4337">
        <v>13.6</v>
      </c>
      <c r="C4337">
        <v>0.2</v>
      </c>
    </row>
    <row r="4338" spans="1:3" ht="15" customHeight="1" x14ac:dyDescent="0.25">
      <c r="A4338" t="s">
        <v>6604</v>
      </c>
      <c r="B4338">
        <v>13.6</v>
      </c>
      <c r="C4338">
        <v>0.2</v>
      </c>
    </row>
    <row r="4339" spans="1:3" ht="15" customHeight="1" x14ac:dyDescent="0.25">
      <c r="A4339" t="s">
        <v>6605</v>
      </c>
      <c r="B4339">
        <v>13.6</v>
      </c>
      <c r="C4339">
        <v>0.1</v>
      </c>
    </row>
    <row r="4340" spans="1:3" ht="15" customHeight="1" x14ac:dyDescent="0.25">
      <c r="A4340" t="s">
        <v>6606</v>
      </c>
      <c r="B4340">
        <v>13.6</v>
      </c>
      <c r="C4340">
        <v>0.1</v>
      </c>
    </row>
    <row r="4341" spans="1:3" ht="15" customHeight="1" x14ac:dyDescent="0.25">
      <c r="A4341" t="s">
        <v>6607</v>
      </c>
      <c r="B4341">
        <v>13.6</v>
      </c>
      <c r="C4341">
        <v>0.1</v>
      </c>
    </row>
    <row r="4342" spans="1:3" ht="15" customHeight="1" x14ac:dyDescent="0.25">
      <c r="A4342" t="s">
        <v>6608</v>
      </c>
      <c r="B4342">
        <v>13.6</v>
      </c>
      <c r="C4342">
        <v>0.1</v>
      </c>
    </row>
    <row r="4343" spans="1:3" ht="15" customHeight="1" x14ac:dyDescent="0.25">
      <c r="A4343" t="s">
        <v>6609</v>
      </c>
      <c r="B4343">
        <v>13.6</v>
      </c>
      <c r="C4343">
        <v>0.2</v>
      </c>
    </row>
    <row r="4344" spans="1:3" ht="15" customHeight="1" x14ac:dyDescent="0.25">
      <c r="A4344" t="s">
        <v>6610</v>
      </c>
      <c r="B4344">
        <v>13.6</v>
      </c>
      <c r="C4344">
        <v>0.2</v>
      </c>
    </row>
    <row r="4345" spans="1:3" ht="15" customHeight="1" x14ac:dyDescent="0.25">
      <c r="A4345" t="s">
        <v>6611</v>
      </c>
      <c r="B4345">
        <v>13.6</v>
      </c>
      <c r="C4345">
        <v>0.2</v>
      </c>
    </row>
    <row r="4346" spans="1:3" ht="15" customHeight="1" x14ac:dyDescent="0.25">
      <c r="A4346" t="s">
        <v>6612</v>
      </c>
      <c r="B4346">
        <v>13.6</v>
      </c>
      <c r="C4346">
        <v>0.2</v>
      </c>
    </row>
    <row r="4347" spans="1:3" ht="15" customHeight="1" x14ac:dyDescent="0.25">
      <c r="A4347" t="s">
        <v>6613</v>
      </c>
      <c r="B4347">
        <v>13.6</v>
      </c>
      <c r="C4347">
        <v>0.1</v>
      </c>
    </row>
    <row r="4348" spans="1:3" ht="15" customHeight="1" x14ac:dyDescent="0.25">
      <c r="A4348" t="s">
        <v>792</v>
      </c>
      <c r="B4348">
        <v>13.6</v>
      </c>
      <c r="C4348">
        <v>0.2</v>
      </c>
    </row>
    <row r="4349" spans="1:3" ht="15" customHeight="1" x14ac:dyDescent="0.25">
      <c r="A4349" t="s">
        <v>6614</v>
      </c>
      <c r="B4349">
        <v>13.3</v>
      </c>
      <c r="C4349">
        <v>0.2</v>
      </c>
    </row>
    <row r="4350" spans="1:3" ht="15" customHeight="1" x14ac:dyDescent="0.25">
      <c r="A4350" t="s">
        <v>6615</v>
      </c>
      <c r="B4350">
        <v>13.3</v>
      </c>
      <c r="C4350">
        <v>0.2</v>
      </c>
    </row>
    <row r="4351" spans="1:3" ht="15" customHeight="1" x14ac:dyDescent="0.25">
      <c r="A4351" t="s">
        <v>6616</v>
      </c>
      <c r="B4351">
        <v>13.3</v>
      </c>
      <c r="C4351">
        <v>0.2</v>
      </c>
    </row>
    <row r="4352" spans="1:3" ht="15" customHeight="1" x14ac:dyDescent="0.25">
      <c r="A4352" t="s">
        <v>6617</v>
      </c>
      <c r="B4352">
        <v>13.3</v>
      </c>
      <c r="C4352">
        <v>0.2</v>
      </c>
    </row>
    <row r="4353" spans="1:3" ht="15" customHeight="1" x14ac:dyDescent="0.25">
      <c r="A4353" t="s">
        <v>6618</v>
      </c>
      <c r="B4353">
        <v>13.3</v>
      </c>
      <c r="C4353">
        <v>0.2</v>
      </c>
    </row>
    <row r="4354" spans="1:3" ht="15" customHeight="1" x14ac:dyDescent="0.25">
      <c r="A4354" t="s">
        <v>6619</v>
      </c>
      <c r="B4354">
        <v>13.3</v>
      </c>
      <c r="C4354">
        <v>0.2</v>
      </c>
    </row>
    <row r="4355" spans="1:3" ht="15" customHeight="1" x14ac:dyDescent="0.25">
      <c r="A4355" t="s">
        <v>6620</v>
      </c>
      <c r="B4355">
        <v>13.3</v>
      </c>
      <c r="C4355">
        <v>0.2</v>
      </c>
    </row>
    <row r="4356" spans="1:3" ht="15" customHeight="1" x14ac:dyDescent="0.25">
      <c r="A4356" t="s">
        <v>6621</v>
      </c>
      <c r="B4356">
        <v>13.3</v>
      </c>
      <c r="C4356">
        <v>0.2</v>
      </c>
    </row>
    <row r="4357" spans="1:3" ht="15" customHeight="1" x14ac:dyDescent="0.25">
      <c r="A4357" t="s">
        <v>6622</v>
      </c>
      <c r="B4357">
        <v>13.3</v>
      </c>
      <c r="C4357">
        <v>0.2</v>
      </c>
    </row>
    <row r="4358" spans="1:3" ht="15" customHeight="1" x14ac:dyDescent="0.25">
      <c r="A4358" t="s">
        <v>6623</v>
      </c>
      <c r="B4358">
        <v>13.3</v>
      </c>
      <c r="C4358">
        <v>0.2</v>
      </c>
    </row>
    <row r="4359" spans="1:3" ht="15" customHeight="1" x14ac:dyDescent="0.25">
      <c r="A4359" t="s">
        <v>6624</v>
      </c>
      <c r="B4359">
        <v>13.3</v>
      </c>
      <c r="C4359">
        <v>0.2</v>
      </c>
    </row>
    <row r="4360" spans="1:3" ht="15" customHeight="1" x14ac:dyDescent="0.25">
      <c r="A4360" t="s">
        <v>6625</v>
      </c>
      <c r="B4360">
        <v>13.3</v>
      </c>
      <c r="C4360">
        <v>0.2</v>
      </c>
    </row>
    <row r="4361" spans="1:3" ht="15" customHeight="1" x14ac:dyDescent="0.25">
      <c r="A4361" t="s">
        <v>6626</v>
      </c>
      <c r="B4361">
        <v>13.3</v>
      </c>
      <c r="C4361">
        <v>0.2</v>
      </c>
    </row>
    <row r="4362" spans="1:3" ht="15" customHeight="1" x14ac:dyDescent="0.25">
      <c r="A4362" t="s">
        <v>6627</v>
      </c>
      <c r="B4362">
        <v>13.3</v>
      </c>
      <c r="C4362">
        <v>0.2</v>
      </c>
    </row>
    <row r="4363" spans="1:3" ht="15" customHeight="1" x14ac:dyDescent="0.25">
      <c r="A4363" t="s">
        <v>6628</v>
      </c>
      <c r="B4363">
        <v>13.3</v>
      </c>
      <c r="C4363">
        <v>0.2</v>
      </c>
    </row>
    <row r="4364" spans="1:3" ht="15" customHeight="1" x14ac:dyDescent="0.25">
      <c r="A4364" t="s">
        <v>6629</v>
      </c>
      <c r="B4364">
        <v>13.3</v>
      </c>
      <c r="C4364">
        <v>0.2</v>
      </c>
    </row>
    <row r="4365" spans="1:3" ht="15" customHeight="1" x14ac:dyDescent="0.25">
      <c r="A4365" t="s">
        <v>6630</v>
      </c>
      <c r="B4365">
        <v>13.3</v>
      </c>
      <c r="C4365">
        <v>0.2</v>
      </c>
    </row>
    <row r="4366" spans="1:3" ht="15" customHeight="1" x14ac:dyDescent="0.25">
      <c r="A4366" t="s">
        <v>6631</v>
      </c>
      <c r="B4366">
        <v>13.3</v>
      </c>
      <c r="C4366">
        <v>0.2</v>
      </c>
    </row>
    <row r="4367" spans="1:3" ht="15" customHeight="1" x14ac:dyDescent="0.25">
      <c r="A4367" t="s">
        <v>6632</v>
      </c>
      <c r="B4367">
        <v>33.9</v>
      </c>
      <c r="C4367">
        <v>0.3</v>
      </c>
    </row>
    <row r="4368" spans="1:3" ht="15" customHeight="1" x14ac:dyDescent="0.25">
      <c r="A4368" t="s">
        <v>6633</v>
      </c>
      <c r="B4368">
        <v>31.2</v>
      </c>
      <c r="C4368">
        <v>0.3</v>
      </c>
    </row>
    <row r="4369" spans="1:3" ht="15" customHeight="1" x14ac:dyDescent="0.25">
      <c r="A4369" t="s">
        <v>6634</v>
      </c>
      <c r="B4369">
        <v>33.9</v>
      </c>
      <c r="C4369">
        <v>0.3</v>
      </c>
    </row>
    <row r="4370" spans="1:3" ht="15" customHeight="1" x14ac:dyDescent="0.25">
      <c r="A4370" t="s">
        <v>6635</v>
      </c>
      <c r="B4370">
        <v>43.4</v>
      </c>
      <c r="C4370">
        <v>0.3</v>
      </c>
    </row>
    <row r="4371" spans="1:3" ht="15" customHeight="1" x14ac:dyDescent="0.25">
      <c r="A4371" t="s">
        <v>1978</v>
      </c>
      <c r="B4371">
        <v>33.9</v>
      </c>
      <c r="C4371">
        <v>0.3</v>
      </c>
    </row>
    <row r="4372" spans="1:3" ht="15" customHeight="1" x14ac:dyDescent="0.25">
      <c r="A4372" t="s">
        <v>6636</v>
      </c>
      <c r="B4372">
        <v>33.9</v>
      </c>
      <c r="C4372">
        <v>0.3</v>
      </c>
    </row>
    <row r="4373" spans="1:3" ht="15" customHeight="1" x14ac:dyDescent="0.25">
      <c r="A4373" t="s">
        <v>6637</v>
      </c>
      <c r="B4373">
        <v>33.9</v>
      </c>
      <c r="C4373">
        <v>0.3</v>
      </c>
    </row>
    <row r="4374" spans="1:3" ht="15" customHeight="1" x14ac:dyDescent="0.25">
      <c r="A4374" t="s">
        <v>6638</v>
      </c>
      <c r="B4374">
        <v>33.9</v>
      </c>
      <c r="C4374">
        <v>0.3</v>
      </c>
    </row>
    <row r="4375" spans="1:3" ht="15" customHeight="1" x14ac:dyDescent="0.25">
      <c r="A4375" t="s">
        <v>6639</v>
      </c>
      <c r="B4375">
        <v>43.4</v>
      </c>
      <c r="C4375">
        <v>0.3</v>
      </c>
    </row>
    <row r="4376" spans="1:3" ht="15" customHeight="1" x14ac:dyDescent="0.25">
      <c r="A4376" t="s">
        <v>6640</v>
      </c>
      <c r="B4376">
        <v>47.4</v>
      </c>
      <c r="C4376">
        <v>0.3</v>
      </c>
    </row>
    <row r="4377" spans="1:3" ht="15" customHeight="1" x14ac:dyDescent="0.25">
      <c r="A4377" t="s">
        <v>6641</v>
      </c>
      <c r="B4377">
        <v>33.9</v>
      </c>
      <c r="C4377">
        <v>0.3</v>
      </c>
    </row>
    <row r="4378" spans="1:3" ht="15" customHeight="1" x14ac:dyDescent="0.25">
      <c r="A4378" t="s">
        <v>6642</v>
      </c>
      <c r="B4378">
        <v>33.9</v>
      </c>
      <c r="C4378">
        <v>0.3</v>
      </c>
    </row>
    <row r="4379" spans="1:3" ht="15" customHeight="1" x14ac:dyDescent="0.25">
      <c r="A4379" t="s">
        <v>6643</v>
      </c>
      <c r="B4379">
        <v>33.9</v>
      </c>
      <c r="C4379">
        <v>0.3</v>
      </c>
    </row>
    <row r="4380" spans="1:3" ht="15" customHeight="1" x14ac:dyDescent="0.25">
      <c r="A4380" t="s">
        <v>6644</v>
      </c>
      <c r="B4380">
        <v>24.7</v>
      </c>
      <c r="C4380">
        <v>0.15</v>
      </c>
    </row>
    <row r="4381" spans="1:3" ht="15" customHeight="1" x14ac:dyDescent="0.25">
      <c r="A4381" t="s">
        <v>6645</v>
      </c>
      <c r="B4381">
        <v>77.2</v>
      </c>
      <c r="C4381">
        <v>0.15</v>
      </c>
    </row>
    <row r="4382" spans="1:3" ht="15" customHeight="1" x14ac:dyDescent="0.25">
      <c r="A4382" t="s">
        <v>6646</v>
      </c>
      <c r="B4382">
        <v>85.2</v>
      </c>
      <c r="C4382">
        <v>0.15</v>
      </c>
    </row>
    <row r="4383" spans="1:3" ht="15" customHeight="1" x14ac:dyDescent="0.25">
      <c r="A4383" t="s">
        <v>6647</v>
      </c>
      <c r="B4383">
        <v>85.2</v>
      </c>
      <c r="C4383">
        <v>0.15</v>
      </c>
    </row>
    <row r="4384" spans="1:3" ht="15" customHeight="1" x14ac:dyDescent="0.25">
      <c r="A4384" t="s">
        <v>6648</v>
      </c>
      <c r="B4384">
        <v>27.2</v>
      </c>
      <c r="C4384">
        <v>0.15</v>
      </c>
    </row>
    <row r="4385" spans="1:3" ht="15" customHeight="1" x14ac:dyDescent="0.25">
      <c r="A4385" t="s">
        <v>6649</v>
      </c>
      <c r="B4385">
        <v>41.5</v>
      </c>
      <c r="C4385">
        <v>0.15</v>
      </c>
    </row>
    <row r="4386" spans="1:3" ht="15" customHeight="1" x14ac:dyDescent="0.25">
      <c r="A4386" t="s">
        <v>6650</v>
      </c>
      <c r="B4386">
        <v>93.3</v>
      </c>
      <c r="C4386">
        <v>0.15</v>
      </c>
    </row>
    <row r="4387" spans="1:3" ht="15" customHeight="1" x14ac:dyDescent="0.25">
      <c r="A4387" t="s">
        <v>6651</v>
      </c>
      <c r="B4387">
        <v>12.5</v>
      </c>
      <c r="C4387">
        <v>0.15</v>
      </c>
    </row>
    <row r="4388" spans="1:3" ht="15" customHeight="1" x14ac:dyDescent="0.25">
      <c r="A4388" t="s">
        <v>6652</v>
      </c>
      <c r="B4388">
        <v>14.4</v>
      </c>
      <c r="C4388">
        <v>0.15</v>
      </c>
    </row>
    <row r="4389" spans="1:3" ht="15" customHeight="1" x14ac:dyDescent="0.25">
      <c r="A4389" t="s">
        <v>6653</v>
      </c>
      <c r="B4389">
        <v>16.899999999999999</v>
      </c>
      <c r="C4389">
        <v>0.15</v>
      </c>
    </row>
    <row r="4390" spans="1:3" ht="15" customHeight="1" x14ac:dyDescent="0.25">
      <c r="A4390" t="s">
        <v>6654</v>
      </c>
      <c r="B4390">
        <v>10.3</v>
      </c>
      <c r="C4390">
        <v>0.15</v>
      </c>
    </row>
    <row r="4391" spans="1:3" ht="15" customHeight="1" x14ac:dyDescent="0.25">
      <c r="A4391" t="s">
        <v>6655</v>
      </c>
      <c r="B4391">
        <v>12.3</v>
      </c>
      <c r="C4391">
        <v>0.15</v>
      </c>
    </row>
    <row r="4392" spans="1:3" ht="15" customHeight="1" x14ac:dyDescent="0.25">
      <c r="A4392" t="s">
        <v>6656</v>
      </c>
      <c r="B4392">
        <v>13.8</v>
      </c>
      <c r="C4392">
        <v>0.15</v>
      </c>
    </row>
    <row r="4393" spans="1:3" ht="15" customHeight="1" x14ac:dyDescent="0.25">
      <c r="A4393" t="s">
        <v>6657</v>
      </c>
      <c r="B4393">
        <v>18.899999999999999</v>
      </c>
      <c r="C4393">
        <v>0.15</v>
      </c>
    </row>
    <row r="4394" spans="1:3" ht="15" customHeight="1" x14ac:dyDescent="0.25">
      <c r="A4394" t="s">
        <v>6658</v>
      </c>
      <c r="B4394">
        <v>41.5</v>
      </c>
      <c r="C4394">
        <v>0.15</v>
      </c>
    </row>
    <row r="4395" spans="1:3" ht="15" customHeight="1" x14ac:dyDescent="0.25">
      <c r="A4395" t="s">
        <v>6659</v>
      </c>
      <c r="B4395">
        <v>13.3</v>
      </c>
      <c r="C4395">
        <v>0.15</v>
      </c>
    </row>
    <row r="4396" spans="1:3" ht="15" customHeight="1" x14ac:dyDescent="0.25">
      <c r="A4396" t="s">
        <v>6660</v>
      </c>
      <c r="B4396">
        <v>10.8</v>
      </c>
      <c r="C4396">
        <v>0.15</v>
      </c>
    </row>
    <row r="4397" spans="1:3" ht="15" customHeight="1" x14ac:dyDescent="0.25">
      <c r="A4397" t="s">
        <v>6661</v>
      </c>
      <c r="B4397">
        <v>10.5</v>
      </c>
      <c r="C4397">
        <v>0.15</v>
      </c>
    </row>
    <row r="4398" spans="1:3" ht="15" customHeight="1" x14ac:dyDescent="0.25">
      <c r="A4398" t="s">
        <v>6662</v>
      </c>
      <c r="B4398">
        <v>11.8</v>
      </c>
      <c r="C4398">
        <v>0.15</v>
      </c>
    </row>
    <row r="4399" spans="1:3" ht="15" customHeight="1" x14ac:dyDescent="0.25">
      <c r="A4399" t="s">
        <v>6663</v>
      </c>
      <c r="B4399">
        <v>10.5</v>
      </c>
      <c r="C4399">
        <v>0.15</v>
      </c>
    </row>
    <row r="4400" spans="1:3" ht="15" customHeight="1" x14ac:dyDescent="0.25">
      <c r="A4400" t="s">
        <v>6664</v>
      </c>
      <c r="B4400">
        <v>11.8</v>
      </c>
      <c r="C4400">
        <v>0.15</v>
      </c>
    </row>
    <row r="4401" spans="1:3" ht="15" customHeight="1" x14ac:dyDescent="0.25">
      <c r="A4401" t="s">
        <v>6665</v>
      </c>
      <c r="B4401">
        <v>24.9</v>
      </c>
      <c r="C4401">
        <v>0.15</v>
      </c>
    </row>
    <row r="4402" spans="1:3" ht="15" customHeight="1" x14ac:dyDescent="0.25">
      <c r="A4402" t="s">
        <v>6666</v>
      </c>
      <c r="B4402">
        <v>58.9</v>
      </c>
      <c r="C4402">
        <v>0.15</v>
      </c>
    </row>
    <row r="4403" spans="1:3" ht="15" customHeight="1" x14ac:dyDescent="0.25">
      <c r="A4403" t="s">
        <v>6667</v>
      </c>
      <c r="B4403">
        <v>46.9</v>
      </c>
      <c r="C4403">
        <v>0.15</v>
      </c>
    </row>
    <row r="4404" spans="1:3" ht="15" customHeight="1" x14ac:dyDescent="0.25">
      <c r="A4404" t="s">
        <v>6668</v>
      </c>
      <c r="B4404">
        <v>52.8</v>
      </c>
      <c r="C4404">
        <v>0.15</v>
      </c>
    </row>
    <row r="4405" spans="1:3" ht="15" customHeight="1" x14ac:dyDescent="0.25">
      <c r="A4405" t="s">
        <v>6669</v>
      </c>
      <c r="B4405">
        <v>47.9</v>
      </c>
      <c r="C4405">
        <v>0.15</v>
      </c>
    </row>
    <row r="4406" spans="1:3" ht="15" customHeight="1" x14ac:dyDescent="0.25">
      <c r="A4406" t="s">
        <v>6670</v>
      </c>
      <c r="B4406">
        <v>47.9</v>
      </c>
      <c r="C4406">
        <v>0.15</v>
      </c>
    </row>
    <row r="4407" spans="1:3" ht="15" customHeight="1" x14ac:dyDescent="0.25">
      <c r="A4407" t="s">
        <v>6671</v>
      </c>
      <c r="B4407">
        <v>60.6</v>
      </c>
      <c r="C4407">
        <v>0.15</v>
      </c>
    </row>
    <row r="4408" spans="1:3" ht="15" customHeight="1" x14ac:dyDescent="0.25">
      <c r="A4408" t="s">
        <v>6672</v>
      </c>
      <c r="B4408">
        <v>82.4</v>
      </c>
      <c r="C4408">
        <v>0.15</v>
      </c>
    </row>
    <row r="4409" spans="1:3" ht="15" customHeight="1" x14ac:dyDescent="0.25">
      <c r="A4409" t="s">
        <v>6673</v>
      </c>
      <c r="B4409">
        <v>103.9</v>
      </c>
      <c r="C4409">
        <v>0.15</v>
      </c>
    </row>
    <row r="4410" spans="1:3" ht="15" customHeight="1" x14ac:dyDescent="0.25">
      <c r="A4410" t="s">
        <v>6674</v>
      </c>
      <c r="B4410">
        <v>99.2</v>
      </c>
      <c r="C4410">
        <v>0.15</v>
      </c>
    </row>
    <row r="4411" spans="1:3" ht="15" customHeight="1" x14ac:dyDescent="0.25">
      <c r="A4411" t="s">
        <v>6675</v>
      </c>
      <c r="B4411">
        <v>69</v>
      </c>
      <c r="C4411">
        <v>0.15</v>
      </c>
    </row>
    <row r="4412" spans="1:3" ht="15" customHeight="1" x14ac:dyDescent="0.25">
      <c r="A4412" t="s">
        <v>6676</v>
      </c>
      <c r="B4412">
        <v>71.2</v>
      </c>
      <c r="C4412">
        <v>0.15</v>
      </c>
    </row>
    <row r="4413" spans="1:3" ht="15" customHeight="1" x14ac:dyDescent="0.25">
      <c r="A4413" t="s">
        <v>6677</v>
      </c>
      <c r="B4413">
        <v>84.2</v>
      </c>
      <c r="C4413">
        <v>0.15</v>
      </c>
    </row>
    <row r="4414" spans="1:3" ht="15" customHeight="1" x14ac:dyDescent="0.25">
      <c r="A4414" t="s">
        <v>6678</v>
      </c>
      <c r="B4414">
        <v>74.3</v>
      </c>
      <c r="C4414">
        <v>0.15</v>
      </c>
    </row>
    <row r="4415" spans="1:3" ht="15" customHeight="1" x14ac:dyDescent="0.25">
      <c r="A4415" t="s">
        <v>6679</v>
      </c>
      <c r="B4415">
        <v>59.1</v>
      </c>
      <c r="C4415">
        <v>0.15</v>
      </c>
    </row>
    <row r="4416" spans="1:3" ht="15" customHeight="1" x14ac:dyDescent="0.25">
      <c r="A4416" t="s">
        <v>6680</v>
      </c>
      <c r="B4416">
        <v>95.7</v>
      </c>
    </row>
    <row r="4417" spans="1:3" ht="15" customHeight="1" x14ac:dyDescent="0.25">
      <c r="A4417" t="s">
        <v>6681</v>
      </c>
      <c r="B4417">
        <v>77.900000000000006</v>
      </c>
      <c r="C4417">
        <v>0.15</v>
      </c>
    </row>
    <row r="4418" spans="1:3" ht="15" customHeight="1" x14ac:dyDescent="0.25">
      <c r="A4418" t="s">
        <v>6682</v>
      </c>
      <c r="B4418">
        <v>117.4</v>
      </c>
    </row>
    <row r="4419" spans="1:3" ht="15" customHeight="1" x14ac:dyDescent="0.25">
      <c r="A4419" t="s">
        <v>6683</v>
      </c>
      <c r="B4419">
        <v>133.80000000000001</v>
      </c>
    </row>
    <row r="4420" spans="1:3" ht="15" customHeight="1" x14ac:dyDescent="0.25">
      <c r="A4420" t="s">
        <v>6684</v>
      </c>
      <c r="B4420">
        <v>133.80000000000001</v>
      </c>
    </row>
    <row r="4421" spans="1:3" ht="15" customHeight="1" x14ac:dyDescent="0.25">
      <c r="A4421" t="s">
        <v>6685</v>
      </c>
      <c r="B4421">
        <v>133.80000000000001</v>
      </c>
    </row>
    <row r="4422" spans="1:3" ht="15" customHeight="1" x14ac:dyDescent="0.25">
      <c r="A4422" t="s">
        <v>6686</v>
      </c>
      <c r="B4422">
        <v>133.80000000000001</v>
      </c>
    </row>
    <row r="4423" spans="1:3" ht="15" customHeight="1" x14ac:dyDescent="0.25">
      <c r="A4423" t="s">
        <v>6687</v>
      </c>
      <c r="B4423">
        <v>133.80000000000001</v>
      </c>
    </row>
    <row r="4424" spans="1:3" ht="15" customHeight="1" x14ac:dyDescent="0.25">
      <c r="A4424" t="s">
        <v>6688</v>
      </c>
      <c r="B4424">
        <v>133.80000000000001</v>
      </c>
    </row>
    <row r="4425" spans="1:3" ht="15" customHeight="1" x14ac:dyDescent="0.25">
      <c r="A4425" t="s">
        <v>6689</v>
      </c>
      <c r="B4425">
        <v>13</v>
      </c>
      <c r="C4425">
        <v>0.05</v>
      </c>
    </row>
    <row r="4426" spans="1:3" ht="15" customHeight="1" x14ac:dyDescent="0.25">
      <c r="A4426" t="s">
        <v>6690</v>
      </c>
      <c r="B4426">
        <v>18.399999999999999</v>
      </c>
      <c r="C4426">
        <v>0.05</v>
      </c>
    </row>
    <row r="4427" spans="1:3" ht="15" customHeight="1" x14ac:dyDescent="0.25">
      <c r="A4427" t="s">
        <v>6691</v>
      </c>
      <c r="B4427">
        <v>16.3</v>
      </c>
      <c r="C4427">
        <v>0.05</v>
      </c>
    </row>
    <row r="4428" spans="1:3" ht="15" customHeight="1" x14ac:dyDescent="0.25">
      <c r="A4428" t="s">
        <v>327</v>
      </c>
      <c r="B4428">
        <v>18.399999999999999</v>
      </c>
      <c r="C4428">
        <v>0.05</v>
      </c>
    </row>
    <row r="4429" spans="1:3" ht="15" customHeight="1" x14ac:dyDescent="0.25">
      <c r="A4429" t="s">
        <v>6692</v>
      </c>
      <c r="B4429">
        <v>16.3</v>
      </c>
      <c r="C4429">
        <v>0.05</v>
      </c>
    </row>
    <row r="4430" spans="1:3" ht="15" customHeight="1" x14ac:dyDescent="0.25">
      <c r="A4430" t="s">
        <v>6693</v>
      </c>
      <c r="B4430">
        <v>14.9</v>
      </c>
    </row>
    <row r="4431" spans="1:3" ht="15" customHeight="1" x14ac:dyDescent="0.25">
      <c r="A4431" t="s">
        <v>6694</v>
      </c>
      <c r="B4431">
        <v>14.9</v>
      </c>
    </row>
    <row r="4432" spans="1:3" ht="15" customHeight="1" x14ac:dyDescent="0.25">
      <c r="A4432" t="s">
        <v>6695</v>
      </c>
      <c r="B4432">
        <v>14.9</v>
      </c>
    </row>
    <row r="4433" spans="1:2" ht="15" customHeight="1" x14ac:dyDescent="0.25">
      <c r="A4433" t="s">
        <v>6696</v>
      </c>
      <c r="B4433">
        <v>14.9</v>
      </c>
    </row>
    <row r="4434" spans="1:2" ht="15" customHeight="1" x14ac:dyDescent="0.25">
      <c r="A4434" t="s">
        <v>6697</v>
      </c>
      <c r="B4434">
        <v>14.9</v>
      </c>
    </row>
    <row r="4435" spans="1:2" ht="15" customHeight="1" x14ac:dyDescent="0.25">
      <c r="A4435" t="s">
        <v>6698</v>
      </c>
      <c r="B4435">
        <v>14.9</v>
      </c>
    </row>
    <row r="4436" spans="1:2" ht="15" customHeight="1" x14ac:dyDescent="0.25">
      <c r="A4436" t="s">
        <v>6699</v>
      </c>
      <c r="B4436">
        <v>14.9</v>
      </c>
    </row>
    <row r="4437" spans="1:2" ht="15" customHeight="1" x14ac:dyDescent="0.25">
      <c r="A4437" t="s">
        <v>6700</v>
      </c>
      <c r="B4437">
        <v>14.9</v>
      </c>
    </row>
    <row r="4438" spans="1:2" ht="15" customHeight="1" x14ac:dyDescent="0.25">
      <c r="A4438" t="s">
        <v>6701</v>
      </c>
      <c r="B4438">
        <v>14.9</v>
      </c>
    </row>
    <row r="4439" spans="1:2" ht="15" customHeight="1" x14ac:dyDescent="0.25">
      <c r="A4439" t="s">
        <v>6702</v>
      </c>
      <c r="B4439">
        <v>14.9</v>
      </c>
    </row>
    <row r="4440" spans="1:2" ht="15" customHeight="1" x14ac:dyDescent="0.25">
      <c r="A4440" t="s">
        <v>6703</v>
      </c>
      <c r="B4440">
        <v>14.9</v>
      </c>
    </row>
    <row r="4441" spans="1:2" ht="15" customHeight="1" x14ac:dyDescent="0.25">
      <c r="A4441" t="s">
        <v>6704</v>
      </c>
      <c r="B4441">
        <v>14.9</v>
      </c>
    </row>
    <row r="4442" spans="1:2" ht="15" customHeight="1" x14ac:dyDescent="0.25">
      <c r="A4442" t="s">
        <v>6705</v>
      </c>
      <c r="B4442">
        <v>14.9</v>
      </c>
    </row>
    <row r="4443" spans="1:2" ht="15" customHeight="1" x14ac:dyDescent="0.25">
      <c r="A4443" t="s">
        <v>6706</v>
      </c>
      <c r="B4443">
        <v>14.9</v>
      </c>
    </row>
    <row r="4444" spans="1:2" ht="15" customHeight="1" x14ac:dyDescent="0.25">
      <c r="A4444" t="s">
        <v>118</v>
      </c>
      <c r="B4444">
        <v>14.9</v>
      </c>
    </row>
    <row r="4445" spans="1:2" ht="15" customHeight="1" x14ac:dyDescent="0.25">
      <c r="A4445" t="s">
        <v>6707</v>
      </c>
      <c r="B4445">
        <v>14.9</v>
      </c>
    </row>
    <row r="4446" spans="1:2" ht="15" customHeight="1" x14ac:dyDescent="0.25">
      <c r="A4446" t="s">
        <v>6708</v>
      </c>
      <c r="B4446">
        <v>14.9</v>
      </c>
    </row>
    <row r="4447" spans="1:2" ht="15" customHeight="1" x14ac:dyDescent="0.25">
      <c r="A4447" t="s">
        <v>6709</v>
      </c>
      <c r="B4447">
        <v>14.9</v>
      </c>
    </row>
    <row r="4448" spans="1:2" ht="15" customHeight="1" x14ac:dyDescent="0.25">
      <c r="A4448" t="s">
        <v>6710</v>
      </c>
      <c r="B4448">
        <v>14.9</v>
      </c>
    </row>
    <row r="4449" spans="1:3" ht="15" customHeight="1" x14ac:dyDescent="0.25">
      <c r="A4449" t="s">
        <v>6711</v>
      </c>
      <c r="B4449">
        <v>14.9</v>
      </c>
    </row>
    <row r="4450" spans="1:3" ht="15" customHeight="1" x14ac:dyDescent="0.25">
      <c r="A4450" t="s">
        <v>6712</v>
      </c>
      <c r="B4450">
        <v>14.9</v>
      </c>
    </row>
    <row r="4451" spans="1:3" ht="15" customHeight="1" x14ac:dyDescent="0.25">
      <c r="A4451" t="s">
        <v>6713</v>
      </c>
      <c r="B4451">
        <v>14.9</v>
      </c>
    </row>
    <row r="4452" spans="1:3" ht="15" customHeight="1" x14ac:dyDescent="0.25">
      <c r="A4452" t="s">
        <v>6714</v>
      </c>
      <c r="B4452">
        <v>100.6</v>
      </c>
    </row>
    <row r="4453" spans="1:3" ht="15" customHeight="1" x14ac:dyDescent="0.25">
      <c r="A4453" t="s">
        <v>6715</v>
      </c>
      <c r="B4453">
        <v>19.600000000000001</v>
      </c>
    </row>
    <row r="4454" spans="1:3" ht="15" customHeight="1" x14ac:dyDescent="0.25">
      <c r="A4454" t="s">
        <v>6716</v>
      </c>
      <c r="B4454">
        <v>19.600000000000001</v>
      </c>
    </row>
    <row r="4455" spans="1:3" ht="15" customHeight="1" x14ac:dyDescent="0.25">
      <c r="A4455" t="s">
        <v>6717</v>
      </c>
      <c r="B4455">
        <v>19.600000000000001</v>
      </c>
    </row>
    <row r="4456" spans="1:3" ht="15" customHeight="1" x14ac:dyDescent="0.25">
      <c r="A4456" t="s">
        <v>6718</v>
      </c>
      <c r="B4456">
        <v>19.600000000000001</v>
      </c>
    </row>
    <row r="4457" spans="1:3" ht="15" customHeight="1" x14ac:dyDescent="0.25">
      <c r="A4457" t="s">
        <v>6719</v>
      </c>
      <c r="B4457">
        <v>19.600000000000001</v>
      </c>
    </row>
    <row r="4458" spans="1:3" ht="15" customHeight="1" x14ac:dyDescent="0.25">
      <c r="A4458" t="s">
        <v>6720</v>
      </c>
      <c r="B4458">
        <v>22.1</v>
      </c>
    </row>
    <row r="4459" spans="1:3" ht="15" customHeight="1" x14ac:dyDescent="0.25">
      <c r="A4459" t="s">
        <v>6721</v>
      </c>
      <c r="B4459">
        <v>22.1</v>
      </c>
    </row>
    <row r="4460" spans="1:3" ht="15" customHeight="1" x14ac:dyDescent="0.25">
      <c r="A4460" t="s">
        <v>6722</v>
      </c>
      <c r="B4460">
        <v>74.7</v>
      </c>
    </row>
    <row r="4461" spans="1:3" ht="15" customHeight="1" x14ac:dyDescent="0.25">
      <c r="A4461" t="s">
        <v>6723</v>
      </c>
      <c r="B4461">
        <v>74.7</v>
      </c>
    </row>
    <row r="4462" spans="1:3" ht="15" customHeight="1" x14ac:dyDescent="0.25">
      <c r="A4462" t="s">
        <v>6724</v>
      </c>
      <c r="B4462">
        <v>74.7</v>
      </c>
    </row>
    <row r="4463" spans="1:3" ht="15" customHeight="1" x14ac:dyDescent="0.25">
      <c r="A4463" t="s">
        <v>6725</v>
      </c>
      <c r="B4463">
        <v>46.8</v>
      </c>
      <c r="C4463">
        <v>0.4</v>
      </c>
    </row>
    <row r="4464" spans="1:3" ht="15" customHeight="1" x14ac:dyDescent="0.25">
      <c r="A4464" t="s">
        <v>6726</v>
      </c>
      <c r="B4464">
        <v>46.8</v>
      </c>
    </row>
    <row r="4465" spans="1:3" ht="15" customHeight="1" x14ac:dyDescent="0.25">
      <c r="A4465" t="s">
        <v>6727</v>
      </c>
      <c r="B4465">
        <v>51.2</v>
      </c>
    </row>
    <row r="4466" spans="1:3" ht="15" customHeight="1" x14ac:dyDescent="0.25">
      <c r="A4466" t="s">
        <v>6728</v>
      </c>
      <c r="B4466">
        <v>51.2</v>
      </c>
      <c r="C4466">
        <v>0.4</v>
      </c>
    </row>
    <row r="4467" spans="1:3" ht="15" customHeight="1" x14ac:dyDescent="0.25">
      <c r="A4467" t="s">
        <v>6729</v>
      </c>
      <c r="B4467">
        <v>51.2</v>
      </c>
      <c r="C4467">
        <v>0.4</v>
      </c>
    </row>
    <row r="4468" spans="1:3" ht="15" customHeight="1" x14ac:dyDescent="0.25">
      <c r="A4468" t="s">
        <v>6730</v>
      </c>
      <c r="B4468">
        <v>51.2</v>
      </c>
      <c r="C4468">
        <v>0.4</v>
      </c>
    </row>
    <row r="4469" spans="1:3" ht="15" customHeight="1" x14ac:dyDescent="0.25">
      <c r="A4469" t="s">
        <v>6731</v>
      </c>
      <c r="B4469">
        <v>55.6</v>
      </c>
      <c r="C4469">
        <v>0.4</v>
      </c>
    </row>
    <row r="4470" spans="1:3" ht="15" customHeight="1" x14ac:dyDescent="0.25">
      <c r="A4470" t="s">
        <v>6732</v>
      </c>
      <c r="B4470">
        <v>55.6</v>
      </c>
      <c r="C4470">
        <v>0.4</v>
      </c>
    </row>
    <row r="4471" spans="1:3" ht="15" customHeight="1" x14ac:dyDescent="0.25">
      <c r="A4471" t="s">
        <v>6733</v>
      </c>
      <c r="B4471">
        <v>55.6</v>
      </c>
      <c r="C4471">
        <v>0.4</v>
      </c>
    </row>
    <row r="4472" spans="1:3" ht="15" customHeight="1" x14ac:dyDescent="0.25">
      <c r="A4472" t="s">
        <v>6734</v>
      </c>
      <c r="B4472">
        <v>55.6</v>
      </c>
      <c r="C4472">
        <v>0.4</v>
      </c>
    </row>
    <row r="4473" spans="1:3" ht="15" customHeight="1" x14ac:dyDescent="0.25">
      <c r="A4473" t="s">
        <v>6735</v>
      </c>
      <c r="B4473">
        <v>61.6</v>
      </c>
    </row>
    <row r="4474" spans="1:3" ht="15" customHeight="1" x14ac:dyDescent="0.25">
      <c r="A4474" t="s">
        <v>6736</v>
      </c>
      <c r="B4474">
        <v>61.6</v>
      </c>
    </row>
    <row r="4475" spans="1:3" ht="15" customHeight="1" x14ac:dyDescent="0.25">
      <c r="A4475" t="s">
        <v>6737</v>
      </c>
      <c r="B4475">
        <v>61.6</v>
      </c>
      <c r="C4475">
        <v>0.4</v>
      </c>
    </row>
    <row r="4476" spans="1:3" ht="15" customHeight="1" x14ac:dyDescent="0.25">
      <c r="A4476" t="s">
        <v>6738</v>
      </c>
      <c r="B4476">
        <v>45.8</v>
      </c>
      <c r="C4476">
        <v>0.4</v>
      </c>
    </row>
    <row r="4477" spans="1:3" ht="15" customHeight="1" x14ac:dyDescent="0.25">
      <c r="A4477" t="s">
        <v>6739</v>
      </c>
      <c r="B4477">
        <v>45.8</v>
      </c>
      <c r="C4477">
        <v>0.4</v>
      </c>
    </row>
    <row r="4478" spans="1:3" ht="15" customHeight="1" x14ac:dyDescent="0.25">
      <c r="A4478" t="s">
        <v>6740</v>
      </c>
      <c r="B4478">
        <v>35.5</v>
      </c>
    </row>
    <row r="4479" spans="1:3" ht="15" customHeight="1" x14ac:dyDescent="0.25">
      <c r="A4479" t="s">
        <v>6741</v>
      </c>
      <c r="B4479">
        <v>27</v>
      </c>
    </row>
    <row r="4480" spans="1:3" ht="15" customHeight="1" x14ac:dyDescent="0.25">
      <c r="A4480" t="s">
        <v>6742</v>
      </c>
      <c r="B4480">
        <v>27</v>
      </c>
    </row>
    <row r="4481" spans="1:3" ht="15" customHeight="1" x14ac:dyDescent="0.25">
      <c r="A4481" t="s">
        <v>6743</v>
      </c>
      <c r="B4481">
        <v>27</v>
      </c>
      <c r="C4481">
        <v>0.8</v>
      </c>
    </row>
    <row r="4482" spans="1:3" ht="15" customHeight="1" x14ac:dyDescent="0.25">
      <c r="A4482" t="s">
        <v>6744</v>
      </c>
      <c r="B4482">
        <v>27</v>
      </c>
    </row>
    <row r="4483" spans="1:3" ht="15" customHeight="1" x14ac:dyDescent="0.25">
      <c r="A4483" t="s">
        <v>6745</v>
      </c>
      <c r="B4483">
        <v>38.200000000000003</v>
      </c>
      <c r="C4483">
        <v>0.8</v>
      </c>
    </row>
    <row r="4484" spans="1:3" ht="15" customHeight="1" x14ac:dyDescent="0.25">
      <c r="A4484" t="s">
        <v>1629</v>
      </c>
      <c r="B4484">
        <v>38.200000000000003</v>
      </c>
      <c r="C4484">
        <v>0.8</v>
      </c>
    </row>
    <row r="4485" spans="1:3" ht="15" customHeight="1" x14ac:dyDescent="0.25">
      <c r="A4485" t="s">
        <v>6746</v>
      </c>
      <c r="B4485">
        <v>38.200000000000003</v>
      </c>
      <c r="C4485">
        <v>0.8</v>
      </c>
    </row>
    <row r="4486" spans="1:3" ht="15" customHeight="1" x14ac:dyDescent="0.25">
      <c r="A4486" t="s">
        <v>6747</v>
      </c>
      <c r="B4486">
        <v>43.2</v>
      </c>
    </row>
    <row r="4487" spans="1:3" ht="15" customHeight="1" x14ac:dyDescent="0.25">
      <c r="A4487" t="s">
        <v>6748</v>
      </c>
      <c r="B4487">
        <v>43.2</v>
      </c>
    </row>
    <row r="4488" spans="1:3" ht="15" customHeight="1" x14ac:dyDescent="0.25">
      <c r="A4488" t="s">
        <v>6749</v>
      </c>
      <c r="B4488">
        <v>43.2</v>
      </c>
    </row>
    <row r="4489" spans="1:3" ht="15" customHeight="1" x14ac:dyDescent="0.25">
      <c r="A4489" t="s">
        <v>6750</v>
      </c>
      <c r="B4489">
        <v>42.6</v>
      </c>
    </row>
    <row r="4490" spans="1:3" ht="15" customHeight="1" x14ac:dyDescent="0.25">
      <c r="A4490" t="s">
        <v>6751</v>
      </c>
      <c r="B4490">
        <v>42.6</v>
      </c>
    </row>
    <row r="4491" spans="1:3" ht="15" customHeight="1" x14ac:dyDescent="0.25">
      <c r="A4491" t="s">
        <v>6752</v>
      </c>
      <c r="B4491">
        <v>42.6</v>
      </c>
    </row>
    <row r="4492" spans="1:3" ht="15" customHeight="1" x14ac:dyDescent="0.25">
      <c r="A4492" t="s">
        <v>6753</v>
      </c>
      <c r="B4492">
        <v>42.6</v>
      </c>
    </row>
    <row r="4493" spans="1:3" ht="15" customHeight="1" x14ac:dyDescent="0.25">
      <c r="A4493" t="s">
        <v>6754</v>
      </c>
      <c r="B4493">
        <v>42.6</v>
      </c>
    </row>
    <row r="4494" spans="1:3" ht="15" customHeight="1" x14ac:dyDescent="0.25">
      <c r="A4494" t="s">
        <v>6755</v>
      </c>
      <c r="B4494">
        <v>42.6</v>
      </c>
    </row>
    <row r="4495" spans="1:3" ht="15" customHeight="1" x14ac:dyDescent="0.25">
      <c r="A4495" t="s">
        <v>6756</v>
      </c>
      <c r="B4495">
        <v>28.9</v>
      </c>
    </row>
    <row r="4496" spans="1:3" ht="15" customHeight="1" x14ac:dyDescent="0.25">
      <c r="A4496" t="s">
        <v>6757</v>
      </c>
      <c r="B4496">
        <v>28.9</v>
      </c>
    </row>
    <row r="4497" spans="1:3" ht="15" customHeight="1" x14ac:dyDescent="0.25">
      <c r="A4497" t="s">
        <v>6758</v>
      </c>
      <c r="B4497">
        <v>28.9</v>
      </c>
    </row>
    <row r="4498" spans="1:3" ht="15" customHeight="1" x14ac:dyDescent="0.25">
      <c r="A4498" t="s">
        <v>6759</v>
      </c>
      <c r="B4498">
        <v>28.9</v>
      </c>
    </row>
    <row r="4499" spans="1:3" ht="15" customHeight="1" x14ac:dyDescent="0.25">
      <c r="A4499" t="s">
        <v>6760</v>
      </c>
      <c r="B4499">
        <v>39.6</v>
      </c>
      <c r="C4499">
        <v>0.3</v>
      </c>
    </row>
    <row r="4500" spans="1:3" ht="15" customHeight="1" x14ac:dyDescent="0.25">
      <c r="A4500" t="s">
        <v>6761</v>
      </c>
      <c r="B4500">
        <v>39.6</v>
      </c>
      <c r="C4500">
        <v>0.3</v>
      </c>
    </row>
    <row r="4501" spans="1:3" ht="15" customHeight="1" x14ac:dyDescent="0.25">
      <c r="A4501" t="s">
        <v>6762</v>
      </c>
      <c r="B4501">
        <v>39.6</v>
      </c>
      <c r="C4501">
        <v>0.3</v>
      </c>
    </row>
    <row r="4502" spans="1:3" ht="15" customHeight="1" x14ac:dyDescent="0.25">
      <c r="A4502" t="s">
        <v>6763</v>
      </c>
      <c r="B4502">
        <v>39.6</v>
      </c>
      <c r="C4502">
        <v>0.3</v>
      </c>
    </row>
    <row r="4503" spans="1:3" ht="15" customHeight="1" x14ac:dyDescent="0.25">
      <c r="A4503" t="s">
        <v>6764</v>
      </c>
      <c r="B4503">
        <v>39.6</v>
      </c>
    </row>
    <row r="4504" spans="1:3" ht="15" customHeight="1" x14ac:dyDescent="0.25">
      <c r="A4504" t="s">
        <v>6765</v>
      </c>
      <c r="B4504">
        <v>39.6</v>
      </c>
      <c r="C4504">
        <v>0.3</v>
      </c>
    </row>
    <row r="4505" spans="1:3" ht="15" customHeight="1" x14ac:dyDescent="0.25">
      <c r="A4505" t="s">
        <v>6766</v>
      </c>
      <c r="B4505">
        <v>39.6</v>
      </c>
      <c r="C4505">
        <v>0.3</v>
      </c>
    </row>
    <row r="4506" spans="1:3" ht="15" customHeight="1" x14ac:dyDescent="0.25">
      <c r="A4506" t="s">
        <v>6767</v>
      </c>
      <c r="B4506">
        <v>39.6</v>
      </c>
      <c r="C4506">
        <v>0.3</v>
      </c>
    </row>
    <row r="4507" spans="1:3" ht="15" customHeight="1" x14ac:dyDescent="0.25">
      <c r="A4507" t="s">
        <v>6768</v>
      </c>
      <c r="B4507">
        <v>39.6</v>
      </c>
    </row>
    <row r="4508" spans="1:3" ht="15" customHeight="1" x14ac:dyDescent="0.25">
      <c r="A4508" t="s">
        <v>6769</v>
      </c>
      <c r="B4508">
        <v>39.6</v>
      </c>
      <c r="C4508">
        <v>0.3</v>
      </c>
    </row>
    <row r="4509" spans="1:3" ht="15" customHeight="1" x14ac:dyDescent="0.25">
      <c r="A4509" t="s">
        <v>6770</v>
      </c>
      <c r="B4509">
        <v>39.6</v>
      </c>
    </row>
    <row r="4510" spans="1:3" ht="15" customHeight="1" x14ac:dyDescent="0.25">
      <c r="A4510" t="s">
        <v>6771</v>
      </c>
      <c r="B4510">
        <v>34.5</v>
      </c>
    </row>
    <row r="4511" spans="1:3" ht="15" customHeight="1" x14ac:dyDescent="0.25">
      <c r="A4511" t="s">
        <v>6772</v>
      </c>
      <c r="B4511">
        <v>36.700000000000003</v>
      </c>
    </row>
    <row r="4512" spans="1:3" ht="15" customHeight="1" x14ac:dyDescent="0.25">
      <c r="A4512" t="s">
        <v>6773</v>
      </c>
      <c r="B4512">
        <v>36.700000000000003</v>
      </c>
      <c r="C4512">
        <v>0.3</v>
      </c>
    </row>
    <row r="4513" spans="1:3" ht="15" customHeight="1" x14ac:dyDescent="0.25">
      <c r="A4513" t="s">
        <v>6774</v>
      </c>
      <c r="B4513">
        <v>39.6</v>
      </c>
    </row>
    <row r="4514" spans="1:3" ht="15" customHeight="1" x14ac:dyDescent="0.25">
      <c r="A4514" t="s">
        <v>6775</v>
      </c>
      <c r="B4514">
        <v>39.6</v>
      </c>
      <c r="C4514">
        <v>0.3</v>
      </c>
    </row>
    <row r="4515" spans="1:3" ht="15" customHeight="1" x14ac:dyDescent="0.25">
      <c r="A4515" t="s">
        <v>6776</v>
      </c>
      <c r="B4515">
        <v>39.6</v>
      </c>
    </row>
    <row r="4516" spans="1:3" ht="15" customHeight="1" x14ac:dyDescent="0.25">
      <c r="A4516" t="s">
        <v>6777</v>
      </c>
      <c r="B4516">
        <v>39.6</v>
      </c>
      <c r="C4516">
        <v>0.3</v>
      </c>
    </row>
    <row r="4517" spans="1:3" ht="15" customHeight="1" x14ac:dyDescent="0.25">
      <c r="A4517" t="s">
        <v>6778</v>
      </c>
      <c r="B4517">
        <v>46.6</v>
      </c>
      <c r="C4517">
        <v>0.1</v>
      </c>
    </row>
    <row r="4518" spans="1:3" ht="15" customHeight="1" x14ac:dyDescent="0.25">
      <c r="A4518" t="s">
        <v>6779</v>
      </c>
      <c r="B4518">
        <v>46.6</v>
      </c>
      <c r="C4518">
        <v>0.02</v>
      </c>
    </row>
    <row r="4519" spans="1:3" ht="15" customHeight="1" x14ac:dyDescent="0.25">
      <c r="A4519" t="s">
        <v>6780</v>
      </c>
      <c r="B4519">
        <v>28.6</v>
      </c>
    </row>
    <row r="4520" spans="1:3" ht="15" customHeight="1" x14ac:dyDescent="0.25">
      <c r="A4520" t="s">
        <v>6781</v>
      </c>
      <c r="B4520">
        <v>46.6</v>
      </c>
      <c r="C4520">
        <v>0.02</v>
      </c>
    </row>
    <row r="4521" spans="1:3" ht="15" customHeight="1" x14ac:dyDescent="0.25">
      <c r="A4521" t="s">
        <v>1346</v>
      </c>
      <c r="B4521">
        <v>46.6</v>
      </c>
      <c r="C4521">
        <v>0.02</v>
      </c>
    </row>
    <row r="4522" spans="1:3" ht="15" customHeight="1" x14ac:dyDescent="0.25">
      <c r="A4522" t="s">
        <v>6782</v>
      </c>
      <c r="B4522">
        <v>46.6</v>
      </c>
      <c r="C4522">
        <v>0.1</v>
      </c>
    </row>
    <row r="4523" spans="1:3" ht="15" customHeight="1" x14ac:dyDescent="0.25">
      <c r="A4523" t="s">
        <v>6783</v>
      </c>
      <c r="B4523">
        <v>46.6</v>
      </c>
      <c r="C4523">
        <v>0.3</v>
      </c>
    </row>
    <row r="4524" spans="1:3" ht="15" customHeight="1" x14ac:dyDescent="0.25">
      <c r="A4524" t="s">
        <v>6784</v>
      </c>
      <c r="B4524">
        <v>46.6</v>
      </c>
      <c r="C4524">
        <v>0.3</v>
      </c>
    </row>
    <row r="4525" spans="1:3" ht="15" customHeight="1" x14ac:dyDescent="0.25">
      <c r="A4525" t="s">
        <v>6785</v>
      </c>
      <c r="B4525">
        <v>33.9</v>
      </c>
    </row>
    <row r="4526" spans="1:3" ht="15" customHeight="1" x14ac:dyDescent="0.25">
      <c r="A4526" t="s">
        <v>6786</v>
      </c>
      <c r="B4526">
        <v>33.9</v>
      </c>
      <c r="C4526">
        <v>0.3</v>
      </c>
    </row>
    <row r="4527" spans="1:3" ht="15" customHeight="1" x14ac:dyDescent="0.25">
      <c r="A4527" t="s">
        <v>6787</v>
      </c>
      <c r="B4527">
        <v>39.6</v>
      </c>
    </row>
    <row r="4528" spans="1:3" ht="15" customHeight="1" x14ac:dyDescent="0.25">
      <c r="A4528" t="s">
        <v>6788</v>
      </c>
      <c r="B4528">
        <v>39.6</v>
      </c>
      <c r="C4528">
        <v>0.3</v>
      </c>
    </row>
    <row r="4529" spans="1:3" ht="15" customHeight="1" x14ac:dyDescent="0.25">
      <c r="A4529" t="s">
        <v>6789</v>
      </c>
      <c r="B4529">
        <v>46.6</v>
      </c>
      <c r="C4529">
        <v>0.02</v>
      </c>
    </row>
    <row r="4530" spans="1:3" ht="15" customHeight="1" x14ac:dyDescent="0.25">
      <c r="A4530" t="s">
        <v>6790</v>
      </c>
      <c r="B4530">
        <v>46.6</v>
      </c>
      <c r="C4530">
        <v>0.02</v>
      </c>
    </row>
    <row r="4531" spans="1:3" ht="15" customHeight="1" x14ac:dyDescent="0.25">
      <c r="A4531" t="s">
        <v>409</v>
      </c>
      <c r="B4531">
        <v>64.8</v>
      </c>
      <c r="C4531">
        <v>0.02</v>
      </c>
    </row>
    <row r="4532" spans="1:3" ht="15" customHeight="1" x14ac:dyDescent="0.25">
      <c r="A4532" t="s">
        <v>6791</v>
      </c>
      <c r="B4532">
        <v>131.5</v>
      </c>
      <c r="C4532">
        <v>0.02</v>
      </c>
    </row>
    <row r="4533" spans="1:3" ht="15" customHeight="1" x14ac:dyDescent="0.25">
      <c r="A4533" t="s">
        <v>408</v>
      </c>
      <c r="B4533">
        <v>64.8</v>
      </c>
      <c r="C4533">
        <v>0.02</v>
      </c>
    </row>
    <row r="4534" spans="1:3" ht="15" customHeight="1" x14ac:dyDescent="0.25">
      <c r="A4534" t="s">
        <v>6792</v>
      </c>
      <c r="B4534">
        <v>64.8</v>
      </c>
      <c r="C4534">
        <v>0.02</v>
      </c>
    </row>
    <row r="4535" spans="1:3" ht="15" customHeight="1" x14ac:dyDescent="0.25">
      <c r="A4535" t="s">
        <v>6793</v>
      </c>
      <c r="B4535">
        <v>66.3</v>
      </c>
      <c r="C4535">
        <v>0.1</v>
      </c>
    </row>
    <row r="4536" spans="1:3" ht="15" customHeight="1" x14ac:dyDescent="0.25">
      <c r="A4536" t="s">
        <v>6794</v>
      </c>
      <c r="B4536">
        <v>66.3</v>
      </c>
      <c r="C4536">
        <v>0.02</v>
      </c>
    </row>
    <row r="4537" spans="1:3" ht="15" customHeight="1" x14ac:dyDescent="0.25">
      <c r="A4537" t="s">
        <v>6795</v>
      </c>
      <c r="B4537">
        <v>120.4</v>
      </c>
      <c r="C4537">
        <v>0.1</v>
      </c>
    </row>
    <row r="4538" spans="1:3" ht="15" customHeight="1" x14ac:dyDescent="0.25">
      <c r="A4538" t="s">
        <v>6796</v>
      </c>
      <c r="B4538">
        <v>129</v>
      </c>
      <c r="C4538">
        <v>0.1</v>
      </c>
    </row>
    <row r="4539" spans="1:3" ht="15" customHeight="1" x14ac:dyDescent="0.25">
      <c r="A4539" t="s">
        <v>6797</v>
      </c>
      <c r="B4539">
        <v>103.1</v>
      </c>
      <c r="C4539">
        <v>0.1</v>
      </c>
    </row>
    <row r="4540" spans="1:3" ht="15" customHeight="1" x14ac:dyDescent="0.25">
      <c r="A4540" t="s">
        <v>6798</v>
      </c>
      <c r="B4540">
        <v>83.1</v>
      </c>
      <c r="C4540">
        <v>0.02</v>
      </c>
    </row>
    <row r="4541" spans="1:3" ht="15" customHeight="1" x14ac:dyDescent="0.25">
      <c r="A4541" t="s">
        <v>6799</v>
      </c>
      <c r="B4541">
        <v>83.1</v>
      </c>
      <c r="C4541">
        <v>0.02</v>
      </c>
    </row>
    <row r="4542" spans="1:3" ht="15" customHeight="1" x14ac:dyDescent="0.25">
      <c r="A4542" t="s">
        <v>6800</v>
      </c>
      <c r="B4542">
        <v>91.5</v>
      </c>
      <c r="C4542">
        <v>0.1</v>
      </c>
    </row>
    <row r="4543" spans="1:3" ht="15" customHeight="1" x14ac:dyDescent="0.25">
      <c r="A4543" t="s">
        <v>6801</v>
      </c>
      <c r="B4543">
        <v>120.4</v>
      </c>
      <c r="C4543">
        <v>0.1</v>
      </c>
    </row>
    <row r="4544" spans="1:3" ht="15" customHeight="1" x14ac:dyDescent="0.25">
      <c r="A4544" t="s">
        <v>6802</v>
      </c>
      <c r="B4544">
        <v>120.4</v>
      </c>
      <c r="C4544">
        <v>0.1</v>
      </c>
    </row>
    <row r="4545" spans="1:3" ht="15" customHeight="1" x14ac:dyDescent="0.25">
      <c r="A4545" t="s">
        <v>6803</v>
      </c>
      <c r="B4545">
        <v>129</v>
      </c>
      <c r="C4545">
        <v>0.1</v>
      </c>
    </row>
    <row r="4546" spans="1:3" ht="15" customHeight="1" x14ac:dyDescent="0.25">
      <c r="A4546" t="s">
        <v>6804</v>
      </c>
      <c r="B4546">
        <v>129</v>
      </c>
      <c r="C4546">
        <v>0.1</v>
      </c>
    </row>
    <row r="4547" spans="1:3" ht="15" customHeight="1" x14ac:dyDescent="0.25">
      <c r="A4547" t="s">
        <v>6805</v>
      </c>
      <c r="B4547">
        <v>83.1</v>
      </c>
      <c r="C4547">
        <v>0.1</v>
      </c>
    </row>
    <row r="4548" spans="1:3" ht="15" customHeight="1" x14ac:dyDescent="0.25">
      <c r="A4548" t="s">
        <v>6806</v>
      </c>
      <c r="B4548">
        <v>103.1</v>
      </c>
      <c r="C4548">
        <v>0.1</v>
      </c>
    </row>
    <row r="4549" spans="1:3" ht="15" customHeight="1" x14ac:dyDescent="0.25">
      <c r="A4549" t="s">
        <v>6807</v>
      </c>
      <c r="B4549">
        <v>120.1</v>
      </c>
    </row>
    <row r="4550" spans="1:3" ht="15" customHeight="1" x14ac:dyDescent="0.25">
      <c r="A4550" t="s">
        <v>6808</v>
      </c>
      <c r="B4550">
        <v>114.9</v>
      </c>
    </row>
    <row r="4551" spans="1:3" ht="15" customHeight="1" x14ac:dyDescent="0.25">
      <c r="A4551" t="s">
        <v>6809</v>
      </c>
      <c r="B4551">
        <v>120.1</v>
      </c>
    </row>
    <row r="4552" spans="1:3" ht="15" customHeight="1" x14ac:dyDescent="0.25">
      <c r="A4552" t="s">
        <v>6810</v>
      </c>
      <c r="B4552">
        <v>6</v>
      </c>
    </row>
    <row r="4553" spans="1:3" ht="15" customHeight="1" x14ac:dyDescent="0.25">
      <c r="A4553" t="s">
        <v>6811</v>
      </c>
      <c r="B4553">
        <v>37.9</v>
      </c>
      <c r="C4553">
        <v>0.1</v>
      </c>
    </row>
    <row r="4554" spans="1:3" ht="15" customHeight="1" x14ac:dyDescent="0.25">
      <c r="A4554" t="s">
        <v>6812</v>
      </c>
      <c r="B4554">
        <v>37.9</v>
      </c>
      <c r="C4554">
        <v>0.1</v>
      </c>
    </row>
    <row r="4555" spans="1:3" ht="15" customHeight="1" x14ac:dyDescent="0.25">
      <c r="A4555" t="s">
        <v>6813</v>
      </c>
      <c r="B4555">
        <v>37.9</v>
      </c>
      <c r="C4555">
        <v>0.02</v>
      </c>
    </row>
    <row r="4556" spans="1:3" ht="15" customHeight="1" x14ac:dyDescent="0.25">
      <c r="A4556" t="s">
        <v>6814</v>
      </c>
      <c r="B4556">
        <v>31.7</v>
      </c>
      <c r="C4556">
        <v>0.3</v>
      </c>
    </row>
    <row r="4557" spans="1:3" ht="15" customHeight="1" x14ac:dyDescent="0.25">
      <c r="A4557" t="s">
        <v>6815</v>
      </c>
      <c r="B4557">
        <v>31.7</v>
      </c>
      <c r="C4557">
        <v>0.3</v>
      </c>
    </row>
    <row r="4558" spans="1:3" ht="15" customHeight="1" x14ac:dyDescent="0.25">
      <c r="A4558" t="s">
        <v>6816</v>
      </c>
      <c r="B4558">
        <v>31.7</v>
      </c>
    </row>
    <row r="4559" spans="1:3" ht="15" customHeight="1" x14ac:dyDescent="0.25">
      <c r="A4559" t="s">
        <v>6817</v>
      </c>
      <c r="B4559">
        <v>31.7</v>
      </c>
    </row>
    <row r="4560" spans="1:3" ht="15" customHeight="1" x14ac:dyDescent="0.25">
      <c r="A4560" t="s">
        <v>6818</v>
      </c>
      <c r="B4560">
        <v>31.7</v>
      </c>
    </row>
    <row r="4561" spans="1:3" ht="15" customHeight="1" x14ac:dyDescent="0.25">
      <c r="A4561" t="s">
        <v>6819</v>
      </c>
      <c r="B4561">
        <v>37.9</v>
      </c>
      <c r="C4561">
        <v>0.1</v>
      </c>
    </row>
    <row r="4562" spans="1:3" ht="15" customHeight="1" x14ac:dyDescent="0.25">
      <c r="A4562" t="s">
        <v>6820</v>
      </c>
      <c r="B4562">
        <v>37.9</v>
      </c>
      <c r="C4562">
        <v>0.1</v>
      </c>
    </row>
    <row r="4563" spans="1:3" ht="15" customHeight="1" x14ac:dyDescent="0.25">
      <c r="A4563" t="s">
        <v>6821</v>
      </c>
      <c r="B4563">
        <v>31.7</v>
      </c>
    </row>
    <row r="4564" spans="1:3" ht="15" customHeight="1" x14ac:dyDescent="0.25">
      <c r="A4564" t="s">
        <v>6822</v>
      </c>
      <c r="B4564">
        <v>37.9</v>
      </c>
      <c r="C4564">
        <v>0.1</v>
      </c>
    </row>
    <row r="4565" spans="1:3" ht="15" customHeight="1" x14ac:dyDescent="0.25">
      <c r="A4565" t="s">
        <v>6823</v>
      </c>
      <c r="B4565">
        <v>40.1</v>
      </c>
      <c r="C4565">
        <v>0.02</v>
      </c>
    </row>
    <row r="4566" spans="1:3" ht="15" customHeight="1" x14ac:dyDescent="0.25">
      <c r="A4566" t="s">
        <v>1121</v>
      </c>
      <c r="B4566">
        <v>40.1</v>
      </c>
      <c r="C4566">
        <v>0.02</v>
      </c>
    </row>
    <row r="4567" spans="1:3" ht="15" customHeight="1" x14ac:dyDescent="0.25">
      <c r="A4567" t="s">
        <v>6824</v>
      </c>
      <c r="B4567">
        <v>31.7</v>
      </c>
    </row>
    <row r="4568" spans="1:3" ht="15" customHeight="1" x14ac:dyDescent="0.25">
      <c r="A4568" t="s">
        <v>6825</v>
      </c>
      <c r="B4568">
        <v>31.7</v>
      </c>
      <c r="C4568">
        <v>0.3</v>
      </c>
    </row>
    <row r="4569" spans="1:3" ht="15" customHeight="1" x14ac:dyDescent="0.25">
      <c r="A4569" t="s">
        <v>6826</v>
      </c>
      <c r="B4569">
        <v>52.5</v>
      </c>
    </row>
    <row r="4570" spans="1:3" ht="15" customHeight="1" x14ac:dyDescent="0.25">
      <c r="A4570" t="s">
        <v>6827</v>
      </c>
      <c r="B4570">
        <v>52.5</v>
      </c>
    </row>
    <row r="4571" spans="1:3" ht="15" customHeight="1" x14ac:dyDescent="0.25">
      <c r="A4571" t="s">
        <v>6828</v>
      </c>
      <c r="B4571">
        <v>52.5</v>
      </c>
    </row>
    <row r="4572" spans="1:3" ht="15" customHeight="1" x14ac:dyDescent="0.25">
      <c r="A4572" t="s">
        <v>6829</v>
      </c>
      <c r="B4572">
        <v>52.5</v>
      </c>
    </row>
    <row r="4573" spans="1:3" ht="15" customHeight="1" x14ac:dyDescent="0.25">
      <c r="A4573" t="s">
        <v>6830</v>
      </c>
      <c r="B4573">
        <v>52.5</v>
      </c>
      <c r="C4573">
        <v>0.3</v>
      </c>
    </row>
    <row r="4574" spans="1:3" ht="15" customHeight="1" x14ac:dyDescent="0.25">
      <c r="A4574" t="s">
        <v>6831</v>
      </c>
      <c r="B4574">
        <v>52.5</v>
      </c>
      <c r="C4574">
        <v>0.3</v>
      </c>
    </row>
    <row r="4575" spans="1:3" ht="15" customHeight="1" x14ac:dyDescent="0.25">
      <c r="A4575" t="s">
        <v>6832</v>
      </c>
      <c r="B4575">
        <v>52.5</v>
      </c>
      <c r="C4575">
        <v>0.3</v>
      </c>
    </row>
    <row r="4576" spans="1:3" ht="15" customHeight="1" x14ac:dyDescent="0.25">
      <c r="A4576" t="s">
        <v>6833</v>
      </c>
      <c r="B4576">
        <v>52.5</v>
      </c>
      <c r="C4576">
        <v>0.3</v>
      </c>
    </row>
    <row r="4577" spans="1:3" ht="15" customHeight="1" x14ac:dyDescent="0.25">
      <c r="A4577" t="s">
        <v>6834</v>
      </c>
      <c r="B4577">
        <v>31.7</v>
      </c>
      <c r="C4577">
        <v>0.3</v>
      </c>
    </row>
    <row r="4578" spans="1:3" ht="15" customHeight="1" x14ac:dyDescent="0.25">
      <c r="A4578" t="s">
        <v>6835</v>
      </c>
      <c r="B4578">
        <v>31.7</v>
      </c>
      <c r="C4578">
        <v>0.3</v>
      </c>
    </row>
    <row r="4579" spans="1:3" ht="15" customHeight="1" x14ac:dyDescent="0.25">
      <c r="A4579" t="s">
        <v>6836</v>
      </c>
      <c r="B4579">
        <v>52.5</v>
      </c>
      <c r="C4579">
        <v>0.3</v>
      </c>
    </row>
    <row r="4580" spans="1:3" ht="15" customHeight="1" x14ac:dyDescent="0.25">
      <c r="A4580" t="s">
        <v>6837</v>
      </c>
      <c r="B4580">
        <v>52.5</v>
      </c>
      <c r="C4580">
        <v>0.3</v>
      </c>
    </row>
    <row r="4581" spans="1:3" ht="15" customHeight="1" x14ac:dyDescent="0.25">
      <c r="A4581" t="s">
        <v>6838</v>
      </c>
      <c r="B4581">
        <v>52.5</v>
      </c>
    </row>
    <row r="4582" spans="1:3" ht="15" customHeight="1" x14ac:dyDescent="0.25">
      <c r="A4582" t="s">
        <v>6839</v>
      </c>
      <c r="B4582">
        <v>52.5</v>
      </c>
    </row>
    <row r="4583" spans="1:3" ht="15" customHeight="1" x14ac:dyDescent="0.25">
      <c r="A4583" t="s">
        <v>6840</v>
      </c>
      <c r="B4583">
        <v>52.5</v>
      </c>
    </row>
    <row r="4584" spans="1:3" ht="15" customHeight="1" x14ac:dyDescent="0.25">
      <c r="A4584" t="s">
        <v>6841</v>
      </c>
      <c r="B4584">
        <v>52.5</v>
      </c>
    </row>
    <row r="4585" spans="1:3" ht="15" customHeight="1" x14ac:dyDescent="0.25">
      <c r="A4585" t="s">
        <v>6842</v>
      </c>
      <c r="B4585">
        <v>52.5</v>
      </c>
      <c r="C4585">
        <v>0.3</v>
      </c>
    </row>
    <row r="4586" spans="1:3" ht="15" customHeight="1" x14ac:dyDescent="0.25">
      <c r="A4586" t="s">
        <v>6843</v>
      </c>
      <c r="B4586">
        <v>52.5</v>
      </c>
    </row>
    <row r="4587" spans="1:3" ht="15" customHeight="1" x14ac:dyDescent="0.25">
      <c r="A4587" t="s">
        <v>6844</v>
      </c>
      <c r="B4587">
        <v>31.7</v>
      </c>
    </row>
    <row r="4588" spans="1:3" ht="15" customHeight="1" x14ac:dyDescent="0.25">
      <c r="A4588" t="s">
        <v>6845</v>
      </c>
      <c r="B4588">
        <v>31.7</v>
      </c>
    </row>
    <row r="4589" spans="1:3" ht="15" customHeight="1" x14ac:dyDescent="0.25">
      <c r="A4589" t="s">
        <v>6846</v>
      </c>
      <c r="B4589">
        <v>31.7</v>
      </c>
    </row>
    <row r="4590" spans="1:3" ht="15" customHeight="1" x14ac:dyDescent="0.25">
      <c r="A4590" t="s">
        <v>6847</v>
      </c>
      <c r="B4590">
        <v>50.8</v>
      </c>
      <c r="C4590">
        <v>0.3</v>
      </c>
    </row>
    <row r="4591" spans="1:3" ht="15" customHeight="1" x14ac:dyDescent="0.25">
      <c r="A4591" t="s">
        <v>6848</v>
      </c>
      <c r="B4591">
        <v>55.1</v>
      </c>
      <c r="C4591">
        <v>0.1</v>
      </c>
    </row>
    <row r="4592" spans="1:3" ht="15" customHeight="1" x14ac:dyDescent="0.25">
      <c r="A4592" t="s">
        <v>6849</v>
      </c>
      <c r="B4592">
        <v>50.8</v>
      </c>
      <c r="C4592">
        <v>0.3</v>
      </c>
    </row>
    <row r="4593" spans="1:3" ht="15" customHeight="1" x14ac:dyDescent="0.25">
      <c r="A4593" t="s">
        <v>6850</v>
      </c>
      <c r="B4593">
        <v>55.1</v>
      </c>
      <c r="C4593">
        <v>0.1</v>
      </c>
    </row>
    <row r="4594" spans="1:3" ht="15" customHeight="1" x14ac:dyDescent="0.25">
      <c r="A4594" t="s">
        <v>6851</v>
      </c>
      <c r="B4594">
        <v>50.8</v>
      </c>
    </row>
    <row r="4595" spans="1:3" ht="15" customHeight="1" x14ac:dyDescent="0.25">
      <c r="A4595" t="s">
        <v>6852</v>
      </c>
      <c r="B4595">
        <v>50.8</v>
      </c>
    </row>
    <row r="4596" spans="1:3" ht="15" customHeight="1" x14ac:dyDescent="0.25">
      <c r="A4596" t="s">
        <v>6853</v>
      </c>
      <c r="B4596">
        <v>50.8</v>
      </c>
    </row>
    <row r="4597" spans="1:3" ht="15" customHeight="1" x14ac:dyDescent="0.25">
      <c r="A4597" t="s">
        <v>6854</v>
      </c>
      <c r="B4597">
        <v>26.1</v>
      </c>
      <c r="C4597">
        <v>0.3</v>
      </c>
    </row>
    <row r="4598" spans="1:3" ht="15" customHeight="1" x14ac:dyDescent="0.25">
      <c r="A4598" t="s">
        <v>6855</v>
      </c>
      <c r="B4598">
        <v>26.1</v>
      </c>
      <c r="C4598">
        <v>0.3</v>
      </c>
    </row>
    <row r="4599" spans="1:3" ht="15" customHeight="1" x14ac:dyDescent="0.25">
      <c r="A4599" t="s">
        <v>6856</v>
      </c>
      <c r="B4599">
        <v>28.4</v>
      </c>
      <c r="C4599">
        <v>0.3</v>
      </c>
    </row>
    <row r="4600" spans="1:3" ht="15" customHeight="1" x14ac:dyDescent="0.25">
      <c r="A4600" t="s">
        <v>6857</v>
      </c>
      <c r="B4600">
        <v>28.4</v>
      </c>
      <c r="C4600">
        <v>0.3</v>
      </c>
    </row>
    <row r="4601" spans="1:3" ht="15" customHeight="1" x14ac:dyDescent="0.25">
      <c r="A4601" t="s">
        <v>6858</v>
      </c>
      <c r="B4601">
        <v>26.1</v>
      </c>
    </row>
    <row r="4602" spans="1:3" ht="15" customHeight="1" x14ac:dyDescent="0.25">
      <c r="A4602" t="s">
        <v>6859</v>
      </c>
      <c r="B4602">
        <v>26.1</v>
      </c>
      <c r="C4602">
        <v>0.3</v>
      </c>
    </row>
    <row r="4603" spans="1:3" ht="15" customHeight="1" x14ac:dyDescent="0.25">
      <c r="A4603" t="s">
        <v>6860</v>
      </c>
      <c r="B4603">
        <v>34.5</v>
      </c>
      <c r="C4603">
        <v>0.1</v>
      </c>
    </row>
    <row r="4604" spans="1:3" ht="15" customHeight="1" x14ac:dyDescent="0.25">
      <c r="A4604" t="s">
        <v>6861</v>
      </c>
      <c r="B4604">
        <v>28.4</v>
      </c>
      <c r="C4604">
        <v>0.3</v>
      </c>
    </row>
    <row r="4605" spans="1:3" ht="15" customHeight="1" x14ac:dyDescent="0.25">
      <c r="A4605" t="s">
        <v>6862</v>
      </c>
      <c r="B4605">
        <v>34.5</v>
      </c>
      <c r="C4605">
        <v>0.1</v>
      </c>
    </row>
    <row r="4606" spans="1:3" ht="15" customHeight="1" x14ac:dyDescent="0.25">
      <c r="A4606" t="s">
        <v>6863</v>
      </c>
      <c r="B4606">
        <v>28.4</v>
      </c>
    </row>
    <row r="4607" spans="1:3" ht="15" customHeight="1" x14ac:dyDescent="0.25">
      <c r="A4607" t="s">
        <v>6864</v>
      </c>
      <c r="B4607">
        <v>50.8</v>
      </c>
    </row>
    <row r="4608" spans="1:3" ht="15" customHeight="1" x14ac:dyDescent="0.25">
      <c r="A4608" t="s">
        <v>6865</v>
      </c>
      <c r="B4608">
        <v>50.8</v>
      </c>
      <c r="C4608">
        <v>0.3</v>
      </c>
    </row>
    <row r="4609" spans="1:3" ht="15" customHeight="1" x14ac:dyDescent="0.25">
      <c r="A4609" t="s">
        <v>6866</v>
      </c>
      <c r="B4609">
        <v>50.8</v>
      </c>
      <c r="C4609">
        <v>0.3</v>
      </c>
    </row>
    <row r="4610" spans="1:3" ht="15" customHeight="1" x14ac:dyDescent="0.25">
      <c r="A4610" t="s">
        <v>6867</v>
      </c>
      <c r="B4610">
        <v>3.3</v>
      </c>
    </row>
    <row r="4611" spans="1:3" ht="15" customHeight="1" x14ac:dyDescent="0.25">
      <c r="A4611" t="s">
        <v>6868</v>
      </c>
      <c r="B4611">
        <v>3.3</v>
      </c>
    </row>
    <row r="4612" spans="1:3" ht="15" customHeight="1" x14ac:dyDescent="0.25">
      <c r="A4612" t="s">
        <v>6869</v>
      </c>
      <c r="B4612">
        <v>3.3</v>
      </c>
    </row>
    <row r="4613" spans="1:3" ht="15" customHeight="1" x14ac:dyDescent="0.25">
      <c r="A4613" t="s">
        <v>6870</v>
      </c>
      <c r="B4613">
        <v>3.3</v>
      </c>
    </row>
    <row r="4614" spans="1:3" ht="15" customHeight="1" x14ac:dyDescent="0.25">
      <c r="A4614" t="s">
        <v>6871</v>
      </c>
      <c r="B4614">
        <v>5</v>
      </c>
    </row>
    <row r="4615" spans="1:3" ht="15" customHeight="1" x14ac:dyDescent="0.25">
      <c r="A4615" t="s">
        <v>6872</v>
      </c>
      <c r="B4615">
        <v>7.1</v>
      </c>
    </row>
    <row r="4616" spans="1:3" ht="15" customHeight="1" x14ac:dyDescent="0.25">
      <c r="A4616" t="s">
        <v>6873</v>
      </c>
      <c r="B4616">
        <v>4</v>
      </c>
    </row>
    <row r="4617" spans="1:3" ht="15" customHeight="1" x14ac:dyDescent="0.25">
      <c r="A4617" t="s">
        <v>6874</v>
      </c>
      <c r="B4617">
        <v>5.6</v>
      </c>
    </row>
    <row r="4618" spans="1:3" ht="15" customHeight="1" x14ac:dyDescent="0.25">
      <c r="A4618" t="s">
        <v>6875</v>
      </c>
      <c r="B4618">
        <v>2.8</v>
      </c>
    </row>
    <row r="4619" spans="1:3" ht="15" customHeight="1" x14ac:dyDescent="0.25">
      <c r="A4619" t="s">
        <v>6876</v>
      </c>
      <c r="B4619">
        <v>3.3</v>
      </c>
    </row>
    <row r="4620" spans="1:3" ht="15" customHeight="1" x14ac:dyDescent="0.25">
      <c r="A4620" t="s">
        <v>6877</v>
      </c>
      <c r="B4620">
        <v>3.3</v>
      </c>
    </row>
    <row r="4621" spans="1:3" ht="15" customHeight="1" x14ac:dyDescent="0.25">
      <c r="A4621" t="s">
        <v>6878</v>
      </c>
      <c r="B4621">
        <v>3.3</v>
      </c>
    </row>
    <row r="4622" spans="1:3" ht="15" customHeight="1" x14ac:dyDescent="0.25">
      <c r="A4622" t="s">
        <v>6879</v>
      </c>
      <c r="B4622">
        <v>3.3</v>
      </c>
      <c r="C4622">
        <v>0.3</v>
      </c>
    </row>
    <row r="4623" spans="1:3" ht="15" customHeight="1" x14ac:dyDescent="0.25">
      <c r="A4623" t="s">
        <v>6880</v>
      </c>
      <c r="B4623">
        <v>3.3</v>
      </c>
    </row>
    <row r="4624" spans="1:3" ht="15" customHeight="1" x14ac:dyDescent="0.25">
      <c r="A4624" t="s">
        <v>6881</v>
      </c>
      <c r="B4624">
        <v>5.8</v>
      </c>
    </row>
    <row r="4625" spans="1:3" ht="15" customHeight="1" x14ac:dyDescent="0.25">
      <c r="A4625" t="s">
        <v>6882</v>
      </c>
      <c r="B4625">
        <v>5.8</v>
      </c>
      <c r="C4625">
        <v>0.3</v>
      </c>
    </row>
    <row r="4626" spans="1:3" ht="15" customHeight="1" x14ac:dyDescent="0.25">
      <c r="A4626" t="s">
        <v>6883</v>
      </c>
      <c r="B4626">
        <v>5.8</v>
      </c>
      <c r="C4626">
        <v>0.3</v>
      </c>
    </row>
    <row r="4627" spans="1:3" ht="15" customHeight="1" x14ac:dyDescent="0.25">
      <c r="A4627" t="s">
        <v>6884</v>
      </c>
      <c r="B4627">
        <v>5.8</v>
      </c>
      <c r="C4627">
        <v>0.3</v>
      </c>
    </row>
    <row r="4628" spans="1:3" ht="15" customHeight="1" x14ac:dyDescent="0.25">
      <c r="A4628" t="s">
        <v>6885</v>
      </c>
      <c r="B4628">
        <v>5.8</v>
      </c>
      <c r="C4628">
        <v>0.3</v>
      </c>
    </row>
    <row r="4629" spans="1:3" ht="15" customHeight="1" x14ac:dyDescent="0.25">
      <c r="A4629" t="s">
        <v>6886</v>
      </c>
      <c r="B4629">
        <v>10</v>
      </c>
    </row>
    <row r="4630" spans="1:3" ht="15" customHeight="1" x14ac:dyDescent="0.25">
      <c r="A4630" t="s">
        <v>6887</v>
      </c>
      <c r="B4630">
        <v>6.8</v>
      </c>
    </row>
    <row r="4631" spans="1:3" ht="15" customHeight="1" x14ac:dyDescent="0.25">
      <c r="A4631" t="s">
        <v>6888</v>
      </c>
      <c r="B4631">
        <v>6.8</v>
      </c>
    </row>
    <row r="4632" spans="1:3" ht="15" customHeight="1" x14ac:dyDescent="0.25">
      <c r="A4632" t="s">
        <v>6889</v>
      </c>
      <c r="B4632">
        <v>5.7</v>
      </c>
    </row>
    <row r="4633" spans="1:3" ht="15" customHeight="1" x14ac:dyDescent="0.25">
      <c r="A4633" t="s">
        <v>6890</v>
      </c>
      <c r="B4633">
        <v>5.7</v>
      </c>
    </row>
    <row r="4634" spans="1:3" ht="15" customHeight="1" x14ac:dyDescent="0.25">
      <c r="A4634" t="s">
        <v>6891</v>
      </c>
      <c r="B4634">
        <v>5.7</v>
      </c>
    </row>
    <row r="4635" spans="1:3" ht="15" customHeight="1" x14ac:dyDescent="0.25">
      <c r="A4635" t="s">
        <v>6892</v>
      </c>
      <c r="B4635">
        <v>5.7</v>
      </c>
    </row>
    <row r="4636" spans="1:3" ht="15" customHeight="1" x14ac:dyDescent="0.25">
      <c r="A4636" t="s">
        <v>6893</v>
      </c>
      <c r="B4636">
        <v>12</v>
      </c>
      <c r="C4636">
        <v>0.3</v>
      </c>
    </row>
    <row r="4637" spans="1:3" ht="15" customHeight="1" x14ac:dyDescent="0.25">
      <c r="A4637" t="s">
        <v>6894</v>
      </c>
      <c r="B4637">
        <v>27.4</v>
      </c>
    </row>
    <row r="4638" spans="1:3" ht="15" customHeight="1" x14ac:dyDescent="0.25">
      <c r="A4638" t="s">
        <v>6895</v>
      </c>
      <c r="B4638">
        <v>3</v>
      </c>
    </row>
    <row r="4639" spans="1:3" ht="15" customHeight="1" x14ac:dyDescent="0.25">
      <c r="A4639" t="s">
        <v>6896</v>
      </c>
      <c r="B4639">
        <v>3</v>
      </c>
    </row>
    <row r="4640" spans="1:3" ht="15" customHeight="1" x14ac:dyDescent="0.25">
      <c r="A4640" t="s">
        <v>6897</v>
      </c>
      <c r="B4640">
        <v>3</v>
      </c>
    </row>
    <row r="4641" spans="1:2" ht="15" customHeight="1" x14ac:dyDescent="0.25">
      <c r="A4641" t="s">
        <v>6898</v>
      </c>
      <c r="B4641">
        <v>13.1</v>
      </c>
    </row>
    <row r="4642" spans="1:2" ht="15" customHeight="1" x14ac:dyDescent="0.25">
      <c r="A4642" t="s">
        <v>6899</v>
      </c>
      <c r="B4642">
        <v>13.1</v>
      </c>
    </row>
    <row r="4643" spans="1:2" ht="15" customHeight="1" x14ac:dyDescent="0.25">
      <c r="A4643" t="s">
        <v>6900</v>
      </c>
      <c r="B4643">
        <v>13.1</v>
      </c>
    </row>
    <row r="4644" spans="1:2" ht="15" customHeight="1" x14ac:dyDescent="0.25">
      <c r="A4644" t="s">
        <v>6901</v>
      </c>
      <c r="B4644">
        <v>28.4</v>
      </c>
    </row>
    <row r="4645" spans="1:2" ht="15" customHeight="1" x14ac:dyDescent="0.25">
      <c r="A4645" t="s">
        <v>6902</v>
      </c>
      <c r="B4645">
        <v>28.4</v>
      </c>
    </row>
    <row r="4646" spans="1:2" ht="15" customHeight="1" x14ac:dyDescent="0.25">
      <c r="A4646" t="s">
        <v>6903</v>
      </c>
      <c r="B4646">
        <v>28.4</v>
      </c>
    </row>
    <row r="4647" spans="1:2" ht="15" customHeight="1" x14ac:dyDescent="0.25">
      <c r="A4647" t="s">
        <v>6904</v>
      </c>
      <c r="B4647">
        <v>28.4</v>
      </c>
    </row>
    <row r="4648" spans="1:2" ht="15" customHeight="1" x14ac:dyDescent="0.25">
      <c r="A4648" t="s">
        <v>6905</v>
      </c>
      <c r="B4648">
        <v>28.4</v>
      </c>
    </row>
    <row r="4649" spans="1:2" ht="15" customHeight="1" x14ac:dyDescent="0.25">
      <c r="A4649" t="s">
        <v>6906</v>
      </c>
      <c r="B4649">
        <v>28.4</v>
      </c>
    </row>
    <row r="4650" spans="1:2" ht="15" customHeight="1" x14ac:dyDescent="0.25">
      <c r="A4650" t="s">
        <v>6907</v>
      </c>
      <c r="B4650">
        <v>28.4</v>
      </c>
    </row>
    <row r="4651" spans="1:2" ht="15" customHeight="1" x14ac:dyDescent="0.25">
      <c r="A4651" t="s">
        <v>6908</v>
      </c>
      <c r="B4651">
        <v>29.1</v>
      </c>
    </row>
    <row r="4652" spans="1:2" ht="15" customHeight="1" x14ac:dyDescent="0.25">
      <c r="A4652" t="s">
        <v>6909</v>
      </c>
      <c r="B4652">
        <v>29.1</v>
      </c>
    </row>
    <row r="4653" spans="1:2" ht="15" customHeight="1" x14ac:dyDescent="0.25">
      <c r="A4653" t="s">
        <v>6910</v>
      </c>
      <c r="B4653">
        <v>29.1</v>
      </c>
    </row>
    <row r="4654" spans="1:2" ht="15" customHeight="1" x14ac:dyDescent="0.25">
      <c r="A4654" t="s">
        <v>6911</v>
      </c>
      <c r="B4654">
        <v>29.1</v>
      </c>
    </row>
    <row r="4655" spans="1:2" ht="15" customHeight="1" x14ac:dyDescent="0.25">
      <c r="A4655" t="s">
        <v>6912</v>
      </c>
      <c r="B4655">
        <v>29.1</v>
      </c>
    </row>
    <row r="4656" spans="1:2" ht="15" customHeight="1" x14ac:dyDescent="0.25">
      <c r="A4656" t="s">
        <v>6913</v>
      </c>
      <c r="B4656">
        <v>29.1</v>
      </c>
    </row>
    <row r="4657" spans="1:2" ht="15" customHeight="1" x14ac:dyDescent="0.25">
      <c r="A4657" t="s">
        <v>6914</v>
      </c>
      <c r="B4657">
        <v>29.1</v>
      </c>
    </row>
    <row r="4658" spans="1:2" ht="15" customHeight="1" x14ac:dyDescent="0.25">
      <c r="A4658" t="s">
        <v>6915</v>
      </c>
      <c r="B4658">
        <v>47.9</v>
      </c>
    </row>
    <row r="4659" spans="1:2" ht="15" customHeight="1" x14ac:dyDescent="0.25">
      <c r="A4659" t="s">
        <v>6916</v>
      </c>
      <c r="B4659">
        <v>47.9</v>
      </c>
    </row>
    <row r="4660" spans="1:2" ht="15" customHeight="1" x14ac:dyDescent="0.25">
      <c r="A4660" t="s">
        <v>6917</v>
      </c>
      <c r="B4660">
        <v>47.9</v>
      </c>
    </row>
    <row r="4661" spans="1:2" ht="15" customHeight="1" x14ac:dyDescent="0.25">
      <c r="A4661" t="s">
        <v>6918</v>
      </c>
      <c r="B4661">
        <v>47.9</v>
      </c>
    </row>
    <row r="4662" spans="1:2" ht="15" customHeight="1" x14ac:dyDescent="0.25">
      <c r="A4662" t="s">
        <v>6919</v>
      </c>
      <c r="B4662">
        <v>47.9</v>
      </c>
    </row>
    <row r="4663" spans="1:2" ht="15" customHeight="1" x14ac:dyDescent="0.25">
      <c r="A4663" t="s">
        <v>6920</v>
      </c>
      <c r="B4663">
        <v>47.9</v>
      </c>
    </row>
    <row r="4664" spans="1:2" ht="15" customHeight="1" x14ac:dyDescent="0.25">
      <c r="A4664" t="s">
        <v>6921</v>
      </c>
      <c r="B4664">
        <v>47.9</v>
      </c>
    </row>
    <row r="4665" spans="1:2" ht="15" customHeight="1" x14ac:dyDescent="0.25">
      <c r="A4665" t="s">
        <v>6922</v>
      </c>
      <c r="B4665">
        <v>47.9</v>
      </c>
    </row>
    <row r="4666" spans="1:2" ht="15" customHeight="1" x14ac:dyDescent="0.25">
      <c r="A4666" t="s">
        <v>6923</v>
      </c>
      <c r="B4666">
        <v>47.9</v>
      </c>
    </row>
    <row r="4667" spans="1:2" ht="15" customHeight="1" x14ac:dyDescent="0.25">
      <c r="A4667" t="s">
        <v>6924</v>
      </c>
      <c r="B4667">
        <v>47.9</v>
      </c>
    </row>
    <row r="4668" spans="1:2" ht="15" customHeight="1" x14ac:dyDescent="0.25">
      <c r="A4668" t="s">
        <v>6925</v>
      </c>
      <c r="B4668">
        <v>38.1</v>
      </c>
    </row>
    <row r="4669" spans="1:2" ht="15" customHeight="1" x14ac:dyDescent="0.25">
      <c r="A4669" t="s">
        <v>6926</v>
      </c>
      <c r="B4669">
        <v>38.1</v>
      </c>
    </row>
    <row r="4670" spans="1:2" ht="15" customHeight="1" x14ac:dyDescent="0.25">
      <c r="A4670" t="s">
        <v>6927</v>
      </c>
      <c r="B4670">
        <v>38.1</v>
      </c>
    </row>
    <row r="4671" spans="1:2" ht="15" customHeight="1" x14ac:dyDescent="0.25">
      <c r="A4671" t="s">
        <v>6928</v>
      </c>
      <c r="B4671">
        <v>38.1</v>
      </c>
    </row>
    <row r="4672" spans="1:2" ht="15" customHeight="1" x14ac:dyDescent="0.25">
      <c r="A4672" t="s">
        <v>6929</v>
      </c>
      <c r="B4672">
        <v>38.1</v>
      </c>
    </row>
    <row r="4673" spans="1:2" ht="15" customHeight="1" x14ac:dyDescent="0.25">
      <c r="A4673" t="s">
        <v>6930</v>
      </c>
      <c r="B4673">
        <v>38.1</v>
      </c>
    </row>
    <row r="4674" spans="1:2" ht="15" customHeight="1" x14ac:dyDescent="0.25">
      <c r="A4674" t="s">
        <v>6931</v>
      </c>
      <c r="B4674">
        <v>38.1</v>
      </c>
    </row>
    <row r="4675" spans="1:2" ht="15" customHeight="1" x14ac:dyDescent="0.25">
      <c r="A4675" t="s">
        <v>6932</v>
      </c>
      <c r="B4675">
        <v>38.1</v>
      </c>
    </row>
    <row r="4676" spans="1:2" ht="15" customHeight="1" x14ac:dyDescent="0.25">
      <c r="A4676" t="s">
        <v>6933</v>
      </c>
      <c r="B4676">
        <v>38.1</v>
      </c>
    </row>
    <row r="4677" spans="1:2" ht="15" customHeight="1" x14ac:dyDescent="0.25">
      <c r="A4677" t="s">
        <v>6934</v>
      </c>
      <c r="B4677">
        <v>38.1</v>
      </c>
    </row>
    <row r="4678" spans="1:2" ht="15" customHeight="1" x14ac:dyDescent="0.25">
      <c r="A4678" t="s">
        <v>6935</v>
      </c>
      <c r="B4678">
        <v>38.1</v>
      </c>
    </row>
    <row r="4679" spans="1:2" ht="15" customHeight="1" x14ac:dyDescent="0.25">
      <c r="A4679" t="s">
        <v>6936</v>
      </c>
      <c r="B4679">
        <v>38.1</v>
      </c>
    </row>
    <row r="4680" spans="1:2" ht="15" customHeight="1" x14ac:dyDescent="0.25">
      <c r="A4680" t="s">
        <v>6937</v>
      </c>
      <c r="B4680">
        <v>38.1</v>
      </c>
    </row>
    <row r="4681" spans="1:2" ht="15" customHeight="1" x14ac:dyDescent="0.25">
      <c r="A4681" t="s">
        <v>6938</v>
      </c>
      <c r="B4681">
        <v>38.1</v>
      </c>
    </row>
    <row r="4682" spans="1:2" ht="15" customHeight="1" x14ac:dyDescent="0.25">
      <c r="A4682" t="s">
        <v>6939</v>
      </c>
      <c r="B4682">
        <v>38.1</v>
      </c>
    </row>
    <row r="4683" spans="1:2" ht="15" customHeight="1" x14ac:dyDescent="0.25">
      <c r="A4683" t="s">
        <v>6940</v>
      </c>
      <c r="B4683">
        <v>38.1</v>
      </c>
    </row>
    <row r="4684" spans="1:2" ht="15" customHeight="1" x14ac:dyDescent="0.25">
      <c r="A4684" t="s">
        <v>6941</v>
      </c>
      <c r="B4684">
        <v>38.1</v>
      </c>
    </row>
    <row r="4685" spans="1:2" ht="15" customHeight="1" x14ac:dyDescent="0.25">
      <c r="A4685" t="s">
        <v>6942</v>
      </c>
      <c r="B4685">
        <v>38.1</v>
      </c>
    </row>
    <row r="4686" spans="1:2" ht="15" customHeight="1" x14ac:dyDescent="0.25">
      <c r="A4686" t="s">
        <v>6943</v>
      </c>
      <c r="B4686">
        <v>38.1</v>
      </c>
    </row>
    <row r="4687" spans="1:2" ht="15" customHeight="1" x14ac:dyDescent="0.25">
      <c r="A4687" t="s">
        <v>6944</v>
      </c>
      <c r="B4687">
        <v>38.1</v>
      </c>
    </row>
    <row r="4688" spans="1:2" ht="15" customHeight="1" x14ac:dyDescent="0.25">
      <c r="A4688" t="s">
        <v>6945</v>
      </c>
      <c r="B4688">
        <v>38.1</v>
      </c>
    </row>
    <row r="4689" spans="1:2" ht="15" customHeight="1" x14ac:dyDescent="0.25">
      <c r="A4689" t="s">
        <v>6946</v>
      </c>
      <c r="B4689">
        <v>38.1</v>
      </c>
    </row>
    <row r="4690" spans="1:2" ht="15" customHeight="1" x14ac:dyDescent="0.25">
      <c r="A4690" t="s">
        <v>6947</v>
      </c>
      <c r="B4690">
        <v>38.1</v>
      </c>
    </row>
    <row r="4691" spans="1:2" ht="15" customHeight="1" x14ac:dyDescent="0.25">
      <c r="A4691" t="s">
        <v>6948</v>
      </c>
      <c r="B4691">
        <v>38.1</v>
      </c>
    </row>
    <row r="4692" spans="1:2" ht="15" customHeight="1" x14ac:dyDescent="0.25">
      <c r="A4692" t="s">
        <v>6949</v>
      </c>
      <c r="B4692">
        <v>38.1</v>
      </c>
    </row>
    <row r="4693" spans="1:2" ht="15" customHeight="1" x14ac:dyDescent="0.25">
      <c r="A4693" t="s">
        <v>6950</v>
      </c>
      <c r="B4693">
        <v>38.1</v>
      </c>
    </row>
    <row r="4694" spans="1:2" ht="15" customHeight="1" x14ac:dyDescent="0.25">
      <c r="A4694" t="s">
        <v>6951</v>
      </c>
      <c r="B4694">
        <v>38.1</v>
      </c>
    </row>
    <row r="4695" spans="1:2" ht="15" customHeight="1" x14ac:dyDescent="0.25">
      <c r="A4695" t="s">
        <v>6952</v>
      </c>
      <c r="B4695">
        <v>38.1</v>
      </c>
    </row>
    <row r="4696" spans="1:2" ht="15" customHeight="1" x14ac:dyDescent="0.25">
      <c r="A4696" t="s">
        <v>6953</v>
      </c>
      <c r="B4696">
        <v>38.1</v>
      </c>
    </row>
    <row r="4697" spans="1:2" ht="15" customHeight="1" x14ac:dyDescent="0.25">
      <c r="A4697" t="s">
        <v>6954</v>
      </c>
      <c r="B4697">
        <v>38.1</v>
      </c>
    </row>
    <row r="4698" spans="1:2" ht="15" customHeight="1" x14ac:dyDescent="0.25">
      <c r="A4698" t="s">
        <v>6955</v>
      </c>
      <c r="B4698">
        <v>38.1</v>
      </c>
    </row>
    <row r="4699" spans="1:2" ht="15" customHeight="1" x14ac:dyDescent="0.25">
      <c r="A4699" t="s">
        <v>6956</v>
      </c>
      <c r="B4699">
        <v>38.1</v>
      </c>
    </row>
    <row r="4700" spans="1:2" ht="15" customHeight="1" x14ac:dyDescent="0.25">
      <c r="A4700" t="s">
        <v>6957</v>
      </c>
      <c r="B4700">
        <v>38.1</v>
      </c>
    </row>
    <row r="4701" spans="1:2" ht="15" customHeight="1" x14ac:dyDescent="0.25">
      <c r="A4701" t="s">
        <v>6958</v>
      </c>
      <c r="B4701">
        <v>38.1</v>
      </c>
    </row>
    <row r="4702" spans="1:2" ht="15" customHeight="1" x14ac:dyDescent="0.25">
      <c r="A4702" t="s">
        <v>6959</v>
      </c>
      <c r="B4702">
        <v>38.1</v>
      </c>
    </row>
    <row r="4703" spans="1:2" ht="15" customHeight="1" x14ac:dyDescent="0.25">
      <c r="A4703" t="s">
        <v>6960</v>
      </c>
      <c r="B4703">
        <v>38.799999999999997</v>
      </c>
    </row>
    <row r="4704" spans="1:2" ht="15" customHeight="1" x14ac:dyDescent="0.25">
      <c r="A4704" t="s">
        <v>6961</v>
      </c>
      <c r="B4704">
        <v>38.799999999999997</v>
      </c>
    </row>
    <row r="4705" spans="1:2" ht="15" customHeight="1" x14ac:dyDescent="0.25">
      <c r="A4705" t="s">
        <v>6962</v>
      </c>
      <c r="B4705">
        <v>38.799999999999997</v>
      </c>
    </row>
    <row r="4706" spans="1:2" ht="15" customHeight="1" x14ac:dyDescent="0.25">
      <c r="A4706" t="s">
        <v>6963</v>
      </c>
      <c r="B4706">
        <v>38.799999999999997</v>
      </c>
    </row>
    <row r="4707" spans="1:2" ht="15" customHeight="1" x14ac:dyDescent="0.25">
      <c r="A4707" t="s">
        <v>6964</v>
      </c>
      <c r="B4707">
        <v>38.799999999999997</v>
      </c>
    </row>
    <row r="4708" spans="1:2" ht="15" customHeight="1" x14ac:dyDescent="0.25">
      <c r="A4708" t="s">
        <v>6965</v>
      </c>
      <c r="B4708">
        <v>38.799999999999997</v>
      </c>
    </row>
    <row r="4709" spans="1:2" ht="15" customHeight="1" x14ac:dyDescent="0.25">
      <c r="A4709" t="s">
        <v>6966</v>
      </c>
      <c r="B4709">
        <v>48.1</v>
      </c>
    </row>
    <row r="4710" spans="1:2" ht="15" customHeight="1" x14ac:dyDescent="0.25">
      <c r="A4710" t="s">
        <v>6967</v>
      </c>
      <c r="B4710">
        <v>48.1</v>
      </c>
    </row>
    <row r="4711" spans="1:2" ht="15" customHeight="1" x14ac:dyDescent="0.25">
      <c r="A4711" t="s">
        <v>6968</v>
      </c>
      <c r="B4711">
        <v>48.1</v>
      </c>
    </row>
    <row r="4712" spans="1:2" ht="15" customHeight="1" x14ac:dyDescent="0.25">
      <c r="A4712" t="s">
        <v>6969</v>
      </c>
      <c r="B4712">
        <v>48.1</v>
      </c>
    </row>
    <row r="4713" spans="1:2" ht="15" customHeight="1" x14ac:dyDescent="0.25">
      <c r="A4713" t="s">
        <v>6970</v>
      </c>
      <c r="B4713">
        <v>48.1</v>
      </c>
    </row>
    <row r="4714" spans="1:2" ht="15" customHeight="1" x14ac:dyDescent="0.25">
      <c r="A4714" t="s">
        <v>6971</v>
      </c>
      <c r="B4714">
        <v>48.1</v>
      </c>
    </row>
    <row r="4715" spans="1:2" ht="15" customHeight="1" x14ac:dyDescent="0.25">
      <c r="A4715" t="s">
        <v>6972</v>
      </c>
      <c r="B4715">
        <v>48.1</v>
      </c>
    </row>
    <row r="4716" spans="1:2" ht="15" customHeight="1" x14ac:dyDescent="0.25">
      <c r="A4716" t="s">
        <v>6973</v>
      </c>
      <c r="B4716">
        <v>48.1</v>
      </c>
    </row>
    <row r="4717" spans="1:2" ht="15" customHeight="1" x14ac:dyDescent="0.25">
      <c r="A4717" t="s">
        <v>6974</v>
      </c>
      <c r="B4717">
        <v>48.1</v>
      </c>
    </row>
    <row r="4718" spans="1:2" ht="15" customHeight="1" x14ac:dyDescent="0.25">
      <c r="A4718" t="s">
        <v>6975</v>
      </c>
      <c r="B4718">
        <v>48.1</v>
      </c>
    </row>
    <row r="4719" spans="1:2" ht="15" customHeight="1" x14ac:dyDescent="0.25">
      <c r="A4719" t="s">
        <v>6976</v>
      </c>
      <c r="B4719">
        <v>48.1</v>
      </c>
    </row>
    <row r="4720" spans="1:2" ht="15" customHeight="1" x14ac:dyDescent="0.25">
      <c r="A4720" t="s">
        <v>6977</v>
      </c>
      <c r="B4720">
        <v>48.1</v>
      </c>
    </row>
    <row r="4721" spans="1:2" ht="15" customHeight="1" x14ac:dyDescent="0.25">
      <c r="A4721" t="s">
        <v>6978</v>
      </c>
      <c r="B4721">
        <v>48.1</v>
      </c>
    </row>
    <row r="4722" spans="1:2" ht="15" customHeight="1" x14ac:dyDescent="0.25">
      <c r="A4722" t="s">
        <v>6979</v>
      </c>
      <c r="B4722">
        <v>48.1</v>
      </c>
    </row>
    <row r="4723" spans="1:2" ht="15" customHeight="1" x14ac:dyDescent="0.25">
      <c r="A4723" t="s">
        <v>6980</v>
      </c>
      <c r="B4723">
        <v>48.1</v>
      </c>
    </row>
    <row r="4724" spans="1:2" ht="15" customHeight="1" x14ac:dyDescent="0.25">
      <c r="A4724" t="s">
        <v>6981</v>
      </c>
      <c r="B4724">
        <v>48.1</v>
      </c>
    </row>
    <row r="4725" spans="1:2" ht="15" customHeight="1" x14ac:dyDescent="0.25">
      <c r="A4725" t="s">
        <v>6982</v>
      </c>
      <c r="B4725">
        <v>48.1</v>
      </c>
    </row>
    <row r="4726" spans="1:2" ht="15" customHeight="1" x14ac:dyDescent="0.25">
      <c r="A4726" t="s">
        <v>6983</v>
      </c>
      <c r="B4726">
        <v>48.1</v>
      </c>
    </row>
    <row r="4727" spans="1:2" ht="15" customHeight="1" x14ac:dyDescent="0.25">
      <c r="A4727" t="s">
        <v>6984</v>
      </c>
      <c r="B4727">
        <v>48.1</v>
      </c>
    </row>
    <row r="4728" spans="1:2" ht="15" customHeight="1" x14ac:dyDescent="0.25">
      <c r="A4728" t="s">
        <v>6985</v>
      </c>
      <c r="B4728">
        <v>48.1</v>
      </c>
    </row>
    <row r="4729" spans="1:2" ht="15" customHeight="1" x14ac:dyDescent="0.25">
      <c r="A4729" t="s">
        <v>6986</v>
      </c>
      <c r="B4729">
        <v>48.1</v>
      </c>
    </row>
    <row r="4730" spans="1:2" ht="15" customHeight="1" x14ac:dyDescent="0.25">
      <c r="A4730" t="s">
        <v>6987</v>
      </c>
      <c r="B4730">
        <v>48.1</v>
      </c>
    </row>
    <row r="4731" spans="1:2" ht="15" customHeight="1" x14ac:dyDescent="0.25">
      <c r="A4731" t="s">
        <v>6988</v>
      </c>
      <c r="B4731">
        <v>32.700000000000003</v>
      </c>
    </row>
    <row r="4732" spans="1:2" ht="15" customHeight="1" x14ac:dyDescent="0.25">
      <c r="A4732" t="s">
        <v>6989</v>
      </c>
      <c r="B4732">
        <v>32.700000000000003</v>
      </c>
    </row>
    <row r="4733" spans="1:2" ht="15" customHeight="1" x14ac:dyDescent="0.25">
      <c r="A4733" t="s">
        <v>6990</v>
      </c>
      <c r="B4733">
        <v>32.700000000000003</v>
      </c>
    </row>
    <row r="4734" spans="1:2" ht="15" customHeight="1" x14ac:dyDescent="0.25">
      <c r="A4734" t="s">
        <v>6991</v>
      </c>
      <c r="B4734">
        <v>32.700000000000003</v>
      </c>
    </row>
    <row r="4735" spans="1:2" ht="15" customHeight="1" x14ac:dyDescent="0.25">
      <c r="A4735" t="s">
        <v>6992</v>
      </c>
      <c r="B4735">
        <v>32.700000000000003</v>
      </c>
    </row>
    <row r="4736" spans="1:2" ht="15" customHeight="1" x14ac:dyDescent="0.25">
      <c r="A4736" t="s">
        <v>6993</v>
      </c>
      <c r="B4736">
        <v>32.700000000000003</v>
      </c>
    </row>
    <row r="4737" spans="1:2" ht="15" customHeight="1" x14ac:dyDescent="0.25">
      <c r="A4737" t="s">
        <v>6994</v>
      </c>
      <c r="B4737">
        <v>32.700000000000003</v>
      </c>
    </row>
    <row r="4738" spans="1:2" ht="15" customHeight="1" x14ac:dyDescent="0.25">
      <c r="A4738" t="s">
        <v>6995</v>
      </c>
      <c r="B4738">
        <v>33</v>
      </c>
    </row>
    <row r="4739" spans="1:2" ht="15" customHeight="1" x14ac:dyDescent="0.25">
      <c r="A4739" t="s">
        <v>6996</v>
      </c>
      <c r="B4739">
        <v>33</v>
      </c>
    </row>
    <row r="4740" spans="1:2" ht="15" customHeight="1" x14ac:dyDescent="0.25">
      <c r="A4740" t="s">
        <v>6997</v>
      </c>
      <c r="B4740">
        <v>33</v>
      </c>
    </row>
    <row r="4741" spans="1:2" ht="15" customHeight="1" x14ac:dyDescent="0.25">
      <c r="A4741" t="s">
        <v>6998</v>
      </c>
      <c r="B4741">
        <v>33</v>
      </c>
    </row>
    <row r="4742" spans="1:2" ht="15" customHeight="1" x14ac:dyDescent="0.25">
      <c r="A4742" t="s">
        <v>6999</v>
      </c>
      <c r="B4742">
        <v>33</v>
      </c>
    </row>
    <row r="4743" spans="1:2" ht="15" customHeight="1" x14ac:dyDescent="0.25">
      <c r="A4743" t="s">
        <v>7000</v>
      </c>
      <c r="B4743">
        <v>33</v>
      </c>
    </row>
    <row r="4744" spans="1:2" ht="15" customHeight="1" x14ac:dyDescent="0.25">
      <c r="A4744" t="s">
        <v>7001</v>
      </c>
      <c r="B4744">
        <v>33</v>
      </c>
    </row>
    <row r="4745" spans="1:2" ht="15" customHeight="1" x14ac:dyDescent="0.25">
      <c r="A4745" t="s">
        <v>7002</v>
      </c>
      <c r="B4745">
        <v>33</v>
      </c>
    </row>
    <row r="4746" spans="1:2" ht="15" customHeight="1" x14ac:dyDescent="0.25">
      <c r="A4746" t="s">
        <v>7003</v>
      </c>
      <c r="B4746">
        <v>33</v>
      </c>
    </row>
    <row r="4747" spans="1:2" ht="15" customHeight="1" x14ac:dyDescent="0.25">
      <c r="A4747" t="s">
        <v>7004</v>
      </c>
      <c r="B4747">
        <v>33</v>
      </c>
    </row>
    <row r="4748" spans="1:2" ht="15" customHeight="1" x14ac:dyDescent="0.25">
      <c r="A4748" t="s">
        <v>7005</v>
      </c>
      <c r="B4748">
        <v>33</v>
      </c>
    </row>
    <row r="4749" spans="1:2" ht="15" customHeight="1" x14ac:dyDescent="0.25">
      <c r="A4749" t="s">
        <v>7006</v>
      </c>
      <c r="B4749">
        <v>33</v>
      </c>
    </row>
    <row r="4750" spans="1:2" ht="15" customHeight="1" x14ac:dyDescent="0.25">
      <c r="A4750" t="s">
        <v>7007</v>
      </c>
      <c r="B4750">
        <v>33</v>
      </c>
    </row>
    <row r="4751" spans="1:2" ht="15" customHeight="1" x14ac:dyDescent="0.25">
      <c r="A4751" t="s">
        <v>7008</v>
      </c>
      <c r="B4751">
        <v>33</v>
      </c>
    </row>
    <row r="4752" spans="1:2" ht="15" customHeight="1" x14ac:dyDescent="0.25">
      <c r="A4752" t="s">
        <v>7009</v>
      </c>
      <c r="B4752">
        <v>33</v>
      </c>
    </row>
    <row r="4753" spans="1:2" ht="15" customHeight="1" x14ac:dyDescent="0.25">
      <c r="A4753" t="s">
        <v>7010</v>
      </c>
      <c r="B4753">
        <v>33</v>
      </c>
    </row>
    <row r="4754" spans="1:2" ht="15" customHeight="1" x14ac:dyDescent="0.25">
      <c r="A4754" t="s">
        <v>7011</v>
      </c>
      <c r="B4754">
        <v>33</v>
      </c>
    </row>
    <row r="4755" spans="1:2" ht="15" customHeight="1" x14ac:dyDescent="0.25">
      <c r="A4755" t="s">
        <v>7012</v>
      </c>
      <c r="B4755">
        <v>33</v>
      </c>
    </row>
    <row r="4756" spans="1:2" ht="15" customHeight="1" x14ac:dyDescent="0.25">
      <c r="A4756" t="s">
        <v>7013</v>
      </c>
      <c r="B4756">
        <v>31.9</v>
      </c>
    </row>
    <row r="4757" spans="1:2" ht="15" customHeight="1" x14ac:dyDescent="0.25">
      <c r="A4757" t="s">
        <v>7014</v>
      </c>
      <c r="B4757">
        <v>31.9</v>
      </c>
    </row>
    <row r="4758" spans="1:2" ht="15" customHeight="1" x14ac:dyDescent="0.25">
      <c r="A4758" t="s">
        <v>7015</v>
      </c>
      <c r="B4758">
        <v>31.9</v>
      </c>
    </row>
    <row r="4759" spans="1:2" ht="15" customHeight="1" x14ac:dyDescent="0.25">
      <c r="A4759" t="s">
        <v>7016</v>
      </c>
      <c r="B4759">
        <v>31.9</v>
      </c>
    </row>
    <row r="4760" spans="1:2" ht="15" customHeight="1" x14ac:dyDescent="0.25">
      <c r="A4760" t="s">
        <v>7017</v>
      </c>
      <c r="B4760">
        <v>31.9</v>
      </c>
    </row>
    <row r="4761" spans="1:2" ht="15" customHeight="1" x14ac:dyDescent="0.25">
      <c r="A4761" t="s">
        <v>7018</v>
      </c>
      <c r="B4761">
        <v>31.9</v>
      </c>
    </row>
    <row r="4762" spans="1:2" ht="15" customHeight="1" x14ac:dyDescent="0.25">
      <c r="A4762" t="s">
        <v>7019</v>
      </c>
      <c r="B4762">
        <v>31.9</v>
      </c>
    </row>
    <row r="4763" spans="1:2" ht="15" customHeight="1" x14ac:dyDescent="0.25">
      <c r="A4763" t="s">
        <v>7020</v>
      </c>
      <c r="B4763">
        <v>31.9</v>
      </c>
    </row>
    <row r="4764" spans="1:2" ht="15" customHeight="1" x14ac:dyDescent="0.25">
      <c r="A4764" t="s">
        <v>7021</v>
      </c>
      <c r="B4764">
        <v>31.9</v>
      </c>
    </row>
    <row r="4765" spans="1:2" ht="15" customHeight="1" x14ac:dyDescent="0.25">
      <c r="A4765" t="s">
        <v>7022</v>
      </c>
      <c r="B4765">
        <v>31.9</v>
      </c>
    </row>
    <row r="4766" spans="1:2" ht="15" customHeight="1" x14ac:dyDescent="0.25">
      <c r="A4766" t="s">
        <v>7023</v>
      </c>
      <c r="B4766">
        <v>31.9</v>
      </c>
    </row>
    <row r="4767" spans="1:2" ht="15" customHeight="1" x14ac:dyDescent="0.25">
      <c r="A4767" t="s">
        <v>7024</v>
      </c>
      <c r="B4767">
        <v>31.9</v>
      </c>
    </row>
    <row r="4768" spans="1:2" ht="15" customHeight="1" x14ac:dyDescent="0.25">
      <c r="A4768" t="s">
        <v>7025</v>
      </c>
      <c r="B4768">
        <v>31.9</v>
      </c>
    </row>
    <row r="4769" spans="1:2" ht="15" customHeight="1" x14ac:dyDescent="0.25">
      <c r="A4769" t="s">
        <v>7026</v>
      </c>
      <c r="B4769">
        <v>31.9</v>
      </c>
    </row>
    <row r="4770" spans="1:2" ht="15" customHeight="1" x14ac:dyDescent="0.25">
      <c r="A4770" t="s">
        <v>7027</v>
      </c>
      <c r="B4770">
        <v>31.9</v>
      </c>
    </row>
    <row r="4771" spans="1:2" ht="15" customHeight="1" x14ac:dyDescent="0.25">
      <c r="A4771" t="s">
        <v>7028</v>
      </c>
      <c r="B4771">
        <v>10</v>
      </c>
    </row>
    <row r="4772" spans="1:2" ht="15" customHeight="1" x14ac:dyDescent="0.25">
      <c r="A4772" t="s">
        <v>7029</v>
      </c>
      <c r="B4772">
        <v>10</v>
      </c>
    </row>
    <row r="4773" spans="1:2" ht="15" customHeight="1" x14ac:dyDescent="0.25">
      <c r="A4773" t="s">
        <v>7030</v>
      </c>
      <c r="B4773">
        <v>10</v>
      </c>
    </row>
    <row r="4774" spans="1:2" ht="15" customHeight="1" x14ac:dyDescent="0.25">
      <c r="A4774" t="s">
        <v>7031</v>
      </c>
      <c r="B4774">
        <v>10</v>
      </c>
    </row>
    <row r="4775" spans="1:2" ht="15" customHeight="1" x14ac:dyDescent="0.25">
      <c r="A4775" t="s">
        <v>7032</v>
      </c>
      <c r="B4775">
        <v>10</v>
      </c>
    </row>
    <row r="4776" spans="1:2" ht="15" customHeight="1" x14ac:dyDescent="0.25">
      <c r="A4776" t="s">
        <v>7033</v>
      </c>
      <c r="B4776">
        <v>10</v>
      </c>
    </row>
    <row r="4777" spans="1:2" ht="15" customHeight="1" x14ac:dyDescent="0.25">
      <c r="A4777" t="s">
        <v>7034</v>
      </c>
      <c r="B4777">
        <v>10</v>
      </c>
    </row>
    <row r="4778" spans="1:2" ht="15" customHeight="1" x14ac:dyDescent="0.25">
      <c r="A4778" t="s">
        <v>7035</v>
      </c>
      <c r="B4778">
        <v>10</v>
      </c>
    </row>
    <row r="4779" spans="1:2" ht="15" customHeight="1" x14ac:dyDescent="0.25">
      <c r="A4779" t="s">
        <v>7036</v>
      </c>
      <c r="B4779">
        <v>10</v>
      </c>
    </row>
    <row r="4780" spans="1:2" ht="15" customHeight="1" x14ac:dyDescent="0.25">
      <c r="A4780" t="s">
        <v>7037</v>
      </c>
      <c r="B4780">
        <v>10</v>
      </c>
    </row>
    <row r="4781" spans="1:2" ht="15" customHeight="1" x14ac:dyDescent="0.25">
      <c r="A4781" t="s">
        <v>7038</v>
      </c>
      <c r="B4781">
        <v>10</v>
      </c>
    </row>
    <row r="4782" spans="1:2" ht="15" customHeight="1" x14ac:dyDescent="0.25">
      <c r="A4782" t="s">
        <v>7039</v>
      </c>
      <c r="B4782">
        <v>10</v>
      </c>
    </row>
    <row r="4783" spans="1:2" ht="15" customHeight="1" x14ac:dyDescent="0.25">
      <c r="A4783" t="s">
        <v>7040</v>
      </c>
      <c r="B4783">
        <v>10</v>
      </c>
    </row>
    <row r="4784" spans="1:2" ht="15" customHeight="1" x14ac:dyDescent="0.25">
      <c r="A4784" t="s">
        <v>7041</v>
      </c>
      <c r="B4784">
        <v>10</v>
      </c>
    </row>
    <row r="4785" spans="1:2" ht="15" customHeight="1" x14ac:dyDescent="0.25">
      <c r="A4785" t="s">
        <v>7042</v>
      </c>
      <c r="B4785">
        <v>10</v>
      </c>
    </row>
    <row r="4786" spans="1:2" ht="15" customHeight="1" x14ac:dyDescent="0.25">
      <c r="A4786" t="s">
        <v>7043</v>
      </c>
      <c r="B4786">
        <v>10</v>
      </c>
    </row>
    <row r="4787" spans="1:2" ht="15" customHeight="1" x14ac:dyDescent="0.25">
      <c r="A4787" t="s">
        <v>7044</v>
      </c>
      <c r="B4787">
        <v>10</v>
      </c>
    </row>
    <row r="4788" spans="1:2" ht="15" customHeight="1" x14ac:dyDescent="0.25">
      <c r="A4788" t="s">
        <v>7045</v>
      </c>
      <c r="B4788">
        <v>10</v>
      </c>
    </row>
    <row r="4789" spans="1:2" ht="15" customHeight="1" x14ac:dyDescent="0.25">
      <c r="A4789" t="s">
        <v>7046</v>
      </c>
      <c r="B4789">
        <v>10</v>
      </c>
    </row>
    <row r="4790" spans="1:2" ht="15" customHeight="1" x14ac:dyDescent="0.25">
      <c r="A4790" t="s">
        <v>7047</v>
      </c>
      <c r="B4790">
        <v>10</v>
      </c>
    </row>
    <row r="4791" spans="1:2" ht="15" customHeight="1" x14ac:dyDescent="0.25">
      <c r="A4791" t="s">
        <v>7048</v>
      </c>
      <c r="B4791">
        <v>10</v>
      </c>
    </row>
    <row r="4792" spans="1:2" ht="15" customHeight="1" x14ac:dyDescent="0.25">
      <c r="A4792" t="s">
        <v>7049</v>
      </c>
      <c r="B4792">
        <v>10</v>
      </c>
    </row>
    <row r="4793" spans="1:2" ht="15" customHeight="1" x14ac:dyDescent="0.25">
      <c r="A4793" t="s">
        <v>7050</v>
      </c>
      <c r="B4793">
        <v>10</v>
      </c>
    </row>
    <row r="4794" spans="1:2" ht="15" customHeight="1" x14ac:dyDescent="0.25">
      <c r="A4794" t="s">
        <v>7051</v>
      </c>
      <c r="B4794">
        <v>10</v>
      </c>
    </row>
    <row r="4795" spans="1:2" ht="15" customHeight="1" x14ac:dyDescent="0.25">
      <c r="A4795" t="s">
        <v>7052</v>
      </c>
      <c r="B4795">
        <v>10</v>
      </c>
    </row>
    <row r="4796" spans="1:2" ht="15" customHeight="1" x14ac:dyDescent="0.25">
      <c r="A4796" t="s">
        <v>7053</v>
      </c>
      <c r="B4796">
        <v>10</v>
      </c>
    </row>
    <row r="4797" spans="1:2" ht="15" customHeight="1" x14ac:dyDescent="0.25">
      <c r="A4797" t="s">
        <v>7054</v>
      </c>
      <c r="B4797">
        <v>10</v>
      </c>
    </row>
    <row r="4798" spans="1:2" ht="15" customHeight="1" x14ac:dyDescent="0.25">
      <c r="A4798" t="s">
        <v>7055</v>
      </c>
      <c r="B4798">
        <v>10</v>
      </c>
    </row>
    <row r="4799" spans="1:2" ht="15" customHeight="1" x14ac:dyDescent="0.25">
      <c r="A4799" t="s">
        <v>7056</v>
      </c>
      <c r="B4799">
        <v>10</v>
      </c>
    </row>
    <row r="4800" spans="1:2" ht="15" customHeight="1" x14ac:dyDescent="0.25">
      <c r="A4800" t="s">
        <v>7057</v>
      </c>
      <c r="B4800">
        <v>10</v>
      </c>
    </row>
    <row r="4801" spans="1:2" ht="15" customHeight="1" x14ac:dyDescent="0.25">
      <c r="A4801" t="s">
        <v>7058</v>
      </c>
      <c r="B4801">
        <v>10</v>
      </c>
    </row>
    <row r="4802" spans="1:2" ht="15" customHeight="1" x14ac:dyDescent="0.25">
      <c r="A4802" t="s">
        <v>7059</v>
      </c>
      <c r="B4802">
        <v>27.5</v>
      </c>
    </row>
    <row r="4803" spans="1:2" ht="15" customHeight="1" x14ac:dyDescent="0.25">
      <c r="A4803" t="s">
        <v>7060</v>
      </c>
      <c r="B4803">
        <v>27.5</v>
      </c>
    </row>
    <row r="4804" spans="1:2" ht="15" customHeight="1" x14ac:dyDescent="0.25">
      <c r="A4804" t="s">
        <v>7061</v>
      </c>
      <c r="B4804">
        <v>10</v>
      </c>
    </row>
    <row r="4805" spans="1:2" ht="15" customHeight="1" x14ac:dyDescent="0.25">
      <c r="A4805" t="s">
        <v>7062</v>
      </c>
      <c r="B4805">
        <v>27.5</v>
      </c>
    </row>
    <row r="4806" spans="1:2" ht="15" customHeight="1" x14ac:dyDescent="0.25">
      <c r="A4806" t="s">
        <v>7063</v>
      </c>
      <c r="B4806">
        <v>27.5</v>
      </c>
    </row>
    <row r="4807" spans="1:2" ht="15" customHeight="1" x14ac:dyDescent="0.25">
      <c r="A4807" t="s">
        <v>7064</v>
      </c>
      <c r="B4807">
        <v>10</v>
      </c>
    </row>
    <row r="4808" spans="1:2" ht="15" customHeight="1" x14ac:dyDescent="0.25">
      <c r="A4808" t="s">
        <v>7065</v>
      </c>
      <c r="B4808">
        <v>27.5</v>
      </c>
    </row>
    <row r="4809" spans="1:2" ht="15" customHeight="1" x14ac:dyDescent="0.25">
      <c r="A4809" t="s">
        <v>7066</v>
      </c>
      <c r="B4809">
        <v>27.5</v>
      </c>
    </row>
    <row r="4810" spans="1:2" ht="15" customHeight="1" x14ac:dyDescent="0.25">
      <c r="A4810" t="s">
        <v>7067</v>
      </c>
      <c r="B4810">
        <v>27.5</v>
      </c>
    </row>
    <row r="4811" spans="1:2" ht="15" customHeight="1" x14ac:dyDescent="0.25">
      <c r="A4811" t="s">
        <v>7068</v>
      </c>
      <c r="B4811">
        <v>27.5</v>
      </c>
    </row>
    <row r="4812" spans="1:2" ht="15" customHeight="1" x14ac:dyDescent="0.25">
      <c r="A4812" t="s">
        <v>7069</v>
      </c>
      <c r="B4812">
        <v>27.5</v>
      </c>
    </row>
    <row r="4813" spans="1:2" ht="15" customHeight="1" x14ac:dyDescent="0.25">
      <c r="A4813" t="s">
        <v>7070</v>
      </c>
      <c r="B4813">
        <v>27.5</v>
      </c>
    </row>
    <row r="4814" spans="1:2" ht="15" customHeight="1" x14ac:dyDescent="0.25">
      <c r="A4814" t="s">
        <v>7071</v>
      </c>
      <c r="B4814">
        <v>27.5</v>
      </c>
    </row>
    <row r="4815" spans="1:2" ht="15" customHeight="1" x14ac:dyDescent="0.25">
      <c r="A4815" t="s">
        <v>7072</v>
      </c>
      <c r="B4815">
        <v>27.5</v>
      </c>
    </row>
    <row r="4816" spans="1:2" ht="15" customHeight="1" x14ac:dyDescent="0.25">
      <c r="A4816" t="s">
        <v>7073</v>
      </c>
      <c r="B4816">
        <v>27.5</v>
      </c>
    </row>
    <row r="4817" spans="1:2" ht="15" customHeight="1" x14ac:dyDescent="0.25">
      <c r="A4817" t="s">
        <v>7074</v>
      </c>
      <c r="B4817">
        <v>27.5</v>
      </c>
    </row>
    <row r="4818" spans="1:2" ht="15" customHeight="1" x14ac:dyDescent="0.25">
      <c r="A4818" t="s">
        <v>7075</v>
      </c>
      <c r="B4818">
        <v>27.5</v>
      </c>
    </row>
    <row r="4819" spans="1:2" ht="15" customHeight="1" x14ac:dyDescent="0.25">
      <c r="A4819" t="s">
        <v>7076</v>
      </c>
      <c r="B4819">
        <v>10</v>
      </c>
    </row>
    <row r="4820" spans="1:2" ht="15" customHeight="1" x14ac:dyDescent="0.25">
      <c r="A4820" t="s">
        <v>7077</v>
      </c>
      <c r="B4820">
        <v>27.5</v>
      </c>
    </row>
    <row r="4821" spans="1:2" ht="15" customHeight="1" x14ac:dyDescent="0.25">
      <c r="A4821" t="s">
        <v>7078</v>
      </c>
      <c r="B4821">
        <v>27.5</v>
      </c>
    </row>
    <row r="4822" spans="1:2" ht="15" customHeight="1" x14ac:dyDescent="0.25">
      <c r="A4822" t="s">
        <v>7079</v>
      </c>
      <c r="B4822">
        <v>10</v>
      </c>
    </row>
    <row r="4823" spans="1:2" ht="15" customHeight="1" x14ac:dyDescent="0.25">
      <c r="A4823" t="s">
        <v>7080</v>
      </c>
      <c r="B4823">
        <v>27.5</v>
      </c>
    </row>
    <row r="4824" spans="1:2" ht="15" customHeight="1" x14ac:dyDescent="0.25">
      <c r="A4824" t="s">
        <v>7081</v>
      </c>
      <c r="B4824">
        <v>27.5</v>
      </c>
    </row>
    <row r="4825" spans="1:2" ht="15" customHeight="1" x14ac:dyDescent="0.25">
      <c r="A4825" t="s">
        <v>7082</v>
      </c>
      <c r="B4825">
        <v>27.5</v>
      </c>
    </row>
    <row r="4826" spans="1:2" ht="15" customHeight="1" x14ac:dyDescent="0.25">
      <c r="A4826" t="s">
        <v>7083</v>
      </c>
      <c r="B4826">
        <v>27.5</v>
      </c>
    </row>
    <row r="4827" spans="1:2" ht="15" customHeight="1" x14ac:dyDescent="0.25">
      <c r="A4827" t="s">
        <v>7084</v>
      </c>
      <c r="B4827">
        <v>27.5</v>
      </c>
    </row>
    <row r="4828" spans="1:2" ht="15" customHeight="1" x14ac:dyDescent="0.25">
      <c r="A4828" t="s">
        <v>7085</v>
      </c>
      <c r="B4828">
        <v>10</v>
      </c>
    </row>
    <row r="4829" spans="1:2" ht="15" customHeight="1" x14ac:dyDescent="0.25">
      <c r="A4829" t="s">
        <v>7086</v>
      </c>
      <c r="B4829">
        <v>27.5</v>
      </c>
    </row>
    <row r="4830" spans="1:2" ht="15" customHeight="1" x14ac:dyDescent="0.25">
      <c r="A4830" t="s">
        <v>7087</v>
      </c>
      <c r="B4830">
        <v>27.5</v>
      </c>
    </row>
    <row r="4831" spans="1:2" ht="15" customHeight="1" x14ac:dyDescent="0.25">
      <c r="A4831" t="s">
        <v>7088</v>
      </c>
      <c r="B4831">
        <v>10</v>
      </c>
    </row>
    <row r="4832" spans="1:2" ht="15" customHeight="1" x14ac:dyDescent="0.25">
      <c r="A4832" t="s">
        <v>7089</v>
      </c>
      <c r="B4832">
        <v>27.5</v>
      </c>
    </row>
    <row r="4833" spans="1:2" ht="15" customHeight="1" x14ac:dyDescent="0.25">
      <c r="A4833" t="s">
        <v>7090</v>
      </c>
      <c r="B4833">
        <v>27.5</v>
      </c>
    </row>
    <row r="4834" spans="1:2" ht="15" customHeight="1" x14ac:dyDescent="0.25">
      <c r="A4834" t="s">
        <v>7091</v>
      </c>
      <c r="B4834">
        <v>27.5</v>
      </c>
    </row>
    <row r="4835" spans="1:2" ht="15" customHeight="1" x14ac:dyDescent="0.25">
      <c r="A4835" t="s">
        <v>7092</v>
      </c>
      <c r="B4835">
        <v>8.1</v>
      </c>
    </row>
    <row r="4836" spans="1:2" ht="15" customHeight="1" x14ac:dyDescent="0.25">
      <c r="A4836" t="s">
        <v>7093</v>
      </c>
      <c r="B4836">
        <v>8.1</v>
      </c>
    </row>
    <row r="4837" spans="1:2" ht="15" customHeight="1" x14ac:dyDescent="0.25">
      <c r="A4837" t="s">
        <v>7094</v>
      </c>
      <c r="B4837">
        <v>8.1</v>
      </c>
    </row>
    <row r="4838" spans="1:2" ht="15" customHeight="1" x14ac:dyDescent="0.25">
      <c r="A4838" t="s">
        <v>7095</v>
      </c>
      <c r="B4838">
        <v>8.1</v>
      </c>
    </row>
    <row r="4839" spans="1:2" ht="15" customHeight="1" x14ac:dyDescent="0.25">
      <c r="A4839" t="s">
        <v>7096</v>
      </c>
      <c r="B4839">
        <v>8.1</v>
      </c>
    </row>
    <row r="4840" spans="1:2" ht="15" customHeight="1" x14ac:dyDescent="0.25">
      <c r="A4840" t="s">
        <v>7097</v>
      </c>
      <c r="B4840">
        <v>8.1</v>
      </c>
    </row>
    <row r="4841" spans="1:2" ht="15" customHeight="1" x14ac:dyDescent="0.25">
      <c r="A4841" t="s">
        <v>7098</v>
      </c>
      <c r="B4841">
        <v>8.1</v>
      </c>
    </row>
    <row r="4842" spans="1:2" ht="15" customHeight="1" x14ac:dyDescent="0.25">
      <c r="A4842" t="s">
        <v>7099</v>
      </c>
      <c r="B4842">
        <v>8.1</v>
      </c>
    </row>
    <row r="4843" spans="1:2" ht="15" customHeight="1" x14ac:dyDescent="0.25">
      <c r="A4843" t="s">
        <v>7100</v>
      </c>
      <c r="B4843">
        <v>8.1</v>
      </c>
    </row>
    <row r="4844" spans="1:2" ht="15" customHeight="1" x14ac:dyDescent="0.25">
      <c r="A4844" t="s">
        <v>7101</v>
      </c>
      <c r="B4844">
        <v>8.1</v>
      </c>
    </row>
    <row r="4845" spans="1:2" ht="15" customHeight="1" x14ac:dyDescent="0.25">
      <c r="A4845" t="s">
        <v>7102</v>
      </c>
      <c r="B4845">
        <v>8.1</v>
      </c>
    </row>
    <row r="4846" spans="1:2" ht="15" customHeight="1" x14ac:dyDescent="0.25">
      <c r="A4846" t="s">
        <v>7103</v>
      </c>
      <c r="B4846">
        <v>8.1</v>
      </c>
    </row>
    <row r="4847" spans="1:2" ht="15" customHeight="1" x14ac:dyDescent="0.25">
      <c r="A4847" t="s">
        <v>7104</v>
      </c>
      <c r="B4847">
        <v>8.1</v>
      </c>
    </row>
    <row r="4848" spans="1:2" ht="15" customHeight="1" x14ac:dyDescent="0.25">
      <c r="A4848" t="s">
        <v>7105</v>
      </c>
      <c r="B4848">
        <v>8.1</v>
      </c>
    </row>
    <row r="4849" spans="1:2" ht="15" customHeight="1" x14ac:dyDescent="0.25">
      <c r="A4849" t="s">
        <v>7106</v>
      </c>
      <c r="B4849">
        <v>8.1</v>
      </c>
    </row>
    <row r="4850" spans="1:2" ht="15" customHeight="1" x14ac:dyDescent="0.25">
      <c r="A4850" t="s">
        <v>7107</v>
      </c>
      <c r="B4850">
        <v>8.1</v>
      </c>
    </row>
    <row r="4851" spans="1:2" ht="15" customHeight="1" x14ac:dyDescent="0.25">
      <c r="A4851" t="s">
        <v>7108</v>
      </c>
      <c r="B4851">
        <v>8.1</v>
      </c>
    </row>
    <row r="4852" spans="1:2" ht="15" customHeight="1" x14ac:dyDescent="0.25">
      <c r="A4852" t="s">
        <v>7109</v>
      </c>
      <c r="B4852">
        <v>8.1</v>
      </c>
    </row>
    <row r="4853" spans="1:2" ht="15" customHeight="1" x14ac:dyDescent="0.25">
      <c r="A4853" t="s">
        <v>7110</v>
      </c>
      <c r="B4853">
        <v>8.1</v>
      </c>
    </row>
    <row r="4854" spans="1:2" ht="15" customHeight="1" x14ac:dyDescent="0.25">
      <c r="A4854" t="s">
        <v>7111</v>
      </c>
      <c r="B4854">
        <v>8.1</v>
      </c>
    </row>
    <row r="4855" spans="1:2" ht="15" customHeight="1" x14ac:dyDescent="0.25">
      <c r="A4855" t="s">
        <v>7112</v>
      </c>
      <c r="B4855">
        <v>8.1</v>
      </c>
    </row>
    <row r="4856" spans="1:2" ht="15" customHeight="1" x14ac:dyDescent="0.25">
      <c r="A4856" t="s">
        <v>7113</v>
      </c>
      <c r="B4856">
        <v>8.1</v>
      </c>
    </row>
    <row r="4857" spans="1:2" ht="15" customHeight="1" x14ac:dyDescent="0.25">
      <c r="A4857" t="s">
        <v>7114</v>
      </c>
      <c r="B4857">
        <v>8.1</v>
      </c>
    </row>
    <row r="4858" spans="1:2" ht="15" customHeight="1" x14ac:dyDescent="0.25">
      <c r="A4858" t="s">
        <v>7115</v>
      </c>
      <c r="B4858">
        <v>8.1</v>
      </c>
    </row>
    <row r="4859" spans="1:2" ht="15" customHeight="1" x14ac:dyDescent="0.25">
      <c r="A4859" t="s">
        <v>7116</v>
      </c>
      <c r="B4859">
        <v>8.1</v>
      </c>
    </row>
    <row r="4860" spans="1:2" ht="15" customHeight="1" x14ac:dyDescent="0.25">
      <c r="A4860" t="s">
        <v>7117</v>
      </c>
      <c r="B4860">
        <v>8.1</v>
      </c>
    </row>
    <row r="4861" spans="1:2" ht="15" customHeight="1" x14ac:dyDescent="0.25">
      <c r="A4861" t="s">
        <v>7118</v>
      </c>
      <c r="B4861">
        <v>8.1</v>
      </c>
    </row>
    <row r="4862" spans="1:2" ht="15" customHeight="1" x14ac:dyDescent="0.25">
      <c r="A4862" t="s">
        <v>7119</v>
      </c>
      <c r="B4862">
        <v>8.1</v>
      </c>
    </row>
    <row r="4863" spans="1:2" ht="15" customHeight="1" x14ac:dyDescent="0.25">
      <c r="A4863" t="s">
        <v>7120</v>
      </c>
      <c r="B4863">
        <v>8.1</v>
      </c>
    </row>
    <row r="4864" spans="1:2" ht="15" customHeight="1" x14ac:dyDescent="0.25">
      <c r="A4864" t="s">
        <v>7121</v>
      </c>
      <c r="B4864">
        <v>8.1</v>
      </c>
    </row>
    <row r="4865" spans="1:2" ht="15" customHeight="1" x14ac:dyDescent="0.25">
      <c r="A4865" t="s">
        <v>7122</v>
      </c>
      <c r="B4865">
        <v>8.1</v>
      </c>
    </row>
    <row r="4866" spans="1:2" ht="15" customHeight="1" x14ac:dyDescent="0.25">
      <c r="A4866" t="s">
        <v>7123</v>
      </c>
      <c r="B4866">
        <v>24.1</v>
      </c>
    </row>
    <row r="4867" spans="1:2" ht="15" customHeight="1" x14ac:dyDescent="0.25">
      <c r="A4867" t="s">
        <v>7124</v>
      </c>
      <c r="B4867">
        <v>24.1</v>
      </c>
    </row>
    <row r="4868" spans="1:2" ht="15" customHeight="1" x14ac:dyDescent="0.25">
      <c r="A4868" t="s">
        <v>7125</v>
      </c>
      <c r="B4868">
        <v>24.1</v>
      </c>
    </row>
    <row r="4869" spans="1:2" ht="15" customHeight="1" x14ac:dyDescent="0.25">
      <c r="A4869" t="s">
        <v>7126</v>
      </c>
      <c r="B4869">
        <v>8.1</v>
      </c>
    </row>
    <row r="4870" spans="1:2" ht="15" customHeight="1" x14ac:dyDescent="0.25">
      <c r="A4870" t="s">
        <v>7127</v>
      </c>
      <c r="B4870">
        <v>24.1</v>
      </c>
    </row>
    <row r="4871" spans="1:2" ht="15" customHeight="1" x14ac:dyDescent="0.25">
      <c r="A4871" t="s">
        <v>7128</v>
      </c>
      <c r="B4871">
        <v>24.1</v>
      </c>
    </row>
    <row r="4872" spans="1:2" ht="15" customHeight="1" x14ac:dyDescent="0.25">
      <c r="A4872" t="s">
        <v>7129</v>
      </c>
      <c r="B4872">
        <v>8.1</v>
      </c>
    </row>
    <row r="4873" spans="1:2" ht="15" customHeight="1" x14ac:dyDescent="0.25">
      <c r="A4873" t="s">
        <v>7130</v>
      </c>
      <c r="B4873">
        <v>24.1</v>
      </c>
    </row>
    <row r="4874" spans="1:2" ht="15" customHeight="1" x14ac:dyDescent="0.25">
      <c r="A4874" t="s">
        <v>7131</v>
      </c>
      <c r="B4874">
        <v>24.1</v>
      </c>
    </row>
    <row r="4875" spans="1:2" ht="15" customHeight="1" x14ac:dyDescent="0.25">
      <c r="A4875" t="s">
        <v>7132</v>
      </c>
      <c r="B4875">
        <v>24.1</v>
      </c>
    </row>
    <row r="4876" spans="1:2" ht="15" customHeight="1" x14ac:dyDescent="0.25">
      <c r="A4876" t="s">
        <v>7133</v>
      </c>
      <c r="B4876">
        <v>24.1</v>
      </c>
    </row>
    <row r="4877" spans="1:2" ht="15" customHeight="1" x14ac:dyDescent="0.25">
      <c r="A4877" t="s">
        <v>7134</v>
      </c>
      <c r="B4877">
        <v>24.1</v>
      </c>
    </row>
    <row r="4878" spans="1:2" ht="15" customHeight="1" x14ac:dyDescent="0.25">
      <c r="A4878" t="s">
        <v>7135</v>
      </c>
      <c r="B4878">
        <v>24.1</v>
      </c>
    </row>
    <row r="4879" spans="1:2" ht="15" customHeight="1" x14ac:dyDescent="0.25">
      <c r="A4879" t="s">
        <v>7136</v>
      </c>
      <c r="B4879">
        <v>24.1</v>
      </c>
    </row>
    <row r="4880" spans="1:2" ht="15" customHeight="1" x14ac:dyDescent="0.25">
      <c r="A4880" t="s">
        <v>7137</v>
      </c>
      <c r="B4880">
        <v>24.1</v>
      </c>
    </row>
    <row r="4881" spans="1:2" ht="15" customHeight="1" x14ac:dyDescent="0.25">
      <c r="A4881" t="s">
        <v>7138</v>
      </c>
      <c r="B4881">
        <v>24.1</v>
      </c>
    </row>
    <row r="4882" spans="1:2" ht="15" customHeight="1" x14ac:dyDescent="0.25">
      <c r="A4882" t="s">
        <v>7139</v>
      </c>
      <c r="B4882">
        <v>24.1</v>
      </c>
    </row>
    <row r="4883" spans="1:2" ht="15" customHeight="1" x14ac:dyDescent="0.25">
      <c r="A4883" t="s">
        <v>7140</v>
      </c>
      <c r="B4883">
        <v>24.1</v>
      </c>
    </row>
    <row r="4884" spans="1:2" ht="15" customHeight="1" x14ac:dyDescent="0.25">
      <c r="A4884" t="s">
        <v>7141</v>
      </c>
      <c r="B4884">
        <v>24.1</v>
      </c>
    </row>
    <row r="4885" spans="1:2" ht="15" customHeight="1" x14ac:dyDescent="0.25">
      <c r="A4885" t="s">
        <v>7142</v>
      </c>
      <c r="B4885">
        <v>8.1</v>
      </c>
    </row>
    <row r="4886" spans="1:2" ht="15" customHeight="1" x14ac:dyDescent="0.25">
      <c r="A4886" t="s">
        <v>7143</v>
      </c>
      <c r="B4886">
        <v>24.1</v>
      </c>
    </row>
    <row r="4887" spans="1:2" ht="15" customHeight="1" x14ac:dyDescent="0.25">
      <c r="A4887" t="s">
        <v>7144</v>
      </c>
      <c r="B4887">
        <v>24.1</v>
      </c>
    </row>
    <row r="4888" spans="1:2" ht="15" customHeight="1" x14ac:dyDescent="0.25">
      <c r="A4888" t="s">
        <v>7145</v>
      </c>
      <c r="B4888">
        <v>8.1</v>
      </c>
    </row>
    <row r="4889" spans="1:2" ht="15" customHeight="1" x14ac:dyDescent="0.25">
      <c r="A4889" t="s">
        <v>7146</v>
      </c>
      <c r="B4889">
        <v>24.1</v>
      </c>
    </row>
    <row r="4890" spans="1:2" ht="15" customHeight="1" x14ac:dyDescent="0.25">
      <c r="A4890" t="s">
        <v>7147</v>
      </c>
      <c r="B4890">
        <v>24.1</v>
      </c>
    </row>
    <row r="4891" spans="1:2" ht="15" customHeight="1" x14ac:dyDescent="0.25">
      <c r="A4891" t="s">
        <v>7148</v>
      </c>
      <c r="B4891">
        <v>24.1</v>
      </c>
    </row>
    <row r="4892" spans="1:2" ht="15" customHeight="1" x14ac:dyDescent="0.25">
      <c r="A4892" t="s">
        <v>7149</v>
      </c>
      <c r="B4892">
        <v>24.1</v>
      </c>
    </row>
    <row r="4893" spans="1:2" ht="15" customHeight="1" x14ac:dyDescent="0.25">
      <c r="A4893" t="s">
        <v>7150</v>
      </c>
      <c r="B4893">
        <v>24.1</v>
      </c>
    </row>
    <row r="4894" spans="1:2" ht="15" customHeight="1" x14ac:dyDescent="0.25">
      <c r="A4894" t="s">
        <v>7151</v>
      </c>
      <c r="B4894">
        <v>24.1</v>
      </c>
    </row>
    <row r="4895" spans="1:2" ht="15" customHeight="1" x14ac:dyDescent="0.25">
      <c r="A4895" t="s">
        <v>7152</v>
      </c>
      <c r="B4895">
        <v>8.1</v>
      </c>
    </row>
    <row r="4896" spans="1:2" ht="15" customHeight="1" x14ac:dyDescent="0.25">
      <c r="A4896" t="s">
        <v>7153</v>
      </c>
      <c r="B4896">
        <v>24.1</v>
      </c>
    </row>
    <row r="4897" spans="1:2" ht="15" customHeight="1" x14ac:dyDescent="0.25">
      <c r="A4897" t="s">
        <v>7154</v>
      </c>
      <c r="B4897">
        <v>24.1</v>
      </c>
    </row>
    <row r="4898" spans="1:2" ht="15" customHeight="1" x14ac:dyDescent="0.25">
      <c r="A4898" t="s">
        <v>7155</v>
      </c>
      <c r="B4898">
        <v>8.1</v>
      </c>
    </row>
    <row r="4899" spans="1:2" ht="15" customHeight="1" x14ac:dyDescent="0.25">
      <c r="A4899" t="s">
        <v>7156</v>
      </c>
      <c r="B4899">
        <v>24.1</v>
      </c>
    </row>
    <row r="4900" spans="1:2" ht="15" customHeight="1" x14ac:dyDescent="0.25">
      <c r="A4900" t="s">
        <v>7157</v>
      </c>
      <c r="B4900">
        <v>24.1</v>
      </c>
    </row>
    <row r="4901" spans="1:2" ht="15" customHeight="1" x14ac:dyDescent="0.25">
      <c r="A4901" t="s">
        <v>7158</v>
      </c>
      <c r="B4901">
        <v>24.1</v>
      </c>
    </row>
    <row r="4902" spans="1:2" ht="15" customHeight="1" x14ac:dyDescent="0.25">
      <c r="A4902" t="s">
        <v>7159</v>
      </c>
      <c r="B4902">
        <v>27.5</v>
      </c>
    </row>
    <row r="4903" spans="1:2" ht="15" customHeight="1" x14ac:dyDescent="0.25">
      <c r="A4903" t="s">
        <v>7160</v>
      </c>
      <c r="B4903">
        <v>24.1</v>
      </c>
    </row>
    <row r="4904" spans="1:2" ht="15" customHeight="1" x14ac:dyDescent="0.25">
      <c r="A4904" t="s">
        <v>7161</v>
      </c>
      <c r="B4904">
        <v>15.9</v>
      </c>
    </row>
    <row r="4905" spans="1:2" ht="15" customHeight="1" x14ac:dyDescent="0.25">
      <c r="A4905" t="s">
        <v>7162</v>
      </c>
      <c r="B4905">
        <v>15.9</v>
      </c>
    </row>
    <row r="4906" spans="1:2" ht="15" customHeight="1" x14ac:dyDescent="0.25">
      <c r="A4906" t="s">
        <v>7163</v>
      </c>
      <c r="B4906">
        <v>15.9</v>
      </c>
    </row>
    <row r="4907" spans="1:2" ht="15" customHeight="1" x14ac:dyDescent="0.25">
      <c r="A4907" t="s">
        <v>7164</v>
      </c>
      <c r="B4907">
        <v>15.9</v>
      </c>
    </row>
    <row r="4908" spans="1:2" ht="15" customHeight="1" x14ac:dyDescent="0.25">
      <c r="A4908" t="s">
        <v>7165</v>
      </c>
      <c r="B4908">
        <v>27.5</v>
      </c>
    </row>
    <row r="4909" spans="1:2" ht="15" customHeight="1" x14ac:dyDescent="0.25">
      <c r="A4909" t="s">
        <v>7166</v>
      </c>
      <c r="B4909">
        <v>27.5</v>
      </c>
    </row>
    <row r="4910" spans="1:2" ht="15" customHeight="1" x14ac:dyDescent="0.25">
      <c r="A4910" t="s">
        <v>7167</v>
      </c>
      <c r="B4910">
        <v>27.5</v>
      </c>
    </row>
    <row r="4911" spans="1:2" ht="15" customHeight="1" x14ac:dyDescent="0.25">
      <c r="A4911" t="s">
        <v>7168</v>
      </c>
      <c r="B4911">
        <v>27.5</v>
      </c>
    </row>
    <row r="4912" spans="1:2" ht="15" customHeight="1" x14ac:dyDescent="0.25">
      <c r="A4912" t="s">
        <v>7169</v>
      </c>
      <c r="B4912">
        <v>27.5</v>
      </c>
    </row>
    <row r="4913" spans="1:2" ht="15" customHeight="1" x14ac:dyDescent="0.25">
      <c r="A4913" t="s">
        <v>7170</v>
      </c>
      <c r="B4913">
        <v>27.5</v>
      </c>
    </row>
    <row r="4914" spans="1:2" ht="15" customHeight="1" x14ac:dyDescent="0.25">
      <c r="A4914" t="s">
        <v>7171</v>
      </c>
      <c r="B4914">
        <v>27.5</v>
      </c>
    </row>
    <row r="4915" spans="1:2" ht="15" customHeight="1" x14ac:dyDescent="0.25">
      <c r="A4915" t="s">
        <v>7172</v>
      </c>
      <c r="B4915">
        <v>27.5</v>
      </c>
    </row>
    <row r="4916" spans="1:2" ht="15" customHeight="1" x14ac:dyDescent="0.25">
      <c r="A4916" t="s">
        <v>7173</v>
      </c>
      <c r="B4916">
        <v>27.5</v>
      </c>
    </row>
    <row r="4917" spans="1:2" ht="15" customHeight="1" x14ac:dyDescent="0.25">
      <c r="A4917" t="s">
        <v>7174</v>
      </c>
      <c r="B4917">
        <v>27.5</v>
      </c>
    </row>
    <row r="4918" spans="1:2" ht="15" customHeight="1" x14ac:dyDescent="0.25">
      <c r="A4918" t="s">
        <v>7175</v>
      </c>
      <c r="B4918">
        <v>27.5</v>
      </c>
    </row>
    <row r="4919" spans="1:2" ht="15" customHeight="1" x14ac:dyDescent="0.25">
      <c r="A4919" t="s">
        <v>7176</v>
      </c>
      <c r="B4919">
        <v>27.5</v>
      </c>
    </row>
    <row r="4920" spans="1:2" ht="15" customHeight="1" x14ac:dyDescent="0.25">
      <c r="A4920" t="s">
        <v>7177</v>
      </c>
      <c r="B4920">
        <v>27.5</v>
      </c>
    </row>
    <row r="4921" spans="1:2" ht="15" customHeight="1" x14ac:dyDescent="0.25">
      <c r="A4921" t="s">
        <v>7178</v>
      </c>
      <c r="B4921">
        <v>27.5</v>
      </c>
    </row>
    <row r="4922" spans="1:2" ht="15" customHeight="1" x14ac:dyDescent="0.25">
      <c r="A4922" t="s">
        <v>7179</v>
      </c>
      <c r="B4922">
        <v>27.5</v>
      </c>
    </row>
    <row r="4923" spans="1:2" ht="15" customHeight="1" x14ac:dyDescent="0.25">
      <c r="A4923" t="s">
        <v>7180</v>
      </c>
      <c r="B4923">
        <v>27.5</v>
      </c>
    </row>
    <row r="4924" spans="1:2" ht="15" customHeight="1" x14ac:dyDescent="0.25">
      <c r="A4924" t="s">
        <v>7181</v>
      </c>
      <c r="B4924">
        <v>27.5</v>
      </c>
    </row>
    <row r="4925" spans="1:2" ht="15" customHeight="1" x14ac:dyDescent="0.25">
      <c r="A4925" t="s">
        <v>7182</v>
      </c>
      <c r="B4925">
        <v>27.5</v>
      </c>
    </row>
    <row r="4926" spans="1:2" ht="15" customHeight="1" x14ac:dyDescent="0.25">
      <c r="A4926" t="s">
        <v>7183</v>
      </c>
      <c r="B4926">
        <v>27.5</v>
      </c>
    </row>
    <row r="4927" spans="1:2" ht="15" customHeight="1" x14ac:dyDescent="0.25">
      <c r="A4927" t="s">
        <v>7184</v>
      </c>
      <c r="B4927">
        <v>27.5</v>
      </c>
    </row>
    <row r="4928" spans="1:2" ht="15" customHeight="1" x14ac:dyDescent="0.25">
      <c r="A4928" t="s">
        <v>7185</v>
      </c>
      <c r="B4928">
        <v>27.5</v>
      </c>
    </row>
    <row r="4929" spans="1:2" ht="15" customHeight="1" x14ac:dyDescent="0.25">
      <c r="A4929" t="s">
        <v>7186</v>
      </c>
      <c r="B4929">
        <v>27.5</v>
      </c>
    </row>
    <row r="4930" spans="1:2" ht="15" customHeight="1" x14ac:dyDescent="0.25">
      <c r="A4930" t="s">
        <v>7187</v>
      </c>
      <c r="B4930">
        <v>27.5</v>
      </c>
    </row>
    <row r="4931" spans="1:2" ht="15" customHeight="1" x14ac:dyDescent="0.25">
      <c r="A4931" t="s">
        <v>7188</v>
      </c>
      <c r="B4931">
        <v>27.5</v>
      </c>
    </row>
    <row r="4932" spans="1:2" ht="15" customHeight="1" x14ac:dyDescent="0.25">
      <c r="A4932" t="s">
        <v>7189</v>
      </c>
      <c r="B4932">
        <v>27.5</v>
      </c>
    </row>
    <row r="4933" spans="1:2" ht="15" customHeight="1" x14ac:dyDescent="0.25">
      <c r="A4933" t="s">
        <v>7190</v>
      </c>
      <c r="B4933">
        <v>27.5</v>
      </c>
    </row>
    <row r="4934" spans="1:2" ht="15" customHeight="1" x14ac:dyDescent="0.25">
      <c r="A4934" t="s">
        <v>7191</v>
      </c>
      <c r="B4934">
        <v>27.5</v>
      </c>
    </row>
    <row r="4935" spans="1:2" ht="15" customHeight="1" x14ac:dyDescent="0.25">
      <c r="A4935" t="s">
        <v>7192</v>
      </c>
      <c r="B4935">
        <v>27.5</v>
      </c>
    </row>
    <row r="4936" spans="1:2" ht="15" customHeight="1" x14ac:dyDescent="0.25">
      <c r="A4936" t="s">
        <v>7193</v>
      </c>
      <c r="B4936">
        <v>27.5</v>
      </c>
    </row>
    <row r="4937" spans="1:2" ht="15" customHeight="1" x14ac:dyDescent="0.25">
      <c r="A4937" t="s">
        <v>7194</v>
      </c>
      <c r="B4937">
        <v>27.5</v>
      </c>
    </row>
    <row r="4938" spans="1:2" ht="15" customHeight="1" x14ac:dyDescent="0.25">
      <c r="A4938" t="s">
        <v>7195</v>
      </c>
      <c r="B4938">
        <v>27.5</v>
      </c>
    </row>
    <row r="4939" spans="1:2" ht="15" customHeight="1" x14ac:dyDescent="0.25">
      <c r="A4939" t="s">
        <v>7196</v>
      </c>
      <c r="B4939">
        <v>27.5</v>
      </c>
    </row>
    <row r="4940" spans="1:2" ht="15" customHeight="1" x14ac:dyDescent="0.25">
      <c r="A4940" t="s">
        <v>7197</v>
      </c>
      <c r="B4940">
        <v>27.5</v>
      </c>
    </row>
    <row r="4941" spans="1:2" ht="15" customHeight="1" x14ac:dyDescent="0.25">
      <c r="A4941" t="s">
        <v>7198</v>
      </c>
      <c r="B4941">
        <v>27.5</v>
      </c>
    </row>
    <row r="4942" spans="1:2" ht="15" customHeight="1" x14ac:dyDescent="0.25">
      <c r="A4942" t="s">
        <v>7199</v>
      </c>
      <c r="B4942">
        <v>27.5</v>
      </c>
    </row>
    <row r="4943" spans="1:2" ht="15" customHeight="1" x14ac:dyDescent="0.25">
      <c r="A4943" t="s">
        <v>7200</v>
      </c>
      <c r="B4943">
        <v>27.5</v>
      </c>
    </row>
    <row r="4944" spans="1:2" ht="15" customHeight="1" x14ac:dyDescent="0.25">
      <c r="A4944" t="s">
        <v>7201</v>
      </c>
      <c r="B4944">
        <v>27.5</v>
      </c>
    </row>
    <row r="4945" spans="1:2" ht="15" customHeight="1" x14ac:dyDescent="0.25">
      <c r="A4945" t="s">
        <v>7202</v>
      </c>
      <c r="B4945">
        <v>27.5</v>
      </c>
    </row>
    <row r="4946" spans="1:2" ht="15" customHeight="1" x14ac:dyDescent="0.25">
      <c r="A4946" t="s">
        <v>7203</v>
      </c>
      <c r="B4946">
        <v>27.5</v>
      </c>
    </row>
    <row r="4947" spans="1:2" ht="15" customHeight="1" x14ac:dyDescent="0.25">
      <c r="A4947" t="s">
        <v>7204</v>
      </c>
      <c r="B4947">
        <v>27.5</v>
      </c>
    </row>
    <row r="4948" spans="1:2" ht="15" customHeight="1" x14ac:dyDescent="0.25">
      <c r="A4948" t="s">
        <v>7205</v>
      </c>
      <c r="B4948">
        <v>27.5</v>
      </c>
    </row>
    <row r="4949" spans="1:2" ht="15" customHeight="1" x14ac:dyDescent="0.25">
      <c r="A4949" t="s">
        <v>7206</v>
      </c>
      <c r="B4949">
        <v>27.5</v>
      </c>
    </row>
    <row r="4950" spans="1:2" ht="15" customHeight="1" x14ac:dyDescent="0.25">
      <c r="A4950" t="s">
        <v>7207</v>
      </c>
      <c r="B4950">
        <v>27.5</v>
      </c>
    </row>
    <row r="4951" spans="1:2" ht="15" customHeight="1" x14ac:dyDescent="0.25">
      <c r="A4951" t="s">
        <v>7208</v>
      </c>
      <c r="B4951">
        <v>27.5</v>
      </c>
    </row>
    <row r="4952" spans="1:2" ht="15" customHeight="1" x14ac:dyDescent="0.25">
      <c r="A4952" t="s">
        <v>7209</v>
      </c>
      <c r="B4952">
        <v>27.5</v>
      </c>
    </row>
    <row r="4953" spans="1:2" ht="15" customHeight="1" x14ac:dyDescent="0.25">
      <c r="A4953" t="s">
        <v>7210</v>
      </c>
      <c r="B4953">
        <v>27.5</v>
      </c>
    </row>
    <row r="4954" spans="1:2" ht="15" customHeight="1" x14ac:dyDescent="0.25">
      <c r="A4954" t="s">
        <v>7211</v>
      </c>
      <c r="B4954">
        <v>27.5</v>
      </c>
    </row>
    <row r="4955" spans="1:2" ht="15" customHeight="1" x14ac:dyDescent="0.25">
      <c r="A4955" t="s">
        <v>7212</v>
      </c>
      <c r="B4955">
        <v>27.5</v>
      </c>
    </row>
    <row r="4956" spans="1:2" ht="15" customHeight="1" x14ac:dyDescent="0.25">
      <c r="A4956" t="s">
        <v>7213</v>
      </c>
      <c r="B4956">
        <v>27.5</v>
      </c>
    </row>
    <row r="4957" spans="1:2" ht="15" customHeight="1" x14ac:dyDescent="0.25">
      <c r="A4957" t="s">
        <v>7214</v>
      </c>
      <c r="B4957">
        <v>27.5</v>
      </c>
    </row>
    <row r="4958" spans="1:2" ht="15" customHeight="1" x14ac:dyDescent="0.25">
      <c r="A4958" t="s">
        <v>7215</v>
      </c>
      <c r="B4958">
        <v>27.5</v>
      </c>
    </row>
    <row r="4959" spans="1:2" ht="15" customHeight="1" x14ac:dyDescent="0.25">
      <c r="A4959" t="s">
        <v>7216</v>
      </c>
      <c r="B4959">
        <v>27.5</v>
      </c>
    </row>
    <row r="4960" spans="1:2" ht="15" customHeight="1" x14ac:dyDescent="0.25">
      <c r="A4960" t="s">
        <v>7217</v>
      </c>
      <c r="B4960">
        <v>27.5</v>
      </c>
    </row>
    <row r="4961" spans="1:2" ht="15" customHeight="1" x14ac:dyDescent="0.25">
      <c r="A4961" t="s">
        <v>7218</v>
      </c>
      <c r="B4961">
        <v>27.5</v>
      </c>
    </row>
    <row r="4962" spans="1:2" ht="15" customHeight="1" x14ac:dyDescent="0.25">
      <c r="A4962" t="s">
        <v>7219</v>
      </c>
      <c r="B4962">
        <v>27.5</v>
      </c>
    </row>
    <row r="4963" spans="1:2" ht="15" customHeight="1" x14ac:dyDescent="0.25">
      <c r="A4963" t="s">
        <v>7220</v>
      </c>
      <c r="B4963">
        <v>27.5</v>
      </c>
    </row>
    <row r="4964" spans="1:2" ht="15" customHeight="1" x14ac:dyDescent="0.25">
      <c r="A4964" t="s">
        <v>7221</v>
      </c>
      <c r="B4964">
        <v>27.5</v>
      </c>
    </row>
    <row r="4965" spans="1:2" ht="15" customHeight="1" x14ac:dyDescent="0.25">
      <c r="A4965" t="s">
        <v>7222</v>
      </c>
      <c r="B4965">
        <v>27.5</v>
      </c>
    </row>
    <row r="4966" spans="1:2" ht="15" customHeight="1" x14ac:dyDescent="0.25">
      <c r="A4966" t="s">
        <v>7223</v>
      </c>
      <c r="B4966">
        <v>27.5</v>
      </c>
    </row>
    <row r="4967" spans="1:2" ht="15" customHeight="1" x14ac:dyDescent="0.25">
      <c r="A4967" t="s">
        <v>7224</v>
      </c>
      <c r="B4967">
        <v>27.5</v>
      </c>
    </row>
    <row r="4968" spans="1:2" ht="15" customHeight="1" x14ac:dyDescent="0.25">
      <c r="A4968" t="s">
        <v>7225</v>
      </c>
      <c r="B4968">
        <v>27.5</v>
      </c>
    </row>
    <row r="4969" spans="1:2" ht="15" customHeight="1" x14ac:dyDescent="0.25">
      <c r="A4969" t="s">
        <v>7226</v>
      </c>
      <c r="B4969">
        <v>27.5</v>
      </c>
    </row>
    <row r="4970" spans="1:2" ht="15" customHeight="1" x14ac:dyDescent="0.25">
      <c r="A4970" t="s">
        <v>7227</v>
      </c>
      <c r="B4970">
        <v>27.5</v>
      </c>
    </row>
    <row r="4971" spans="1:2" ht="15" customHeight="1" x14ac:dyDescent="0.25">
      <c r="A4971" t="s">
        <v>7228</v>
      </c>
      <c r="B4971">
        <v>27.5</v>
      </c>
    </row>
    <row r="4972" spans="1:2" ht="15" customHeight="1" x14ac:dyDescent="0.25">
      <c r="A4972" t="s">
        <v>7229</v>
      </c>
      <c r="B4972">
        <v>27.5</v>
      </c>
    </row>
    <row r="4973" spans="1:2" ht="15" customHeight="1" x14ac:dyDescent="0.25">
      <c r="A4973" t="s">
        <v>7230</v>
      </c>
      <c r="B4973">
        <v>27.5</v>
      </c>
    </row>
    <row r="4974" spans="1:2" ht="15" customHeight="1" x14ac:dyDescent="0.25">
      <c r="A4974" t="s">
        <v>7231</v>
      </c>
      <c r="B4974">
        <v>27.5</v>
      </c>
    </row>
    <row r="4975" spans="1:2" ht="15" customHeight="1" x14ac:dyDescent="0.25">
      <c r="A4975" t="s">
        <v>7232</v>
      </c>
      <c r="B4975">
        <v>27.5</v>
      </c>
    </row>
    <row r="4976" spans="1:2" ht="15" customHeight="1" x14ac:dyDescent="0.25">
      <c r="A4976" t="s">
        <v>7233</v>
      </c>
      <c r="B4976">
        <v>27.5</v>
      </c>
    </row>
    <row r="4977" spans="1:2" ht="15" customHeight="1" x14ac:dyDescent="0.25">
      <c r="A4977" t="s">
        <v>7234</v>
      </c>
      <c r="B4977">
        <v>27.5</v>
      </c>
    </row>
    <row r="4978" spans="1:2" ht="15" customHeight="1" x14ac:dyDescent="0.25">
      <c r="A4978" t="s">
        <v>7235</v>
      </c>
      <c r="B4978">
        <v>27.5</v>
      </c>
    </row>
    <row r="4979" spans="1:2" ht="15" customHeight="1" x14ac:dyDescent="0.25">
      <c r="A4979" t="s">
        <v>7236</v>
      </c>
      <c r="B4979">
        <v>27.5</v>
      </c>
    </row>
    <row r="4980" spans="1:2" ht="15" customHeight="1" x14ac:dyDescent="0.25">
      <c r="A4980" t="s">
        <v>7237</v>
      </c>
      <c r="B4980">
        <v>27.5</v>
      </c>
    </row>
    <row r="4981" spans="1:2" ht="15" customHeight="1" x14ac:dyDescent="0.25">
      <c r="A4981" t="s">
        <v>7238</v>
      </c>
      <c r="B4981">
        <v>27.5</v>
      </c>
    </row>
    <row r="4982" spans="1:2" ht="15" customHeight="1" x14ac:dyDescent="0.25">
      <c r="A4982" t="s">
        <v>7239</v>
      </c>
      <c r="B4982">
        <v>27.5</v>
      </c>
    </row>
    <row r="4983" spans="1:2" ht="15" customHeight="1" x14ac:dyDescent="0.25">
      <c r="A4983" t="s">
        <v>7240</v>
      </c>
      <c r="B4983">
        <v>27.5</v>
      </c>
    </row>
    <row r="4984" spans="1:2" ht="15" customHeight="1" x14ac:dyDescent="0.25">
      <c r="A4984" t="s">
        <v>7241</v>
      </c>
      <c r="B4984">
        <v>27.5</v>
      </c>
    </row>
    <row r="4985" spans="1:2" ht="15" customHeight="1" x14ac:dyDescent="0.25">
      <c r="A4985" t="s">
        <v>7242</v>
      </c>
      <c r="B4985">
        <v>10</v>
      </c>
    </row>
    <row r="4986" spans="1:2" ht="15" customHeight="1" x14ac:dyDescent="0.25">
      <c r="A4986" t="s">
        <v>7243</v>
      </c>
      <c r="B4986">
        <v>10</v>
      </c>
    </row>
    <row r="4987" spans="1:2" ht="15" customHeight="1" x14ac:dyDescent="0.25">
      <c r="A4987" t="s">
        <v>7244</v>
      </c>
      <c r="B4987">
        <v>10</v>
      </c>
    </row>
    <row r="4988" spans="1:2" ht="15" customHeight="1" x14ac:dyDescent="0.25">
      <c r="A4988" t="s">
        <v>7245</v>
      </c>
      <c r="B4988">
        <v>27.5</v>
      </c>
    </row>
    <row r="4989" spans="1:2" ht="15" customHeight="1" x14ac:dyDescent="0.25">
      <c r="A4989" t="s">
        <v>7246</v>
      </c>
      <c r="B4989">
        <v>27.5</v>
      </c>
    </row>
    <row r="4990" spans="1:2" ht="15" customHeight="1" x14ac:dyDescent="0.25">
      <c r="A4990" t="s">
        <v>7247</v>
      </c>
      <c r="B4990">
        <v>27.5</v>
      </c>
    </row>
    <row r="4991" spans="1:2" ht="15" customHeight="1" x14ac:dyDescent="0.25">
      <c r="A4991" t="s">
        <v>7248</v>
      </c>
      <c r="B4991">
        <v>27.5</v>
      </c>
    </row>
    <row r="4992" spans="1:2" ht="15" customHeight="1" x14ac:dyDescent="0.25">
      <c r="A4992" t="s">
        <v>7249</v>
      </c>
      <c r="B4992">
        <v>27.5</v>
      </c>
    </row>
    <row r="4993" spans="1:2" ht="15" customHeight="1" x14ac:dyDescent="0.25">
      <c r="A4993" t="s">
        <v>7250</v>
      </c>
      <c r="B4993">
        <v>27.5</v>
      </c>
    </row>
    <row r="4994" spans="1:2" ht="15" customHeight="1" x14ac:dyDescent="0.25">
      <c r="A4994" t="s">
        <v>7251</v>
      </c>
      <c r="B4994">
        <v>27.5</v>
      </c>
    </row>
    <row r="4995" spans="1:2" ht="15" customHeight="1" x14ac:dyDescent="0.25">
      <c r="A4995" t="s">
        <v>7252</v>
      </c>
      <c r="B4995">
        <v>27.5</v>
      </c>
    </row>
    <row r="4996" spans="1:2" ht="15" customHeight="1" x14ac:dyDescent="0.25">
      <c r="A4996" t="s">
        <v>7253</v>
      </c>
      <c r="B4996">
        <v>27.5</v>
      </c>
    </row>
    <row r="4997" spans="1:2" ht="15" customHeight="1" x14ac:dyDescent="0.25">
      <c r="A4997" t="s">
        <v>7254</v>
      </c>
      <c r="B4997">
        <v>27.5</v>
      </c>
    </row>
    <row r="4998" spans="1:2" ht="15" customHeight="1" x14ac:dyDescent="0.25">
      <c r="A4998" t="s">
        <v>7255</v>
      </c>
      <c r="B4998">
        <v>27.5</v>
      </c>
    </row>
    <row r="4999" spans="1:2" ht="15" customHeight="1" x14ac:dyDescent="0.25">
      <c r="A4999" t="s">
        <v>7256</v>
      </c>
      <c r="B4999">
        <v>27.5</v>
      </c>
    </row>
    <row r="5000" spans="1:2" ht="15" customHeight="1" x14ac:dyDescent="0.25">
      <c r="A5000" t="s">
        <v>7257</v>
      </c>
      <c r="B5000">
        <v>27.5</v>
      </c>
    </row>
    <row r="5001" spans="1:2" ht="15" customHeight="1" x14ac:dyDescent="0.25">
      <c r="A5001" t="s">
        <v>7258</v>
      </c>
      <c r="B5001">
        <v>27.5</v>
      </c>
    </row>
    <row r="5002" spans="1:2" ht="15" customHeight="1" x14ac:dyDescent="0.25">
      <c r="A5002" t="s">
        <v>7259</v>
      </c>
      <c r="B5002">
        <v>27.5</v>
      </c>
    </row>
    <row r="5003" spans="1:2" ht="15" customHeight="1" x14ac:dyDescent="0.25">
      <c r="A5003" t="s">
        <v>7260</v>
      </c>
      <c r="B5003">
        <v>10</v>
      </c>
    </row>
    <row r="5004" spans="1:2" ht="15" customHeight="1" x14ac:dyDescent="0.25">
      <c r="A5004" t="s">
        <v>7261</v>
      </c>
      <c r="B5004">
        <v>27.5</v>
      </c>
    </row>
    <row r="5005" spans="1:2" ht="15" customHeight="1" x14ac:dyDescent="0.25">
      <c r="A5005" t="s">
        <v>7262</v>
      </c>
      <c r="B5005">
        <v>27.5</v>
      </c>
    </row>
    <row r="5006" spans="1:2" ht="15" customHeight="1" x14ac:dyDescent="0.25">
      <c r="A5006" t="s">
        <v>7263</v>
      </c>
      <c r="B5006">
        <v>10</v>
      </c>
    </row>
    <row r="5007" spans="1:2" ht="15" customHeight="1" x14ac:dyDescent="0.25">
      <c r="A5007" t="s">
        <v>7264</v>
      </c>
      <c r="B5007">
        <v>27.5</v>
      </c>
    </row>
    <row r="5008" spans="1:2" ht="15" customHeight="1" x14ac:dyDescent="0.25">
      <c r="A5008" t="s">
        <v>7265</v>
      </c>
      <c r="B5008">
        <v>27.5</v>
      </c>
    </row>
    <row r="5009" spans="1:2" ht="15" customHeight="1" x14ac:dyDescent="0.25">
      <c r="A5009" t="s">
        <v>7266</v>
      </c>
      <c r="B5009">
        <v>27.5</v>
      </c>
    </row>
    <row r="5010" spans="1:2" ht="15" customHeight="1" x14ac:dyDescent="0.25">
      <c r="A5010" t="s">
        <v>7267</v>
      </c>
      <c r="B5010">
        <v>27.5</v>
      </c>
    </row>
    <row r="5011" spans="1:2" ht="15" customHeight="1" x14ac:dyDescent="0.25">
      <c r="A5011" t="s">
        <v>7268</v>
      </c>
      <c r="B5011">
        <v>27.5</v>
      </c>
    </row>
    <row r="5012" spans="1:2" ht="15" customHeight="1" x14ac:dyDescent="0.25">
      <c r="A5012" t="s">
        <v>7269</v>
      </c>
      <c r="B5012">
        <v>10</v>
      </c>
    </row>
    <row r="5013" spans="1:2" ht="15" customHeight="1" x14ac:dyDescent="0.25">
      <c r="A5013" t="s">
        <v>7270</v>
      </c>
      <c r="B5013">
        <v>27.5</v>
      </c>
    </row>
    <row r="5014" spans="1:2" ht="15" customHeight="1" x14ac:dyDescent="0.25">
      <c r="A5014" t="s">
        <v>7271</v>
      </c>
      <c r="B5014">
        <v>27.5</v>
      </c>
    </row>
    <row r="5015" spans="1:2" ht="15" customHeight="1" x14ac:dyDescent="0.25">
      <c r="A5015" t="s">
        <v>7272</v>
      </c>
      <c r="B5015">
        <v>10</v>
      </c>
    </row>
    <row r="5016" spans="1:2" ht="15" customHeight="1" x14ac:dyDescent="0.25">
      <c r="A5016" t="s">
        <v>7273</v>
      </c>
      <c r="B5016">
        <v>27.5</v>
      </c>
    </row>
    <row r="5017" spans="1:2" ht="15" customHeight="1" x14ac:dyDescent="0.25">
      <c r="A5017" t="s">
        <v>7274</v>
      </c>
      <c r="B5017">
        <v>27.5</v>
      </c>
    </row>
    <row r="5018" spans="1:2" ht="15" customHeight="1" x14ac:dyDescent="0.25">
      <c r="A5018" t="s">
        <v>7275</v>
      </c>
      <c r="B5018">
        <v>27.5</v>
      </c>
    </row>
    <row r="5019" spans="1:2" ht="15" customHeight="1" x14ac:dyDescent="0.25">
      <c r="A5019" t="s">
        <v>7276</v>
      </c>
      <c r="B5019">
        <v>24.1</v>
      </c>
    </row>
    <row r="5020" spans="1:2" ht="15" customHeight="1" x14ac:dyDescent="0.25">
      <c r="A5020" t="s">
        <v>7277</v>
      </c>
      <c r="B5020">
        <v>24.1</v>
      </c>
    </row>
    <row r="5021" spans="1:2" ht="15" customHeight="1" x14ac:dyDescent="0.25">
      <c r="A5021" t="s">
        <v>7278</v>
      </c>
      <c r="B5021">
        <v>24.1</v>
      </c>
    </row>
    <row r="5022" spans="1:2" ht="15" customHeight="1" x14ac:dyDescent="0.25">
      <c r="A5022" t="s">
        <v>7279</v>
      </c>
      <c r="B5022">
        <v>24.1</v>
      </c>
    </row>
    <row r="5023" spans="1:2" ht="15" customHeight="1" x14ac:dyDescent="0.25">
      <c r="A5023" t="s">
        <v>7280</v>
      </c>
      <c r="B5023">
        <v>24.1</v>
      </c>
    </row>
    <row r="5024" spans="1:2" ht="15" customHeight="1" x14ac:dyDescent="0.25">
      <c r="A5024" t="s">
        <v>7281</v>
      </c>
      <c r="B5024">
        <v>24.1</v>
      </c>
    </row>
    <row r="5025" spans="1:2" ht="15" customHeight="1" x14ac:dyDescent="0.25">
      <c r="A5025" t="s">
        <v>7282</v>
      </c>
      <c r="B5025">
        <v>24.1</v>
      </c>
    </row>
    <row r="5026" spans="1:2" ht="15" customHeight="1" x14ac:dyDescent="0.25">
      <c r="A5026" t="s">
        <v>7283</v>
      </c>
      <c r="B5026">
        <v>24.1</v>
      </c>
    </row>
    <row r="5027" spans="1:2" ht="15" customHeight="1" x14ac:dyDescent="0.25">
      <c r="A5027" t="s">
        <v>7284</v>
      </c>
      <c r="B5027">
        <v>24.1</v>
      </c>
    </row>
    <row r="5028" spans="1:2" ht="15" customHeight="1" x14ac:dyDescent="0.25">
      <c r="A5028" t="s">
        <v>7285</v>
      </c>
      <c r="B5028">
        <v>24.1</v>
      </c>
    </row>
    <row r="5029" spans="1:2" ht="15" customHeight="1" x14ac:dyDescent="0.25">
      <c r="A5029" t="s">
        <v>7286</v>
      </c>
      <c r="B5029">
        <v>24.1</v>
      </c>
    </row>
    <row r="5030" spans="1:2" ht="15" customHeight="1" x14ac:dyDescent="0.25">
      <c r="A5030" t="s">
        <v>7287</v>
      </c>
      <c r="B5030">
        <v>24.1</v>
      </c>
    </row>
    <row r="5031" spans="1:2" ht="15" customHeight="1" x14ac:dyDescent="0.25">
      <c r="A5031" t="s">
        <v>7288</v>
      </c>
      <c r="B5031">
        <v>24.1</v>
      </c>
    </row>
    <row r="5032" spans="1:2" ht="15" customHeight="1" x14ac:dyDescent="0.25">
      <c r="A5032" t="s">
        <v>7289</v>
      </c>
      <c r="B5032">
        <v>24.1</v>
      </c>
    </row>
    <row r="5033" spans="1:2" ht="15" customHeight="1" x14ac:dyDescent="0.25">
      <c r="A5033" t="s">
        <v>7290</v>
      </c>
      <c r="B5033">
        <v>24.1</v>
      </c>
    </row>
    <row r="5034" spans="1:2" ht="15" customHeight="1" x14ac:dyDescent="0.25">
      <c r="A5034" t="s">
        <v>7291</v>
      </c>
      <c r="B5034">
        <v>24.1</v>
      </c>
    </row>
    <row r="5035" spans="1:2" ht="15" customHeight="1" x14ac:dyDescent="0.25">
      <c r="A5035" t="s">
        <v>7292</v>
      </c>
      <c r="B5035">
        <v>24.1</v>
      </c>
    </row>
    <row r="5036" spans="1:2" ht="15" customHeight="1" x14ac:dyDescent="0.25">
      <c r="A5036" t="s">
        <v>7293</v>
      </c>
      <c r="B5036">
        <v>24.1</v>
      </c>
    </row>
    <row r="5037" spans="1:2" ht="15" customHeight="1" x14ac:dyDescent="0.25">
      <c r="A5037" t="s">
        <v>7294</v>
      </c>
      <c r="B5037">
        <v>24.1</v>
      </c>
    </row>
    <row r="5038" spans="1:2" ht="15" customHeight="1" x14ac:dyDescent="0.25">
      <c r="A5038" t="s">
        <v>7295</v>
      </c>
      <c r="B5038">
        <v>24.1</v>
      </c>
    </row>
    <row r="5039" spans="1:2" ht="15" customHeight="1" x14ac:dyDescent="0.25">
      <c r="A5039" t="s">
        <v>7296</v>
      </c>
      <c r="B5039">
        <v>24.1</v>
      </c>
    </row>
    <row r="5040" spans="1:2" ht="15" customHeight="1" x14ac:dyDescent="0.25">
      <c r="A5040" t="s">
        <v>7297</v>
      </c>
      <c r="B5040">
        <v>24.1</v>
      </c>
    </row>
    <row r="5041" spans="1:2" ht="15" customHeight="1" x14ac:dyDescent="0.25">
      <c r="A5041" t="s">
        <v>7298</v>
      </c>
      <c r="B5041">
        <v>24.1</v>
      </c>
    </row>
    <row r="5042" spans="1:2" ht="15" customHeight="1" x14ac:dyDescent="0.25">
      <c r="A5042" t="s">
        <v>7299</v>
      </c>
      <c r="B5042">
        <v>24.1</v>
      </c>
    </row>
    <row r="5043" spans="1:2" ht="15" customHeight="1" x14ac:dyDescent="0.25">
      <c r="A5043" t="s">
        <v>7300</v>
      </c>
      <c r="B5043">
        <v>24.1</v>
      </c>
    </row>
    <row r="5044" spans="1:2" ht="15" customHeight="1" x14ac:dyDescent="0.25">
      <c r="A5044" t="s">
        <v>7301</v>
      </c>
      <c r="B5044">
        <v>24.1</v>
      </c>
    </row>
    <row r="5045" spans="1:2" ht="15" customHeight="1" x14ac:dyDescent="0.25">
      <c r="A5045" t="s">
        <v>7302</v>
      </c>
      <c r="B5045">
        <v>24.1</v>
      </c>
    </row>
    <row r="5046" spans="1:2" ht="15" customHeight="1" x14ac:dyDescent="0.25">
      <c r="A5046" t="s">
        <v>7303</v>
      </c>
      <c r="B5046">
        <v>24.1</v>
      </c>
    </row>
    <row r="5047" spans="1:2" ht="15" customHeight="1" x14ac:dyDescent="0.25">
      <c r="A5047" t="s">
        <v>7304</v>
      </c>
      <c r="B5047">
        <v>24.1</v>
      </c>
    </row>
    <row r="5048" spans="1:2" ht="15" customHeight="1" x14ac:dyDescent="0.25">
      <c r="A5048" t="s">
        <v>7305</v>
      </c>
      <c r="B5048">
        <v>24.1</v>
      </c>
    </row>
    <row r="5049" spans="1:2" ht="15" customHeight="1" x14ac:dyDescent="0.25">
      <c r="A5049" t="s">
        <v>7306</v>
      </c>
      <c r="B5049">
        <v>24.1</v>
      </c>
    </row>
    <row r="5050" spans="1:2" ht="15" customHeight="1" x14ac:dyDescent="0.25">
      <c r="A5050" t="s">
        <v>7307</v>
      </c>
      <c r="B5050">
        <v>24.1</v>
      </c>
    </row>
    <row r="5051" spans="1:2" ht="15" customHeight="1" x14ac:dyDescent="0.25">
      <c r="A5051" t="s">
        <v>7308</v>
      </c>
      <c r="B5051">
        <v>24.1</v>
      </c>
    </row>
    <row r="5052" spans="1:2" ht="15" customHeight="1" x14ac:dyDescent="0.25">
      <c r="A5052" t="s">
        <v>7309</v>
      </c>
      <c r="B5052">
        <v>24.1</v>
      </c>
    </row>
    <row r="5053" spans="1:2" ht="15" customHeight="1" x14ac:dyDescent="0.25">
      <c r="A5053" t="s">
        <v>7310</v>
      </c>
      <c r="B5053">
        <v>24.1</v>
      </c>
    </row>
    <row r="5054" spans="1:2" ht="15" customHeight="1" x14ac:dyDescent="0.25">
      <c r="A5054" t="s">
        <v>7311</v>
      </c>
      <c r="B5054">
        <v>24.1</v>
      </c>
    </row>
    <row r="5055" spans="1:2" ht="15" customHeight="1" x14ac:dyDescent="0.25">
      <c r="A5055" t="s">
        <v>7312</v>
      </c>
      <c r="B5055">
        <v>24.1</v>
      </c>
    </row>
    <row r="5056" spans="1:2" ht="15" customHeight="1" x14ac:dyDescent="0.25">
      <c r="A5056" t="s">
        <v>7313</v>
      </c>
      <c r="B5056">
        <v>24.1</v>
      </c>
    </row>
    <row r="5057" spans="1:2" ht="15" customHeight="1" x14ac:dyDescent="0.25">
      <c r="A5057" t="s">
        <v>7314</v>
      </c>
      <c r="B5057">
        <v>24.1</v>
      </c>
    </row>
    <row r="5058" spans="1:2" ht="15" customHeight="1" x14ac:dyDescent="0.25">
      <c r="A5058" t="s">
        <v>7315</v>
      </c>
      <c r="B5058">
        <v>24.1</v>
      </c>
    </row>
    <row r="5059" spans="1:2" ht="15" customHeight="1" x14ac:dyDescent="0.25">
      <c r="A5059" t="s">
        <v>7316</v>
      </c>
      <c r="B5059">
        <v>24.1</v>
      </c>
    </row>
    <row r="5060" spans="1:2" ht="15" customHeight="1" x14ac:dyDescent="0.25">
      <c r="A5060" t="s">
        <v>7317</v>
      </c>
      <c r="B5060">
        <v>24.1</v>
      </c>
    </row>
    <row r="5061" spans="1:2" ht="15" customHeight="1" x14ac:dyDescent="0.25">
      <c r="A5061" t="s">
        <v>7318</v>
      </c>
      <c r="B5061">
        <v>24.1</v>
      </c>
    </row>
    <row r="5062" spans="1:2" ht="15" customHeight="1" x14ac:dyDescent="0.25">
      <c r="A5062" t="s">
        <v>7319</v>
      </c>
      <c r="B5062">
        <v>24.1</v>
      </c>
    </row>
    <row r="5063" spans="1:2" ht="15" customHeight="1" x14ac:dyDescent="0.25">
      <c r="A5063" t="s">
        <v>7320</v>
      </c>
      <c r="B5063">
        <v>24.1</v>
      </c>
    </row>
    <row r="5064" spans="1:2" ht="15" customHeight="1" x14ac:dyDescent="0.25">
      <c r="A5064" t="s">
        <v>7321</v>
      </c>
      <c r="B5064">
        <v>24.1</v>
      </c>
    </row>
    <row r="5065" spans="1:2" ht="15" customHeight="1" x14ac:dyDescent="0.25">
      <c r="A5065" t="s">
        <v>7322</v>
      </c>
      <c r="B5065">
        <v>24.1</v>
      </c>
    </row>
    <row r="5066" spans="1:2" ht="15" customHeight="1" x14ac:dyDescent="0.25">
      <c r="A5066" t="s">
        <v>7323</v>
      </c>
      <c r="B5066">
        <v>24.1</v>
      </c>
    </row>
    <row r="5067" spans="1:2" ht="15" customHeight="1" x14ac:dyDescent="0.25">
      <c r="A5067" t="s">
        <v>7324</v>
      </c>
      <c r="B5067">
        <v>24.1</v>
      </c>
    </row>
    <row r="5068" spans="1:2" ht="15" customHeight="1" x14ac:dyDescent="0.25">
      <c r="A5068" t="s">
        <v>7325</v>
      </c>
      <c r="B5068">
        <v>24.1</v>
      </c>
    </row>
    <row r="5069" spans="1:2" ht="15" customHeight="1" x14ac:dyDescent="0.25">
      <c r="A5069" t="s">
        <v>7326</v>
      </c>
      <c r="B5069">
        <v>24.1</v>
      </c>
    </row>
    <row r="5070" spans="1:2" ht="15" customHeight="1" x14ac:dyDescent="0.25">
      <c r="A5070" t="s">
        <v>7327</v>
      </c>
      <c r="B5070">
        <v>24.1</v>
      </c>
    </row>
    <row r="5071" spans="1:2" ht="15" customHeight="1" x14ac:dyDescent="0.25">
      <c r="A5071" t="s">
        <v>7328</v>
      </c>
      <c r="B5071">
        <v>24.1</v>
      </c>
    </row>
    <row r="5072" spans="1:2" ht="15" customHeight="1" x14ac:dyDescent="0.25">
      <c r="A5072" t="s">
        <v>7329</v>
      </c>
      <c r="B5072">
        <v>24.1</v>
      </c>
    </row>
    <row r="5073" spans="1:2" ht="15" customHeight="1" x14ac:dyDescent="0.25">
      <c r="A5073" t="s">
        <v>7330</v>
      </c>
      <c r="B5073">
        <v>24.1</v>
      </c>
    </row>
    <row r="5074" spans="1:2" ht="15" customHeight="1" x14ac:dyDescent="0.25">
      <c r="A5074" t="s">
        <v>7331</v>
      </c>
      <c r="B5074">
        <v>24.1</v>
      </c>
    </row>
    <row r="5075" spans="1:2" ht="15" customHeight="1" x14ac:dyDescent="0.25">
      <c r="A5075" t="s">
        <v>7332</v>
      </c>
      <c r="B5075">
        <v>24.1</v>
      </c>
    </row>
    <row r="5076" spans="1:2" ht="15" customHeight="1" x14ac:dyDescent="0.25">
      <c r="A5076" t="s">
        <v>7333</v>
      </c>
      <c r="B5076">
        <v>24.1</v>
      </c>
    </row>
    <row r="5077" spans="1:2" ht="15" customHeight="1" x14ac:dyDescent="0.25">
      <c r="A5077" t="s">
        <v>7334</v>
      </c>
      <c r="B5077">
        <v>24.1</v>
      </c>
    </row>
    <row r="5078" spans="1:2" ht="15" customHeight="1" x14ac:dyDescent="0.25">
      <c r="A5078" t="s">
        <v>7335</v>
      </c>
      <c r="B5078">
        <v>24.1</v>
      </c>
    </row>
    <row r="5079" spans="1:2" ht="15" customHeight="1" x14ac:dyDescent="0.25">
      <c r="A5079" t="s">
        <v>7336</v>
      </c>
      <c r="B5079">
        <v>24.1</v>
      </c>
    </row>
    <row r="5080" spans="1:2" ht="15" customHeight="1" x14ac:dyDescent="0.25">
      <c r="A5080" t="s">
        <v>7337</v>
      </c>
      <c r="B5080">
        <v>24.1</v>
      </c>
    </row>
    <row r="5081" spans="1:2" ht="15" customHeight="1" x14ac:dyDescent="0.25">
      <c r="A5081" t="s">
        <v>7338</v>
      </c>
      <c r="B5081">
        <v>24.1</v>
      </c>
    </row>
    <row r="5082" spans="1:2" ht="15" customHeight="1" x14ac:dyDescent="0.25">
      <c r="A5082" t="s">
        <v>7339</v>
      </c>
      <c r="B5082">
        <v>24.1</v>
      </c>
    </row>
    <row r="5083" spans="1:2" ht="15" customHeight="1" x14ac:dyDescent="0.25">
      <c r="A5083" t="s">
        <v>7340</v>
      </c>
      <c r="B5083">
        <v>24.1</v>
      </c>
    </row>
    <row r="5084" spans="1:2" ht="15" customHeight="1" x14ac:dyDescent="0.25">
      <c r="A5084" t="s">
        <v>7341</v>
      </c>
      <c r="B5084">
        <v>24.1</v>
      </c>
    </row>
    <row r="5085" spans="1:2" ht="15" customHeight="1" x14ac:dyDescent="0.25">
      <c r="A5085" t="s">
        <v>7342</v>
      </c>
      <c r="B5085">
        <v>24.1</v>
      </c>
    </row>
    <row r="5086" spans="1:2" ht="15" customHeight="1" x14ac:dyDescent="0.25">
      <c r="A5086" t="s">
        <v>7343</v>
      </c>
      <c r="B5086">
        <v>24.1</v>
      </c>
    </row>
    <row r="5087" spans="1:2" ht="15" customHeight="1" x14ac:dyDescent="0.25">
      <c r="A5087" t="s">
        <v>7344</v>
      </c>
      <c r="B5087">
        <v>24.1</v>
      </c>
    </row>
    <row r="5088" spans="1:2" ht="15" customHeight="1" x14ac:dyDescent="0.25">
      <c r="A5088" t="s">
        <v>7345</v>
      </c>
      <c r="B5088">
        <v>24.1</v>
      </c>
    </row>
    <row r="5089" spans="1:2" ht="15" customHeight="1" x14ac:dyDescent="0.25">
      <c r="A5089" t="s">
        <v>7346</v>
      </c>
      <c r="B5089">
        <v>24.1</v>
      </c>
    </row>
    <row r="5090" spans="1:2" ht="15" customHeight="1" x14ac:dyDescent="0.25">
      <c r="A5090" t="s">
        <v>7347</v>
      </c>
      <c r="B5090">
        <v>24.1</v>
      </c>
    </row>
    <row r="5091" spans="1:2" ht="15" customHeight="1" x14ac:dyDescent="0.25">
      <c r="A5091" t="s">
        <v>7348</v>
      </c>
      <c r="B5091">
        <v>24.1</v>
      </c>
    </row>
    <row r="5092" spans="1:2" ht="15" customHeight="1" x14ac:dyDescent="0.25">
      <c r="A5092" t="s">
        <v>7349</v>
      </c>
      <c r="B5092">
        <v>24.1</v>
      </c>
    </row>
    <row r="5093" spans="1:2" ht="15" customHeight="1" x14ac:dyDescent="0.25">
      <c r="A5093" t="s">
        <v>7350</v>
      </c>
      <c r="B5093">
        <v>24.1</v>
      </c>
    </row>
    <row r="5094" spans="1:2" ht="15" customHeight="1" x14ac:dyDescent="0.25">
      <c r="A5094" t="s">
        <v>7351</v>
      </c>
      <c r="B5094">
        <v>24.1</v>
      </c>
    </row>
    <row r="5095" spans="1:2" ht="15" customHeight="1" x14ac:dyDescent="0.25">
      <c r="A5095" t="s">
        <v>7352</v>
      </c>
      <c r="B5095">
        <v>24.1</v>
      </c>
    </row>
    <row r="5096" spans="1:2" ht="15" customHeight="1" x14ac:dyDescent="0.25">
      <c r="A5096" t="s">
        <v>7353</v>
      </c>
      <c r="B5096">
        <v>24.1</v>
      </c>
    </row>
    <row r="5097" spans="1:2" ht="15" customHeight="1" x14ac:dyDescent="0.25">
      <c r="A5097" t="s">
        <v>7354</v>
      </c>
      <c r="B5097">
        <v>24.1</v>
      </c>
    </row>
    <row r="5098" spans="1:2" ht="15" customHeight="1" x14ac:dyDescent="0.25">
      <c r="A5098" t="s">
        <v>7355</v>
      </c>
      <c r="B5098">
        <v>24.1</v>
      </c>
    </row>
    <row r="5099" spans="1:2" ht="15" customHeight="1" x14ac:dyDescent="0.25">
      <c r="A5099" t="s">
        <v>7356</v>
      </c>
      <c r="B5099">
        <v>24.1</v>
      </c>
    </row>
    <row r="5100" spans="1:2" ht="15" customHeight="1" x14ac:dyDescent="0.25">
      <c r="A5100" t="s">
        <v>7357</v>
      </c>
      <c r="B5100">
        <v>24.1</v>
      </c>
    </row>
    <row r="5101" spans="1:2" ht="15" customHeight="1" x14ac:dyDescent="0.25">
      <c r="A5101" t="s">
        <v>7358</v>
      </c>
      <c r="B5101">
        <v>24.1</v>
      </c>
    </row>
    <row r="5102" spans="1:2" ht="15" customHeight="1" x14ac:dyDescent="0.25">
      <c r="A5102" t="s">
        <v>7359</v>
      </c>
      <c r="B5102">
        <v>24.1</v>
      </c>
    </row>
    <row r="5103" spans="1:2" ht="15" customHeight="1" x14ac:dyDescent="0.25">
      <c r="A5103" t="s">
        <v>7360</v>
      </c>
      <c r="B5103">
        <v>24.1</v>
      </c>
    </row>
    <row r="5104" spans="1:2" ht="15" customHeight="1" x14ac:dyDescent="0.25">
      <c r="A5104" t="s">
        <v>7361</v>
      </c>
      <c r="B5104">
        <v>24.1</v>
      </c>
    </row>
    <row r="5105" spans="1:2" ht="15" customHeight="1" x14ac:dyDescent="0.25">
      <c r="A5105" t="s">
        <v>7362</v>
      </c>
      <c r="B5105">
        <v>24.1</v>
      </c>
    </row>
    <row r="5106" spans="1:2" ht="15" customHeight="1" x14ac:dyDescent="0.25">
      <c r="A5106" t="s">
        <v>7363</v>
      </c>
      <c r="B5106">
        <v>24.1</v>
      </c>
    </row>
    <row r="5107" spans="1:2" ht="15" customHeight="1" x14ac:dyDescent="0.25">
      <c r="A5107" t="s">
        <v>7364</v>
      </c>
      <c r="B5107">
        <v>8.1</v>
      </c>
    </row>
    <row r="5108" spans="1:2" ht="15" customHeight="1" x14ac:dyDescent="0.25">
      <c r="A5108" t="s">
        <v>7365</v>
      </c>
      <c r="B5108">
        <v>8.1</v>
      </c>
    </row>
    <row r="5109" spans="1:2" ht="15" customHeight="1" x14ac:dyDescent="0.25">
      <c r="A5109" t="s">
        <v>7366</v>
      </c>
      <c r="B5109">
        <v>8.1</v>
      </c>
    </row>
    <row r="5110" spans="1:2" ht="15" customHeight="1" x14ac:dyDescent="0.25">
      <c r="A5110" t="s">
        <v>7367</v>
      </c>
      <c r="B5110">
        <v>24.1</v>
      </c>
    </row>
    <row r="5111" spans="1:2" ht="15" customHeight="1" x14ac:dyDescent="0.25">
      <c r="A5111" t="s">
        <v>7368</v>
      </c>
      <c r="B5111">
        <v>24.1</v>
      </c>
    </row>
    <row r="5112" spans="1:2" ht="15" customHeight="1" x14ac:dyDescent="0.25">
      <c r="A5112" t="s">
        <v>7369</v>
      </c>
      <c r="B5112">
        <v>24.1</v>
      </c>
    </row>
    <row r="5113" spans="1:2" ht="15" customHeight="1" x14ac:dyDescent="0.25">
      <c r="A5113" t="s">
        <v>7370</v>
      </c>
      <c r="B5113">
        <v>24.1</v>
      </c>
    </row>
    <row r="5114" spans="1:2" ht="15" customHeight="1" x14ac:dyDescent="0.25">
      <c r="A5114" t="s">
        <v>7371</v>
      </c>
      <c r="B5114">
        <v>24.1</v>
      </c>
    </row>
    <row r="5115" spans="1:2" ht="15" customHeight="1" x14ac:dyDescent="0.25">
      <c r="A5115" t="s">
        <v>7372</v>
      </c>
      <c r="B5115">
        <v>24.1</v>
      </c>
    </row>
    <row r="5116" spans="1:2" ht="15" customHeight="1" x14ac:dyDescent="0.25">
      <c r="A5116" t="s">
        <v>7373</v>
      </c>
      <c r="B5116">
        <v>24.1</v>
      </c>
    </row>
    <row r="5117" spans="1:2" ht="15" customHeight="1" x14ac:dyDescent="0.25">
      <c r="A5117" t="s">
        <v>7374</v>
      </c>
      <c r="B5117">
        <v>24.1</v>
      </c>
    </row>
    <row r="5118" spans="1:2" ht="15" customHeight="1" x14ac:dyDescent="0.25">
      <c r="A5118" t="s">
        <v>7375</v>
      </c>
      <c r="B5118">
        <v>24.1</v>
      </c>
    </row>
    <row r="5119" spans="1:2" ht="15" customHeight="1" x14ac:dyDescent="0.25">
      <c r="A5119" t="s">
        <v>7376</v>
      </c>
      <c r="B5119">
        <v>24.1</v>
      </c>
    </row>
    <row r="5120" spans="1:2" ht="15" customHeight="1" x14ac:dyDescent="0.25">
      <c r="A5120" t="s">
        <v>7377</v>
      </c>
      <c r="B5120">
        <v>24.1</v>
      </c>
    </row>
    <row r="5121" spans="1:2" ht="15" customHeight="1" x14ac:dyDescent="0.25">
      <c r="A5121" t="s">
        <v>7378</v>
      </c>
      <c r="B5121">
        <v>24.1</v>
      </c>
    </row>
    <row r="5122" spans="1:2" ht="15" customHeight="1" x14ac:dyDescent="0.25">
      <c r="A5122" t="s">
        <v>7379</v>
      </c>
      <c r="B5122">
        <v>24.1</v>
      </c>
    </row>
    <row r="5123" spans="1:2" ht="15" customHeight="1" x14ac:dyDescent="0.25">
      <c r="A5123" t="s">
        <v>7380</v>
      </c>
      <c r="B5123">
        <v>24.1</v>
      </c>
    </row>
    <row r="5124" spans="1:2" ht="15" customHeight="1" x14ac:dyDescent="0.25">
      <c r="A5124" t="s">
        <v>7381</v>
      </c>
      <c r="B5124">
        <v>24.1</v>
      </c>
    </row>
    <row r="5125" spans="1:2" ht="15" customHeight="1" x14ac:dyDescent="0.25">
      <c r="A5125" t="s">
        <v>7382</v>
      </c>
      <c r="B5125">
        <v>24.1</v>
      </c>
    </row>
    <row r="5126" spans="1:2" ht="15" customHeight="1" x14ac:dyDescent="0.25">
      <c r="A5126" t="s">
        <v>7383</v>
      </c>
      <c r="B5126">
        <v>24.1</v>
      </c>
    </row>
    <row r="5127" spans="1:2" ht="15" customHeight="1" x14ac:dyDescent="0.25">
      <c r="A5127" t="s">
        <v>7384</v>
      </c>
      <c r="B5127">
        <v>8.1</v>
      </c>
    </row>
    <row r="5128" spans="1:2" ht="15" customHeight="1" x14ac:dyDescent="0.25">
      <c r="A5128" t="s">
        <v>7385</v>
      </c>
      <c r="B5128">
        <v>24.1</v>
      </c>
    </row>
    <row r="5129" spans="1:2" ht="15" customHeight="1" x14ac:dyDescent="0.25">
      <c r="A5129" t="s">
        <v>7386</v>
      </c>
      <c r="B5129">
        <v>24.1</v>
      </c>
    </row>
    <row r="5130" spans="1:2" ht="15" customHeight="1" x14ac:dyDescent="0.25">
      <c r="A5130" t="s">
        <v>7387</v>
      </c>
      <c r="B5130">
        <v>8.1</v>
      </c>
    </row>
    <row r="5131" spans="1:2" ht="15" customHeight="1" x14ac:dyDescent="0.25">
      <c r="A5131" t="s">
        <v>7388</v>
      </c>
      <c r="B5131">
        <v>24.1</v>
      </c>
    </row>
    <row r="5132" spans="1:2" ht="15" customHeight="1" x14ac:dyDescent="0.25">
      <c r="A5132" t="s">
        <v>7389</v>
      </c>
      <c r="B5132">
        <v>24.1</v>
      </c>
    </row>
    <row r="5133" spans="1:2" ht="15" customHeight="1" x14ac:dyDescent="0.25">
      <c r="A5133" t="s">
        <v>7390</v>
      </c>
      <c r="B5133">
        <v>24.1</v>
      </c>
    </row>
    <row r="5134" spans="1:2" ht="15" customHeight="1" x14ac:dyDescent="0.25">
      <c r="A5134" t="s">
        <v>7391</v>
      </c>
      <c r="B5134">
        <v>24.1</v>
      </c>
    </row>
    <row r="5135" spans="1:2" ht="15" customHeight="1" x14ac:dyDescent="0.25">
      <c r="A5135" t="s">
        <v>7392</v>
      </c>
      <c r="B5135">
        <v>24.1</v>
      </c>
    </row>
    <row r="5136" spans="1:2" ht="15" customHeight="1" x14ac:dyDescent="0.25">
      <c r="A5136" t="s">
        <v>7393</v>
      </c>
      <c r="B5136">
        <v>24.1</v>
      </c>
    </row>
    <row r="5137" spans="1:2" ht="15" customHeight="1" x14ac:dyDescent="0.25">
      <c r="A5137" t="s">
        <v>7394</v>
      </c>
      <c r="B5137">
        <v>8.1</v>
      </c>
    </row>
    <row r="5138" spans="1:2" ht="15" customHeight="1" x14ac:dyDescent="0.25">
      <c r="A5138" t="s">
        <v>7395</v>
      </c>
      <c r="B5138">
        <v>24.1</v>
      </c>
    </row>
    <row r="5139" spans="1:2" ht="15" customHeight="1" x14ac:dyDescent="0.25">
      <c r="A5139" t="s">
        <v>7396</v>
      </c>
      <c r="B5139">
        <v>24.1</v>
      </c>
    </row>
    <row r="5140" spans="1:2" ht="15" customHeight="1" x14ac:dyDescent="0.25">
      <c r="A5140" t="s">
        <v>7397</v>
      </c>
      <c r="B5140">
        <v>8.1</v>
      </c>
    </row>
    <row r="5141" spans="1:2" ht="15" customHeight="1" x14ac:dyDescent="0.25">
      <c r="A5141" t="s">
        <v>7398</v>
      </c>
      <c r="B5141">
        <v>24.1</v>
      </c>
    </row>
    <row r="5142" spans="1:2" ht="15" customHeight="1" x14ac:dyDescent="0.25">
      <c r="A5142" t="s">
        <v>7399</v>
      </c>
      <c r="B5142">
        <v>24.1</v>
      </c>
    </row>
    <row r="5143" spans="1:2" ht="15" customHeight="1" x14ac:dyDescent="0.25">
      <c r="A5143" t="s">
        <v>7400</v>
      </c>
      <c r="B5143">
        <v>24.1</v>
      </c>
    </row>
    <row r="5144" spans="1:2" ht="15" customHeight="1" x14ac:dyDescent="0.25">
      <c r="A5144" t="s">
        <v>7401</v>
      </c>
      <c r="B5144">
        <v>37.6</v>
      </c>
    </row>
    <row r="5145" spans="1:2" ht="15" customHeight="1" x14ac:dyDescent="0.25">
      <c r="A5145" t="s">
        <v>7402</v>
      </c>
      <c r="B5145">
        <v>37.6</v>
      </c>
    </row>
    <row r="5146" spans="1:2" ht="15" customHeight="1" x14ac:dyDescent="0.25">
      <c r="A5146" t="s">
        <v>7403</v>
      </c>
      <c r="B5146">
        <v>37.6</v>
      </c>
    </row>
    <row r="5147" spans="1:2" ht="15" customHeight="1" x14ac:dyDescent="0.25">
      <c r="A5147" t="s">
        <v>7404</v>
      </c>
      <c r="B5147">
        <v>37.6</v>
      </c>
    </row>
    <row r="5148" spans="1:2" ht="15" customHeight="1" x14ac:dyDescent="0.25">
      <c r="A5148" t="s">
        <v>7405</v>
      </c>
      <c r="B5148">
        <v>37.6</v>
      </c>
    </row>
    <row r="5149" spans="1:2" ht="15" customHeight="1" x14ac:dyDescent="0.25">
      <c r="A5149" t="s">
        <v>7406</v>
      </c>
      <c r="B5149">
        <v>37.6</v>
      </c>
    </row>
    <row r="5150" spans="1:2" ht="15" customHeight="1" x14ac:dyDescent="0.25">
      <c r="A5150" t="s">
        <v>7407</v>
      </c>
      <c r="B5150">
        <v>37.6</v>
      </c>
    </row>
    <row r="5151" spans="1:2" ht="15" customHeight="1" x14ac:dyDescent="0.25">
      <c r="A5151" t="s">
        <v>7408</v>
      </c>
      <c r="B5151">
        <v>37.6</v>
      </c>
    </row>
    <row r="5152" spans="1:2" ht="15" customHeight="1" x14ac:dyDescent="0.25">
      <c r="A5152" t="s">
        <v>7409</v>
      </c>
      <c r="B5152">
        <v>37.6</v>
      </c>
    </row>
    <row r="5153" spans="1:2" ht="15" customHeight="1" x14ac:dyDescent="0.25">
      <c r="A5153" t="s">
        <v>7410</v>
      </c>
      <c r="B5153">
        <v>37.6</v>
      </c>
    </row>
    <row r="5154" spans="1:2" ht="15" customHeight="1" x14ac:dyDescent="0.25">
      <c r="A5154" t="s">
        <v>7411</v>
      </c>
      <c r="B5154">
        <v>37.6</v>
      </c>
    </row>
    <row r="5155" spans="1:2" ht="15" customHeight="1" x14ac:dyDescent="0.25">
      <c r="A5155" t="s">
        <v>7412</v>
      </c>
      <c r="B5155">
        <v>37.6</v>
      </c>
    </row>
    <row r="5156" spans="1:2" ht="15" customHeight="1" x14ac:dyDescent="0.25">
      <c r="A5156" t="s">
        <v>7413</v>
      </c>
      <c r="B5156">
        <v>37.6</v>
      </c>
    </row>
    <row r="5157" spans="1:2" ht="15" customHeight="1" x14ac:dyDescent="0.25">
      <c r="A5157" t="s">
        <v>7414</v>
      </c>
      <c r="B5157">
        <v>37.6</v>
      </c>
    </row>
    <row r="5158" spans="1:2" ht="15" customHeight="1" x14ac:dyDescent="0.25">
      <c r="A5158" t="s">
        <v>7415</v>
      </c>
      <c r="B5158">
        <v>37.6</v>
      </c>
    </row>
    <row r="5159" spans="1:2" ht="15" customHeight="1" x14ac:dyDescent="0.25">
      <c r="A5159" t="s">
        <v>7416</v>
      </c>
      <c r="B5159">
        <v>37.6</v>
      </c>
    </row>
    <row r="5160" spans="1:2" ht="15" customHeight="1" x14ac:dyDescent="0.25">
      <c r="A5160" t="s">
        <v>7417</v>
      </c>
      <c r="B5160">
        <v>37.6</v>
      </c>
    </row>
    <row r="5161" spans="1:2" ht="15" customHeight="1" x14ac:dyDescent="0.25">
      <c r="A5161" t="s">
        <v>7418</v>
      </c>
      <c r="B5161">
        <v>37.6</v>
      </c>
    </row>
    <row r="5162" spans="1:2" ht="15" customHeight="1" x14ac:dyDescent="0.25">
      <c r="A5162" t="s">
        <v>7419</v>
      </c>
      <c r="B5162">
        <v>37.6</v>
      </c>
    </row>
    <row r="5163" spans="1:2" ht="15" customHeight="1" x14ac:dyDescent="0.25">
      <c r="A5163" t="s">
        <v>7420</v>
      </c>
      <c r="B5163">
        <v>37.6</v>
      </c>
    </row>
    <row r="5164" spans="1:2" ht="15" customHeight="1" x14ac:dyDescent="0.25">
      <c r="A5164" t="s">
        <v>7421</v>
      </c>
      <c r="B5164">
        <v>37.6</v>
      </c>
    </row>
    <row r="5165" spans="1:2" ht="15" customHeight="1" x14ac:dyDescent="0.25">
      <c r="A5165" t="s">
        <v>7422</v>
      </c>
      <c r="B5165">
        <v>37.6</v>
      </c>
    </row>
    <row r="5166" spans="1:2" ht="15" customHeight="1" x14ac:dyDescent="0.25">
      <c r="A5166" t="s">
        <v>7423</v>
      </c>
      <c r="B5166">
        <v>37.6</v>
      </c>
    </row>
    <row r="5167" spans="1:2" ht="15" customHeight="1" x14ac:dyDescent="0.25">
      <c r="A5167" t="s">
        <v>7424</v>
      </c>
      <c r="B5167">
        <v>37.6</v>
      </c>
    </row>
    <row r="5168" spans="1:2" ht="15" customHeight="1" x14ac:dyDescent="0.25">
      <c r="A5168" t="s">
        <v>7425</v>
      </c>
      <c r="B5168">
        <v>37.6</v>
      </c>
    </row>
    <row r="5169" spans="1:2" ht="15" customHeight="1" x14ac:dyDescent="0.25">
      <c r="A5169" t="s">
        <v>7426</v>
      </c>
      <c r="B5169">
        <v>37.6</v>
      </c>
    </row>
    <row r="5170" spans="1:2" ht="15" customHeight="1" x14ac:dyDescent="0.25">
      <c r="A5170" t="s">
        <v>7427</v>
      </c>
      <c r="B5170">
        <v>37.6</v>
      </c>
    </row>
    <row r="5171" spans="1:2" ht="15" customHeight="1" x14ac:dyDescent="0.25">
      <c r="A5171" t="s">
        <v>7428</v>
      </c>
      <c r="B5171">
        <v>37.6</v>
      </c>
    </row>
    <row r="5172" spans="1:2" ht="15" customHeight="1" x14ac:dyDescent="0.25">
      <c r="A5172" t="s">
        <v>7429</v>
      </c>
      <c r="B5172">
        <v>37.6</v>
      </c>
    </row>
    <row r="5173" spans="1:2" ht="15" customHeight="1" x14ac:dyDescent="0.25">
      <c r="A5173" t="s">
        <v>7430</v>
      </c>
      <c r="B5173">
        <v>37.6</v>
      </c>
    </row>
    <row r="5174" spans="1:2" ht="15" customHeight="1" x14ac:dyDescent="0.25">
      <c r="A5174" t="s">
        <v>7431</v>
      </c>
      <c r="B5174">
        <v>37.6</v>
      </c>
    </row>
    <row r="5175" spans="1:2" ht="15" customHeight="1" x14ac:dyDescent="0.25">
      <c r="A5175" t="s">
        <v>7432</v>
      </c>
      <c r="B5175">
        <v>37.6</v>
      </c>
    </row>
    <row r="5176" spans="1:2" ht="15" customHeight="1" x14ac:dyDescent="0.25">
      <c r="A5176" t="s">
        <v>7433</v>
      </c>
      <c r="B5176">
        <v>37.6</v>
      </c>
    </row>
    <row r="5177" spans="1:2" ht="15" customHeight="1" x14ac:dyDescent="0.25">
      <c r="A5177" t="s">
        <v>7434</v>
      </c>
      <c r="B5177">
        <v>37.6</v>
      </c>
    </row>
    <row r="5178" spans="1:2" ht="15" customHeight="1" x14ac:dyDescent="0.25">
      <c r="A5178" t="s">
        <v>7435</v>
      </c>
      <c r="B5178">
        <v>37.6</v>
      </c>
    </row>
    <row r="5179" spans="1:2" ht="15" customHeight="1" x14ac:dyDescent="0.25">
      <c r="A5179" t="s">
        <v>7436</v>
      </c>
      <c r="B5179">
        <v>37.6</v>
      </c>
    </row>
    <row r="5180" spans="1:2" ht="15" customHeight="1" x14ac:dyDescent="0.25">
      <c r="A5180" t="s">
        <v>7437</v>
      </c>
      <c r="B5180">
        <v>37.6</v>
      </c>
    </row>
    <row r="5181" spans="1:2" ht="15" customHeight="1" x14ac:dyDescent="0.25">
      <c r="A5181" t="s">
        <v>7438</v>
      </c>
      <c r="B5181">
        <v>37.6</v>
      </c>
    </row>
    <row r="5182" spans="1:2" ht="15" customHeight="1" x14ac:dyDescent="0.25">
      <c r="A5182" t="s">
        <v>7439</v>
      </c>
      <c r="B5182">
        <v>37.6</v>
      </c>
    </row>
    <row r="5183" spans="1:2" ht="15" customHeight="1" x14ac:dyDescent="0.25">
      <c r="A5183" t="s">
        <v>7440</v>
      </c>
      <c r="B5183">
        <v>37.6</v>
      </c>
    </row>
    <row r="5184" spans="1:2" ht="15" customHeight="1" x14ac:dyDescent="0.25">
      <c r="A5184" t="s">
        <v>7441</v>
      </c>
      <c r="B5184">
        <v>37.6</v>
      </c>
    </row>
    <row r="5185" spans="1:2" ht="15" customHeight="1" x14ac:dyDescent="0.25">
      <c r="A5185" t="s">
        <v>7442</v>
      </c>
      <c r="B5185">
        <v>37.6</v>
      </c>
    </row>
    <row r="5186" spans="1:2" ht="15" customHeight="1" x14ac:dyDescent="0.25">
      <c r="A5186" t="s">
        <v>7443</v>
      </c>
      <c r="B5186">
        <v>37.6</v>
      </c>
    </row>
    <row r="5187" spans="1:2" ht="15" customHeight="1" x14ac:dyDescent="0.25">
      <c r="A5187" t="s">
        <v>7444</v>
      </c>
      <c r="B5187">
        <v>37.6</v>
      </c>
    </row>
    <row r="5188" spans="1:2" ht="15" customHeight="1" x14ac:dyDescent="0.25">
      <c r="A5188" t="s">
        <v>7445</v>
      </c>
      <c r="B5188">
        <v>37.6</v>
      </c>
    </row>
    <row r="5189" spans="1:2" ht="15" customHeight="1" x14ac:dyDescent="0.25">
      <c r="A5189" t="s">
        <v>7446</v>
      </c>
      <c r="B5189">
        <v>37.6</v>
      </c>
    </row>
    <row r="5190" spans="1:2" ht="15" customHeight="1" x14ac:dyDescent="0.25">
      <c r="A5190" t="s">
        <v>7447</v>
      </c>
      <c r="B5190">
        <v>37.6</v>
      </c>
    </row>
    <row r="5191" spans="1:2" ht="15" customHeight="1" x14ac:dyDescent="0.25">
      <c r="A5191" t="s">
        <v>7448</v>
      </c>
      <c r="B5191">
        <v>37.6</v>
      </c>
    </row>
    <row r="5192" spans="1:2" ht="15" customHeight="1" x14ac:dyDescent="0.25">
      <c r="A5192" t="s">
        <v>7449</v>
      </c>
      <c r="B5192">
        <v>37.6</v>
      </c>
    </row>
    <row r="5193" spans="1:2" ht="15" customHeight="1" x14ac:dyDescent="0.25">
      <c r="A5193" t="s">
        <v>7450</v>
      </c>
      <c r="B5193">
        <v>37.6</v>
      </c>
    </row>
    <row r="5194" spans="1:2" ht="15" customHeight="1" x14ac:dyDescent="0.25">
      <c r="A5194" t="s">
        <v>7451</v>
      </c>
      <c r="B5194">
        <v>37.6</v>
      </c>
    </row>
    <row r="5195" spans="1:2" ht="15" customHeight="1" x14ac:dyDescent="0.25">
      <c r="A5195" t="s">
        <v>7452</v>
      </c>
      <c r="B5195">
        <v>37.6</v>
      </c>
    </row>
    <row r="5196" spans="1:2" ht="15" customHeight="1" x14ac:dyDescent="0.25">
      <c r="A5196" t="s">
        <v>7453</v>
      </c>
      <c r="B5196">
        <v>35.6</v>
      </c>
    </row>
    <row r="5197" spans="1:2" ht="15" customHeight="1" x14ac:dyDescent="0.25">
      <c r="A5197" t="s">
        <v>7454</v>
      </c>
      <c r="B5197">
        <v>35.6</v>
      </c>
    </row>
    <row r="5198" spans="1:2" ht="15" customHeight="1" x14ac:dyDescent="0.25">
      <c r="A5198" t="s">
        <v>7455</v>
      </c>
      <c r="B5198">
        <v>35.6</v>
      </c>
    </row>
    <row r="5199" spans="1:2" ht="15" customHeight="1" x14ac:dyDescent="0.25">
      <c r="A5199" t="s">
        <v>7456</v>
      </c>
      <c r="B5199">
        <v>35.6</v>
      </c>
    </row>
    <row r="5200" spans="1:2" ht="15" customHeight="1" x14ac:dyDescent="0.25">
      <c r="A5200" t="s">
        <v>7457</v>
      </c>
      <c r="B5200">
        <v>35.6</v>
      </c>
    </row>
    <row r="5201" spans="1:2" ht="15" customHeight="1" x14ac:dyDescent="0.25">
      <c r="A5201" t="s">
        <v>7458</v>
      </c>
      <c r="B5201">
        <v>35.6</v>
      </c>
    </row>
    <row r="5202" spans="1:2" ht="15" customHeight="1" x14ac:dyDescent="0.25">
      <c r="A5202" t="s">
        <v>7459</v>
      </c>
      <c r="B5202">
        <v>35.6</v>
      </c>
    </row>
    <row r="5203" spans="1:2" ht="15" customHeight="1" x14ac:dyDescent="0.25">
      <c r="A5203" t="s">
        <v>7460</v>
      </c>
      <c r="B5203">
        <v>35.6</v>
      </c>
    </row>
    <row r="5204" spans="1:2" ht="15" customHeight="1" x14ac:dyDescent="0.25">
      <c r="A5204" t="s">
        <v>7461</v>
      </c>
      <c r="B5204">
        <v>35.6</v>
      </c>
    </row>
    <row r="5205" spans="1:2" ht="15" customHeight="1" x14ac:dyDescent="0.25">
      <c r="A5205" t="s">
        <v>7462</v>
      </c>
      <c r="B5205">
        <v>35.6</v>
      </c>
    </row>
    <row r="5206" spans="1:2" ht="15" customHeight="1" x14ac:dyDescent="0.25">
      <c r="A5206" t="s">
        <v>7463</v>
      </c>
      <c r="B5206">
        <v>35.6</v>
      </c>
    </row>
    <row r="5207" spans="1:2" ht="15" customHeight="1" x14ac:dyDescent="0.25">
      <c r="A5207" t="s">
        <v>7464</v>
      </c>
      <c r="B5207">
        <v>35.6</v>
      </c>
    </row>
    <row r="5208" spans="1:2" ht="15" customHeight="1" x14ac:dyDescent="0.25">
      <c r="A5208" t="s">
        <v>7465</v>
      </c>
      <c r="B5208">
        <v>35.6</v>
      </c>
    </row>
    <row r="5209" spans="1:2" ht="15" customHeight="1" x14ac:dyDescent="0.25">
      <c r="A5209" t="s">
        <v>7466</v>
      </c>
      <c r="B5209">
        <v>35.6</v>
      </c>
    </row>
    <row r="5210" spans="1:2" ht="15" customHeight="1" x14ac:dyDescent="0.25">
      <c r="A5210" t="s">
        <v>7467</v>
      </c>
      <c r="B5210">
        <v>35.6</v>
      </c>
    </row>
    <row r="5211" spans="1:2" ht="15" customHeight="1" x14ac:dyDescent="0.25">
      <c r="A5211" t="s">
        <v>7468</v>
      </c>
      <c r="B5211">
        <v>35.6</v>
      </c>
    </row>
    <row r="5212" spans="1:2" ht="15" customHeight="1" x14ac:dyDescent="0.25">
      <c r="A5212" t="s">
        <v>7469</v>
      </c>
      <c r="B5212">
        <v>35.6</v>
      </c>
    </row>
    <row r="5213" spans="1:2" ht="15" customHeight="1" x14ac:dyDescent="0.25">
      <c r="A5213" t="s">
        <v>7470</v>
      </c>
      <c r="B5213">
        <v>35.6</v>
      </c>
    </row>
    <row r="5214" spans="1:2" ht="15" customHeight="1" x14ac:dyDescent="0.25">
      <c r="A5214" t="s">
        <v>7471</v>
      </c>
      <c r="B5214">
        <v>35.6</v>
      </c>
    </row>
    <row r="5215" spans="1:2" ht="15" customHeight="1" x14ac:dyDescent="0.25">
      <c r="A5215" t="s">
        <v>7472</v>
      </c>
      <c r="B5215">
        <v>35.6</v>
      </c>
    </row>
    <row r="5216" spans="1:2" ht="15" customHeight="1" x14ac:dyDescent="0.25">
      <c r="A5216" t="s">
        <v>7473</v>
      </c>
      <c r="B5216">
        <v>35.6</v>
      </c>
    </row>
    <row r="5217" spans="1:2" ht="15" customHeight="1" x14ac:dyDescent="0.25">
      <c r="A5217" t="s">
        <v>7474</v>
      </c>
      <c r="B5217">
        <v>35.6</v>
      </c>
    </row>
    <row r="5218" spans="1:2" ht="15" customHeight="1" x14ac:dyDescent="0.25">
      <c r="A5218" t="s">
        <v>7475</v>
      </c>
      <c r="B5218">
        <v>35.6</v>
      </c>
    </row>
    <row r="5219" spans="1:2" ht="15" customHeight="1" x14ac:dyDescent="0.25">
      <c r="A5219" t="s">
        <v>7476</v>
      </c>
      <c r="B5219">
        <v>35.6</v>
      </c>
    </row>
    <row r="5220" spans="1:2" ht="15" customHeight="1" x14ac:dyDescent="0.25">
      <c r="A5220" t="s">
        <v>7477</v>
      </c>
      <c r="B5220">
        <v>35.6</v>
      </c>
    </row>
    <row r="5221" spans="1:2" ht="15" customHeight="1" x14ac:dyDescent="0.25">
      <c r="A5221" t="s">
        <v>7478</v>
      </c>
      <c r="B5221">
        <v>35.6</v>
      </c>
    </row>
    <row r="5222" spans="1:2" ht="15" customHeight="1" x14ac:dyDescent="0.25">
      <c r="A5222" t="s">
        <v>7479</v>
      </c>
      <c r="B5222">
        <v>35.6</v>
      </c>
    </row>
    <row r="5223" spans="1:2" ht="15" customHeight="1" x14ac:dyDescent="0.25">
      <c r="A5223" t="s">
        <v>7480</v>
      </c>
      <c r="B5223">
        <v>35.6</v>
      </c>
    </row>
    <row r="5224" spans="1:2" ht="15" customHeight="1" x14ac:dyDescent="0.25">
      <c r="A5224" t="s">
        <v>7481</v>
      </c>
      <c r="B5224">
        <v>35.6</v>
      </c>
    </row>
    <row r="5225" spans="1:2" ht="15" customHeight="1" x14ac:dyDescent="0.25">
      <c r="A5225" t="s">
        <v>7482</v>
      </c>
      <c r="B5225">
        <v>35.6</v>
      </c>
    </row>
    <row r="5226" spans="1:2" ht="15" customHeight="1" x14ac:dyDescent="0.25">
      <c r="A5226" t="s">
        <v>7483</v>
      </c>
      <c r="B5226">
        <v>35.6</v>
      </c>
    </row>
    <row r="5227" spans="1:2" ht="15" customHeight="1" x14ac:dyDescent="0.25">
      <c r="A5227" t="s">
        <v>7484</v>
      </c>
      <c r="B5227">
        <v>35.6</v>
      </c>
    </row>
    <row r="5228" spans="1:2" ht="15" customHeight="1" x14ac:dyDescent="0.25">
      <c r="A5228" t="s">
        <v>7485</v>
      </c>
      <c r="B5228">
        <v>35.6</v>
      </c>
    </row>
    <row r="5229" spans="1:2" ht="15" customHeight="1" x14ac:dyDescent="0.25">
      <c r="A5229" t="s">
        <v>7486</v>
      </c>
      <c r="B5229">
        <v>35.6</v>
      </c>
    </row>
    <row r="5230" spans="1:2" ht="15" customHeight="1" x14ac:dyDescent="0.25">
      <c r="A5230" t="s">
        <v>7487</v>
      </c>
      <c r="B5230">
        <v>35.6</v>
      </c>
    </row>
    <row r="5231" spans="1:2" ht="15" customHeight="1" x14ac:dyDescent="0.25">
      <c r="A5231" t="s">
        <v>7488</v>
      </c>
      <c r="B5231">
        <v>35.6</v>
      </c>
    </row>
    <row r="5232" spans="1:2" ht="15" customHeight="1" x14ac:dyDescent="0.25">
      <c r="A5232" t="s">
        <v>7489</v>
      </c>
      <c r="B5232">
        <v>16.899999999999999</v>
      </c>
    </row>
    <row r="5233" spans="1:2" ht="15" customHeight="1" x14ac:dyDescent="0.25">
      <c r="A5233" t="s">
        <v>7490</v>
      </c>
      <c r="B5233">
        <v>16.899999999999999</v>
      </c>
    </row>
    <row r="5234" spans="1:2" ht="15" customHeight="1" x14ac:dyDescent="0.25">
      <c r="A5234" t="s">
        <v>7491</v>
      </c>
      <c r="B5234">
        <v>16.899999999999999</v>
      </c>
    </row>
    <row r="5235" spans="1:2" ht="15" customHeight="1" x14ac:dyDescent="0.25">
      <c r="A5235" t="s">
        <v>7492</v>
      </c>
      <c r="B5235">
        <v>16.899999999999999</v>
      </c>
    </row>
    <row r="5236" spans="1:2" ht="15" customHeight="1" x14ac:dyDescent="0.25">
      <c r="A5236" t="s">
        <v>7493</v>
      </c>
      <c r="B5236">
        <v>16.899999999999999</v>
      </c>
    </row>
    <row r="5237" spans="1:2" ht="15" customHeight="1" x14ac:dyDescent="0.25">
      <c r="A5237" t="s">
        <v>7494</v>
      </c>
      <c r="B5237">
        <v>16.899999999999999</v>
      </c>
    </row>
    <row r="5238" spans="1:2" ht="15" customHeight="1" x14ac:dyDescent="0.25">
      <c r="A5238" t="s">
        <v>7495</v>
      </c>
      <c r="B5238">
        <v>16.899999999999999</v>
      </c>
    </row>
    <row r="5239" spans="1:2" ht="15" customHeight="1" x14ac:dyDescent="0.25">
      <c r="A5239" t="s">
        <v>7496</v>
      </c>
      <c r="B5239">
        <v>16.899999999999999</v>
      </c>
    </row>
    <row r="5240" spans="1:2" ht="15" customHeight="1" x14ac:dyDescent="0.25">
      <c r="A5240" t="s">
        <v>7497</v>
      </c>
      <c r="B5240">
        <v>16.899999999999999</v>
      </c>
    </row>
    <row r="5241" spans="1:2" ht="15" customHeight="1" x14ac:dyDescent="0.25">
      <c r="A5241" t="s">
        <v>7498</v>
      </c>
      <c r="B5241">
        <v>16.899999999999999</v>
      </c>
    </row>
    <row r="5242" spans="1:2" ht="15" customHeight="1" x14ac:dyDescent="0.25">
      <c r="A5242" t="s">
        <v>7499</v>
      </c>
      <c r="B5242">
        <v>16.899999999999999</v>
      </c>
    </row>
    <row r="5243" spans="1:2" ht="15" customHeight="1" x14ac:dyDescent="0.25">
      <c r="A5243" t="s">
        <v>7500</v>
      </c>
      <c r="B5243">
        <v>16.899999999999999</v>
      </c>
    </row>
    <row r="5244" spans="1:2" ht="15" customHeight="1" x14ac:dyDescent="0.25">
      <c r="A5244" t="s">
        <v>7501</v>
      </c>
      <c r="B5244">
        <v>16.899999999999999</v>
      </c>
    </row>
    <row r="5245" spans="1:2" ht="15" customHeight="1" x14ac:dyDescent="0.25">
      <c r="A5245" t="s">
        <v>7502</v>
      </c>
      <c r="B5245">
        <v>16.899999999999999</v>
      </c>
    </row>
    <row r="5246" spans="1:2" ht="15" customHeight="1" x14ac:dyDescent="0.25">
      <c r="A5246" t="s">
        <v>7503</v>
      </c>
      <c r="B5246">
        <v>16.899999999999999</v>
      </c>
    </row>
    <row r="5247" spans="1:2" ht="15" customHeight="1" x14ac:dyDescent="0.25">
      <c r="A5247" t="s">
        <v>7504</v>
      </c>
      <c r="B5247">
        <v>16.899999999999999</v>
      </c>
    </row>
    <row r="5248" spans="1:2" ht="15" customHeight="1" x14ac:dyDescent="0.25">
      <c r="A5248" t="s">
        <v>7505</v>
      </c>
      <c r="B5248">
        <v>16.899999999999999</v>
      </c>
    </row>
    <row r="5249" spans="1:2" ht="15" customHeight="1" x14ac:dyDescent="0.25">
      <c r="A5249" t="s">
        <v>7506</v>
      </c>
      <c r="B5249">
        <v>16.899999999999999</v>
      </c>
    </row>
    <row r="5250" spans="1:2" ht="15" customHeight="1" x14ac:dyDescent="0.25">
      <c r="A5250" t="s">
        <v>7507</v>
      </c>
      <c r="B5250">
        <v>16.899999999999999</v>
      </c>
    </row>
    <row r="5251" spans="1:2" ht="15" customHeight="1" x14ac:dyDescent="0.25">
      <c r="A5251" t="s">
        <v>7508</v>
      </c>
      <c r="B5251">
        <v>16.899999999999999</v>
      </c>
    </row>
    <row r="5252" spans="1:2" ht="15" customHeight="1" x14ac:dyDescent="0.25">
      <c r="A5252" t="s">
        <v>7509</v>
      </c>
      <c r="B5252">
        <v>16.899999999999999</v>
      </c>
    </row>
    <row r="5253" spans="1:2" ht="15" customHeight="1" x14ac:dyDescent="0.25">
      <c r="A5253" t="s">
        <v>7510</v>
      </c>
      <c r="B5253">
        <v>16.899999999999999</v>
      </c>
    </row>
    <row r="5254" spans="1:2" ht="15" customHeight="1" x14ac:dyDescent="0.25">
      <c r="A5254" t="s">
        <v>7511</v>
      </c>
      <c r="B5254">
        <v>16.899999999999999</v>
      </c>
    </row>
    <row r="5255" spans="1:2" ht="15" customHeight="1" x14ac:dyDescent="0.25">
      <c r="A5255" t="s">
        <v>7512</v>
      </c>
      <c r="B5255">
        <v>16.899999999999999</v>
      </c>
    </row>
    <row r="5256" spans="1:2" ht="15" customHeight="1" x14ac:dyDescent="0.25">
      <c r="A5256" t="s">
        <v>7513</v>
      </c>
      <c r="B5256">
        <v>16.899999999999999</v>
      </c>
    </row>
    <row r="5257" spans="1:2" ht="15" customHeight="1" x14ac:dyDescent="0.25">
      <c r="A5257" t="s">
        <v>7514</v>
      </c>
      <c r="B5257">
        <v>16.899999999999999</v>
      </c>
    </row>
    <row r="5258" spans="1:2" ht="15" customHeight="1" x14ac:dyDescent="0.25">
      <c r="A5258" t="s">
        <v>7515</v>
      </c>
      <c r="B5258">
        <v>16.899999999999999</v>
      </c>
    </row>
    <row r="5259" spans="1:2" ht="15" customHeight="1" x14ac:dyDescent="0.25">
      <c r="A5259" t="s">
        <v>7516</v>
      </c>
      <c r="B5259">
        <v>16.899999999999999</v>
      </c>
    </row>
    <row r="5260" spans="1:2" ht="15" customHeight="1" x14ac:dyDescent="0.25">
      <c r="A5260" t="s">
        <v>7517</v>
      </c>
      <c r="B5260">
        <v>33.4</v>
      </c>
    </row>
    <row r="5261" spans="1:2" ht="15" customHeight="1" x14ac:dyDescent="0.25">
      <c r="A5261" t="s">
        <v>7518</v>
      </c>
      <c r="B5261">
        <v>33.4</v>
      </c>
    </row>
    <row r="5262" spans="1:2" ht="15" customHeight="1" x14ac:dyDescent="0.25">
      <c r="A5262" t="s">
        <v>7519</v>
      </c>
      <c r="B5262">
        <v>33.4</v>
      </c>
    </row>
    <row r="5263" spans="1:2" ht="15" customHeight="1" x14ac:dyDescent="0.25">
      <c r="A5263" t="s">
        <v>7520</v>
      </c>
      <c r="B5263">
        <v>33.4</v>
      </c>
    </row>
    <row r="5264" spans="1:2" ht="15" customHeight="1" x14ac:dyDescent="0.25">
      <c r="A5264" t="s">
        <v>7521</v>
      </c>
      <c r="B5264">
        <v>33.4</v>
      </c>
    </row>
    <row r="5265" spans="1:2" ht="15" customHeight="1" x14ac:dyDescent="0.25">
      <c r="A5265" t="s">
        <v>7522</v>
      </c>
      <c r="B5265">
        <v>33.4</v>
      </c>
    </row>
    <row r="5266" spans="1:2" ht="15" customHeight="1" x14ac:dyDescent="0.25">
      <c r="A5266" t="s">
        <v>7523</v>
      </c>
      <c r="B5266">
        <v>33.4</v>
      </c>
    </row>
    <row r="5267" spans="1:2" ht="15" customHeight="1" x14ac:dyDescent="0.25">
      <c r="A5267" t="s">
        <v>7524</v>
      </c>
      <c r="B5267">
        <v>33.4</v>
      </c>
    </row>
    <row r="5268" spans="1:2" ht="15" customHeight="1" x14ac:dyDescent="0.25">
      <c r="A5268" t="s">
        <v>7525</v>
      </c>
      <c r="B5268">
        <v>33.4</v>
      </c>
    </row>
    <row r="5269" spans="1:2" ht="15" customHeight="1" x14ac:dyDescent="0.25">
      <c r="A5269" t="s">
        <v>7526</v>
      </c>
      <c r="B5269">
        <v>29.3</v>
      </c>
    </row>
    <row r="5270" spans="1:2" ht="15" customHeight="1" x14ac:dyDescent="0.25">
      <c r="A5270" t="s">
        <v>7527</v>
      </c>
      <c r="B5270">
        <v>7.7</v>
      </c>
    </row>
    <row r="5271" spans="1:2" ht="15" customHeight="1" x14ac:dyDescent="0.25">
      <c r="A5271" t="s">
        <v>7528</v>
      </c>
      <c r="B5271">
        <v>7.7</v>
      </c>
    </row>
    <row r="5272" spans="1:2" ht="15" customHeight="1" x14ac:dyDescent="0.25">
      <c r="A5272" t="s">
        <v>7529</v>
      </c>
      <c r="B5272">
        <v>7.7</v>
      </c>
    </row>
    <row r="5273" spans="1:2" ht="15" customHeight="1" x14ac:dyDescent="0.25">
      <c r="A5273" t="s">
        <v>7530</v>
      </c>
      <c r="B5273">
        <v>7.7</v>
      </c>
    </row>
    <row r="5274" spans="1:2" ht="15" customHeight="1" x14ac:dyDescent="0.25">
      <c r="A5274" t="s">
        <v>7531</v>
      </c>
      <c r="B5274">
        <v>7.7</v>
      </c>
    </row>
    <row r="5275" spans="1:2" ht="15" customHeight="1" x14ac:dyDescent="0.25">
      <c r="A5275" t="s">
        <v>7532</v>
      </c>
      <c r="B5275">
        <v>35.6</v>
      </c>
    </row>
    <row r="5276" spans="1:2" ht="15" customHeight="1" x14ac:dyDescent="0.25">
      <c r="A5276" t="s">
        <v>7533</v>
      </c>
      <c r="B5276">
        <v>35.6</v>
      </c>
    </row>
    <row r="5277" spans="1:2" ht="15" customHeight="1" x14ac:dyDescent="0.25">
      <c r="A5277" t="s">
        <v>7534</v>
      </c>
      <c r="B5277">
        <v>8.9</v>
      </c>
    </row>
    <row r="5278" spans="1:2" ht="15" customHeight="1" x14ac:dyDescent="0.25">
      <c r="A5278" t="s">
        <v>7535</v>
      </c>
      <c r="B5278">
        <v>8.9</v>
      </c>
    </row>
    <row r="5279" spans="1:2" ht="15" customHeight="1" x14ac:dyDescent="0.25">
      <c r="A5279" t="s">
        <v>7536</v>
      </c>
      <c r="B5279">
        <v>8.9</v>
      </c>
    </row>
    <row r="5280" spans="1:2" ht="15" customHeight="1" x14ac:dyDescent="0.25">
      <c r="A5280" t="s">
        <v>7537</v>
      </c>
      <c r="B5280">
        <v>8.9</v>
      </c>
    </row>
    <row r="5281" spans="1:3" ht="15" customHeight="1" x14ac:dyDescent="0.25">
      <c r="A5281" t="s">
        <v>7538</v>
      </c>
      <c r="B5281">
        <v>8.9</v>
      </c>
    </row>
    <row r="5282" spans="1:3" ht="15" customHeight="1" x14ac:dyDescent="0.25">
      <c r="A5282" t="s">
        <v>7539</v>
      </c>
      <c r="B5282">
        <v>7.7</v>
      </c>
    </row>
    <row r="5283" spans="1:3" ht="15" customHeight="1" x14ac:dyDescent="0.25">
      <c r="A5283" t="s">
        <v>7540</v>
      </c>
      <c r="B5283">
        <v>7.7</v>
      </c>
    </row>
    <row r="5284" spans="1:3" ht="15" customHeight="1" x14ac:dyDescent="0.25">
      <c r="A5284" t="s">
        <v>7541</v>
      </c>
      <c r="B5284">
        <v>7.7</v>
      </c>
    </row>
    <row r="5285" spans="1:3" ht="15" customHeight="1" x14ac:dyDescent="0.25">
      <c r="A5285" t="s">
        <v>7542</v>
      </c>
      <c r="B5285">
        <v>7.7</v>
      </c>
    </row>
    <row r="5286" spans="1:3" ht="15" customHeight="1" x14ac:dyDescent="0.25">
      <c r="A5286" t="s">
        <v>7543</v>
      </c>
      <c r="B5286">
        <v>7.7</v>
      </c>
    </row>
    <row r="5287" spans="1:3" ht="15" customHeight="1" x14ac:dyDescent="0.25">
      <c r="A5287" t="s">
        <v>7544</v>
      </c>
      <c r="B5287">
        <v>9.1</v>
      </c>
    </row>
    <row r="5288" spans="1:3" ht="15" customHeight="1" x14ac:dyDescent="0.25">
      <c r="A5288" t="s">
        <v>7545</v>
      </c>
      <c r="B5288">
        <v>9.1</v>
      </c>
    </row>
    <row r="5289" spans="1:3" ht="15" customHeight="1" x14ac:dyDescent="0.25">
      <c r="A5289" t="s">
        <v>7546</v>
      </c>
      <c r="B5289">
        <v>9.1</v>
      </c>
    </row>
    <row r="5290" spans="1:3" ht="15" customHeight="1" x14ac:dyDescent="0.25">
      <c r="A5290" t="s">
        <v>7547</v>
      </c>
      <c r="B5290">
        <v>9.1</v>
      </c>
    </row>
    <row r="5291" spans="1:3" ht="15" customHeight="1" x14ac:dyDescent="0.25">
      <c r="A5291" t="s">
        <v>7548</v>
      </c>
      <c r="B5291">
        <v>9.1</v>
      </c>
    </row>
    <row r="5292" spans="1:3" ht="15" customHeight="1" x14ac:dyDescent="0.25">
      <c r="A5292" t="s">
        <v>7549</v>
      </c>
      <c r="B5292">
        <v>6.8</v>
      </c>
      <c r="C5292">
        <v>0.15</v>
      </c>
    </row>
    <row r="5293" spans="1:3" ht="15" customHeight="1" x14ac:dyDescent="0.25">
      <c r="A5293" t="s">
        <v>7550</v>
      </c>
      <c r="B5293">
        <v>7</v>
      </c>
      <c r="C5293">
        <v>0.15</v>
      </c>
    </row>
    <row r="5294" spans="1:3" ht="15" customHeight="1" x14ac:dyDescent="0.25">
      <c r="A5294" t="s">
        <v>7551</v>
      </c>
      <c r="B5294">
        <v>6.8</v>
      </c>
    </row>
    <row r="5295" spans="1:3" ht="15" customHeight="1" x14ac:dyDescent="0.25">
      <c r="A5295" t="s">
        <v>7552</v>
      </c>
      <c r="B5295">
        <v>6.8</v>
      </c>
      <c r="C5295">
        <v>0.15</v>
      </c>
    </row>
    <row r="5296" spans="1:3" ht="15" customHeight="1" x14ac:dyDescent="0.25">
      <c r="A5296" t="s">
        <v>7553</v>
      </c>
      <c r="B5296">
        <v>7</v>
      </c>
      <c r="C5296">
        <v>0.15</v>
      </c>
    </row>
    <row r="5297" spans="1:3" ht="15" customHeight="1" x14ac:dyDescent="0.25">
      <c r="A5297" t="s">
        <v>7554</v>
      </c>
      <c r="B5297">
        <v>6.8</v>
      </c>
      <c r="C5297">
        <v>0.15</v>
      </c>
    </row>
    <row r="5298" spans="1:3" ht="15" customHeight="1" x14ac:dyDescent="0.25">
      <c r="A5298" t="s">
        <v>7555</v>
      </c>
      <c r="B5298">
        <v>6.8</v>
      </c>
      <c r="C5298">
        <v>0.15</v>
      </c>
    </row>
    <row r="5299" spans="1:3" ht="15" customHeight="1" x14ac:dyDescent="0.25">
      <c r="A5299" t="s">
        <v>7556</v>
      </c>
      <c r="B5299">
        <v>6.8</v>
      </c>
      <c r="C5299">
        <v>0.15</v>
      </c>
    </row>
    <row r="5300" spans="1:3" ht="15" customHeight="1" x14ac:dyDescent="0.25">
      <c r="A5300" t="s">
        <v>461</v>
      </c>
      <c r="B5300">
        <v>6.8</v>
      </c>
      <c r="C5300">
        <v>0.15</v>
      </c>
    </row>
    <row r="5301" spans="1:3" ht="15" customHeight="1" x14ac:dyDescent="0.25">
      <c r="A5301" t="s">
        <v>7557</v>
      </c>
      <c r="B5301">
        <v>7</v>
      </c>
      <c r="C5301">
        <v>0.15</v>
      </c>
    </row>
    <row r="5302" spans="1:3" ht="15" customHeight="1" x14ac:dyDescent="0.25">
      <c r="A5302" t="s">
        <v>7558</v>
      </c>
      <c r="B5302">
        <v>6.8</v>
      </c>
      <c r="C5302">
        <v>0.15</v>
      </c>
    </row>
    <row r="5303" spans="1:3" ht="15" customHeight="1" x14ac:dyDescent="0.25">
      <c r="A5303" t="s">
        <v>7559</v>
      </c>
      <c r="B5303">
        <v>6.8</v>
      </c>
      <c r="C5303">
        <v>0.15</v>
      </c>
    </row>
    <row r="5304" spans="1:3" ht="15" customHeight="1" x14ac:dyDescent="0.25">
      <c r="A5304" t="s">
        <v>7560</v>
      </c>
      <c r="B5304">
        <v>7</v>
      </c>
      <c r="C5304">
        <v>0.15</v>
      </c>
    </row>
    <row r="5305" spans="1:3" ht="15" customHeight="1" x14ac:dyDescent="0.25">
      <c r="A5305" t="s">
        <v>7561</v>
      </c>
      <c r="B5305">
        <v>6.8</v>
      </c>
      <c r="C5305">
        <v>0.15</v>
      </c>
    </row>
    <row r="5306" spans="1:3" ht="15" customHeight="1" x14ac:dyDescent="0.25">
      <c r="A5306" t="s">
        <v>7562</v>
      </c>
      <c r="B5306">
        <v>6.8</v>
      </c>
      <c r="C5306">
        <v>0.15</v>
      </c>
    </row>
    <row r="5307" spans="1:3" ht="15" customHeight="1" x14ac:dyDescent="0.25">
      <c r="A5307" t="s">
        <v>7563</v>
      </c>
      <c r="B5307">
        <v>6.8</v>
      </c>
      <c r="C5307">
        <v>0.15</v>
      </c>
    </row>
    <row r="5308" spans="1:3" ht="15" customHeight="1" x14ac:dyDescent="0.25">
      <c r="A5308" t="s">
        <v>7564</v>
      </c>
      <c r="B5308">
        <v>5.5</v>
      </c>
    </row>
    <row r="5309" spans="1:3" ht="15" customHeight="1" x14ac:dyDescent="0.25">
      <c r="A5309" t="s">
        <v>7565</v>
      </c>
      <c r="B5309">
        <v>5.5</v>
      </c>
      <c r="C5309">
        <v>0.15</v>
      </c>
    </row>
    <row r="5310" spans="1:3" ht="15" customHeight="1" x14ac:dyDescent="0.25">
      <c r="A5310" t="s">
        <v>7566</v>
      </c>
      <c r="B5310">
        <v>5.5</v>
      </c>
      <c r="C5310">
        <v>0.15</v>
      </c>
    </row>
    <row r="5311" spans="1:3" ht="15" customHeight="1" x14ac:dyDescent="0.25">
      <c r="A5311" t="s">
        <v>7567</v>
      </c>
      <c r="B5311">
        <v>5.5</v>
      </c>
    </row>
    <row r="5312" spans="1:3" ht="15" customHeight="1" x14ac:dyDescent="0.25">
      <c r="A5312" t="s">
        <v>7568</v>
      </c>
      <c r="B5312">
        <v>5.5</v>
      </c>
      <c r="C5312">
        <v>0.15</v>
      </c>
    </row>
    <row r="5313" spans="1:3" ht="15" customHeight="1" x14ac:dyDescent="0.25">
      <c r="A5313" t="s">
        <v>7569</v>
      </c>
      <c r="B5313">
        <v>5.5</v>
      </c>
    </row>
    <row r="5314" spans="1:3" ht="15" customHeight="1" x14ac:dyDescent="0.25">
      <c r="A5314" t="s">
        <v>7570</v>
      </c>
      <c r="B5314">
        <v>5.5</v>
      </c>
    </row>
    <row r="5315" spans="1:3" ht="15" customHeight="1" x14ac:dyDescent="0.25">
      <c r="A5315" t="s">
        <v>7571</v>
      </c>
      <c r="B5315">
        <v>5.5</v>
      </c>
      <c r="C5315">
        <v>0.15</v>
      </c>
    </row>
    <row r="5316" spans="1:3" ht="15" customHeight="1" x14ac:dyDescent="0.25">
      <c r="A5316" t="s">
        <v>7572</v>
      </c>
      <c r="B5316">
        <v>5.5</v>
      </c>
      <c r="C5316">
        <v>0.15</v>
      </c>
    </row>
    <row r="5317" spans="1:3" ht="15" customHeight="1" x14ac:dyDescent="0.25">
      <c r="A5317" t="s">
        <v>7573</v>
      </c>
      <c r="B5317">
        <v>5.5</v>
      </c>
      <c r="C5317">
        <v>0.15</v>
      </c>
    </row>
    <row r="5318" spans="1:3" ht="15" customHeight="1" x14ac:dyDescent="0.25">
      <c r="A5318" t="s">
        <v>7574</v>
      </c>
      <c r="B5318">
        <v>5.5</v>
      </c>
    </row>
    <row r="5319" spans="1:3" ht="15" customHeight="1" x14ac:dyDescent="0.25">
      <c r="A5319" t="s">
        <v>7575</v>
      </c>
      <c r="B5319">
        <v>5.5</v>
      </c>
      <c r="C5319">
        <v>0.15</v>
      </c>
    </row>
    <row r="5320" spans="1:3" ht="15" customHeight="1" x14ac:dyDescent="0.25">
      <c r="A5320" t="s">
        <v>7576</v>
      </c>
      <c r="B5320">
        <v>5.5</v>
      </c>
      <c r="C5320">
        <v>0.15</v>
      </c>
    </row>
    <row r="5321" spans="1:3" ht="15" customHeight="1" x14ac:dyDescent="0.25">
      <c r="A5321" t="s">
        <v>7577</v>
      </c>
      <c r="B5321">
        <v>5.5</v>
      </c>
    </row>
    <row r="5322" spans="1:3" ht="15" customHeight="1" x14ac:dyDescent="0.25">
      <c r="A5322" t="s">
        <v>7578</v>
      </c>
      <c r="B5322">
        <v>5.5</v>
      </c>
    </row>
    <row r="5323" spans="1:3" ht="15" customHeight="1" x14ac:dyDescent="0.25">
      <c r="A5323" t="s">
        <v>7579</v>
      </c>
      <c r="B5323">
        <v>5.5</v>
      </c>
      <c r="C5323">
        <v>0.15</v>
      </c>
    </row>
    <row r="5324" spans="1:3" ht="15" customHeight="1" x14ac:dyDescent="0.25">
      <c r="A5324" t="s">
        <v>7580</v>
      </c>
      <c r="B5324">
        <v>5.5</v>
      </c>
    </row>
    <row r="5325" spans="1:3" ht="15" customHeight="1" x14ac:dyDescent="0.25">
      <c r="A5325" t="s">
        <v>7581</v>
      </c>
      <c r="B5325">
        <v>5.5</v>
      </c>
      <c r="C5325">
        <v>0.15</v>
      </c>
    </row>
    <row r="5326" spans="1:3" ht="15" customHeight="1" x14ac:dyDescent="0.25">
      <c r="A5326" t="s">
        <v>7582</v>
      </c>
      <c r="B5326">
        <v>5.5</v>
      </c>
      <c r="C5326">
        <v>0.15</v>
      </c>
    </row>
    <row r="5327" spans="1:3" ht="15" customHeight="1" x14ac:dyDescent="0.25">
      <c r="A5327" t="s">
        <v>7583</v>
      </c>
      <c r="B5327">
        <v>5.5</v>
      </c>
      <c r="C5327">
        <v>0.15</v>
      </c>
    </row>
    <row r="5328" spans="1:3" ht="15" customHeight="1" x14ac:dyDescent="0.25">
      <c r="A5328" t="s">
        <v>7584</v>
      </c>
      <c r="B5328">
        <v>7</v>
      </c>
    </row>
    <row r="5329" spans="1:3" ht="15" customHeight="1" x14ac:dyDescent="0.25">
      <c r="A5329" t="s">
        <v>7585</v>
      </c>
      <c r="B5329">
        <v>7</v>
      </c>
    </row>
    <row r="5330" spans="1:3" ht="15" customHeight="1" x14ac:dyDescent="0.25">
      <c r="A5330" t="s">
        <v>7586</v>
      </c>
      <c r="B5330">
        <v>7</v>
      </c>
      <c r="C5330">
        <v>0.15</v>
      </c>
    </row>
    <row r="5331" spans="1:3" ht="15" customHeight="1" x14ac:dyDescent="0.25">
      <c r="A5331" t="s">
        <v>7587</v>
      </c>
      <c r="B5331">
        <v>7</v>
      </c>
    </row>
    <row r="5332" spans="1:3" ht="15" customHeight="1" x14ac:dyDescent="0.25">
      <c r="A5332" t="s">
        <v>7588</v>
      </c>
      <c r="B5332">
        <v>7</v>
      </c>
      <c r="C5332">
        <v>0.15</v>
      </c>
    </row>
    <row r="5333" spans="1:3" ht="15" customHeight="1" x14ac:dyDescent="0.25">
      <c r="A5333" t="s">
        <v>7589</v>
      </c>
      <c r="B5333">
        <v>7</v>
      </c>
    </row>
    <row r="5334" spans="1:3" ht="15" customHeight="1" x14ac:dyDescent="0.25">
      <c r="A5334" t="s">
        <v>7590</v>
      </c>
      <c r="B5334">
        <v>6.5</v>
      </c>
    </row>
    <row r="5335" spans="1:3" ht="15" customHeight="1" x14ac:dyDescent="0.25">
      <c r="A5335" t="s">
        <v>7591</v>
      </c>
      <c r="B5335">
        <v>6.5</v>
      </c>
      <c r="C5335">
        <v>0.15</v>
      </c>
    </row>
    <row r="5336" spans="1:3" ht="15" customHeight="1" x14ac:dyDescent="0.25">
      <c r="A5336" t="s">
        <v>7592</v>
      </c>
      <c r="B5336">
        <v>6.5</v>
      </c>
      <c r="C5336">
        <v>0.15</v>
      </c>
    </row>
    <row r="5337" spans="1:3" ht="15" customHeight="1" x14ac:dyDescent="0.25">
      <c r="A5337" t="s">
        <v>7593</v>
      </c>
      <c r="B5337">
        <v>6.5</v>
      </c>
    </row>
    <row r="5338" spans="1:3" ht="15" customHeight="1" x14ac:dyDescent="0.25">
      <c r="A5338" t="s">
        <v>7594</v>
      </c>
      <c r="B5338">
        <v>6.5</v>
      </c>
      <c r="C5338">
        <v>0.15</v>
      </c>
    </row>
    <row r="5339" spans="1:3" ht="15" customHeight="1" x14ac:dyDescent="0.25">
      <c r="A5339" t="s">
        <v>7595</v>
      </c>
      <c r="B5339">
        <v>6.5</v>
      </c>
    </row>
    <row r="5340" spans="1:3" ht="15" customHeight="1" x14ac:dyDescent="0.25">
      <c r="A5340" t="s">
        <v>7596</v>
      </c>
      <c r="B5340">
        <v>6.5</v>
      </c>
      <c r="C5340">
        <v>0.15</v>
      </c>
    </row>
    <row r="5341" spans="1:3" ht="15" customHeight="1" x14ac:dyDescent="0.25">
      <c r="A5341" t="s">
        <v>7597</v>
      </c>
      <c r="B5341">
        <v>6.5</v>
      </c>
      <c r="C5341">
        <v>0.15</v>
      </c>
    </row>
    <row r="5342" spans="1:3" ht="15" customHeight="1" x14ac:dyDescent="0.25">
      <c r="A5342" t="s">
        <v>7598</v>
      </c>
      <c r="B5342">
        <v>6.5</v>
      </c>
      <c r="C5342">
        <v>0.15</v>
      </c>
    </row>
    <row r="5343" spans="1:3" ht="15" customHeight="1" x14ac:dyDescent="0.25">
      <c r="A5343" t="s">
        <v>7599</v>
      </c>
      <c r="B5343">
        <v>6.5</v>
      </c>
      <c r="C5343">
        <v>0.15</v>
      </c>
    </row>
    <row r="5344" spans="1:3" ht="15" customHeight="1" x14ac:dyDescent="0.25">
      <c r="A5344" t="s">
        <v>7600</v>
      </c>
      <c r="B5344">
        <v>6.5</v>
      </c>
    </row>
    <row r="5345" spans="1:3" ht="15" customHeight="1" x14ac:dyDescent="0.25">
      <c r="A5345" t="s">
        <v>7601</v>
      </c>
      <c r="B5345">
        <v>6.5</v>
      </c>
      <c r="C5345">
        <v>0.15</v>
      </c>
    </row>
    <row r="5346" spans="1:3" ht="15" customHeight="1" x14ac:dyDescent="0.25">
      <c r="A5346" t="s">
        <v>7602</v>
      </c>
      <c r="B5346">
        <v>6.5</v>
      </c>
      <c r="C5346">
        <v>0.15</v>
      </c>
    </row>
    <row r="5347" spans="1:3" ht="15" customHeight="1" x14ac:dyDescent="0.25">
      <c r="A5347" t="s">
        <v>7603</v>
      </c>
      <c r="B5347">
        <v>6.5</v>
      </c>
    </row>
    <row r="5348" spans="1:3" ht="15" customHeight="1" x14ac:dyDescent="0.25">
      <c r="A5348" t="s">
        <v>7604</v>
      </c>
      <c r="B5348">
        <v>6.5</v>
      </c>
      <c r="C5348">
        <v>0.15</v>
      </c>
    </row>
    <row r="5349" spans="1:3" ht="15" customHeight="1" x14ac:dyDescent="0.25">
      <c r="A5349" t="s">
        <v>7605</v>
      </c>
      <c r="B5349">
        <v>6.5</v>
      </c>
      <c r="C5349">
        <v>0.15</v>
      </c>
    </row>
    <row r="5350" spans="1:3" ht="15" customHeight="1" x14ac:dyDescent="0.25">
      <c r="A5350" t="s">
        <v>7606</v>
      </c>
      <c r="B5350">
        <v>6.5</v>
      </c>
      <c r="C5350">
        <v>0.15</v>
      </c>
    </row>
    <row r="5351" spans="1:3" ht="15" customHeight="1" x14ac:dyDescent="0.25">
      <c r="A5351" t="s">
        <v>7607</v>
      </c>
      <c r="B5351">
        <v>6.5</v>
      </c>
      <c r="C5351">
        <v>0.15</v>
      </c>
    </row>
    <row r="5352" spans="1:3" ht="15" customHeight="1" x14ac:dyDescent="0.25">
      <c r="A5352" t="s">
        <v>7608</v>
      </c>
      <c r="B5352">
        <v>6.5</v>
      </c>
      <c r="C5352">
        <v>0.15</v>
      </c>
    </row>
    <row r="5353" spans="1:3" ht="15" customHeight="1" x14ac:dyDescent="0.25">
      <c r="A5353" t="s">
        <v>7609</v>
      </c>
      <c r="B5353">
        <v>6.5</v>
      </c>
      <c r="C5353">
        <v>0.15</v>
      </c>
    </row>
    <row r="5354" spans="1:3" ht="15" customHeight="1" x14ac:dyDescent="0.25">
      <c r="A5354" t="s">
        <v>7610</v>
      </c>
      <c r="B5354">
        <v>10</v>
      </c>
    </row>
    <row r="5355" spans="1:3" ht="15" customHeight="1" x14ac:dyDescent="0.25">
      <c r="A5355" t="s">
        <v>7611</v>
      </c>
      <c r="B5355">
        <v>10</v>
      </c>
      <c r="C5355">
        <v>0.15</v>
      </c>
    </row>
    <row r="5356" spans="1:3" ht="15" customHeight="1" x14ac:dyDescent="0.25">
      <c r="A5356" t="s">
        <v>7612</v>
      </c>
      <c r="B5356">
        <v>10</v>
      </c>
      <c r="C5356">
        <v>0.15</v>
      </c>
    </row>
    <row r="5357" spans="1:3" ht="15" customHeight="1" x14ac:dyDescent="0.25">
      <c r="A5357" t="s">
        <v>7613</v>
      </c>
      <c r="B5357">
        <v>10</v>
      </c>
      <c r="C5357">
        <v>0.15</v>
      </c>
    </row>
    <row r="5358" spans="1:3" ht="15" customHeight="1" x14ac:dyDescent="0.25">
      <c r="A5358" t="s">
        <v>7614</v>
      </c>
      <c r="B5358">
        <v>10</v>
      </c>
    </row>
    <row r="5359" spans="1:3" ht="15" customHeight="1" x14ac:dyDescent="0.25">
      <c r="A5359" t="s">
        <v>7615</v>
      </c>
      <c r="B5359">
        <v>10</v>
      </c>
      <c r="C5359">
        <v>0.15</v>
      </c>
    </row>
    <row r="5360" spans="1:3" ht="15" customHeight="1" x14ac:dyDescent="0.25">
      <c r="A5360" t="s">
        <v>7616</v>
      </c>
      <c r="B5360">
        <v>10</v>
      </c>
      <c r="C5360">
        <v>0.15</v>
      </c>
    </row>
    <row r="5361" spans="1:3" ht="15" customHeight="1" x14ac:dyDescent="0.25">
      <c r="A5361" t="s">
        <v>7617</v>
      </c>
      <c r="B5361">
        <v>10</v>
      </c>
      <c r="C5361">
        <v>0.15</v>
      </c>
    </row>
    <row r="5362" spans="1:3" ht="15" customHeight="1" x14ac:dyDescent="0.25">
      <c r="A5362" t="s">
        <v>7618</v>
      </c>
      <c r="B5362">
        <v>10</v>
      </c>
      <c r="C5362">
        <v>0.15</v>
      </c>
    </row>
    <row r="5363" spans="1:3" ht="15" customHeight="1" x14ac:dyDescent="0.25">
      <c r="A5363" t="s">
        <v>7619</v>
      </c>
      <c r="B5363">
        <v>10</v>
      </c>
      <c r="C5363">
        <v>0.15</v>
      </c>
    </row>
    <row r="5364" spans="1:3" ht="15" customHeight="1" x14ac:dyDescent="0.25">
      <c r="A5364" t="s">
        <v>7620</v>
      </c>
      <c r="B5364">
        <v>2.8</v>
      </c>
    </row>
    <row r="5365" spans="1:3" ht="15" customHeight="1" x14ac:dyDescent="0.25">
      <c r="A5365" t="s">
        <v>7621</v>
      </c>
      <c r="B5365">
        <v>2.8</v>
      </c>
    </row>
    <row r="5366" spans="1:3" ht="15" customHeight="1" x14ac:dyDescent="0.25">
      <c r="A5366" t="s">
        <v>7622</v>
      </c>
      <c r="B5366">
        <v>2.8</v>
      </c>
    </row>
    <row r="5367" spans="1:3" ht="15" customHeight="1" x14ac:dyDescent="0.25">
      <c r="A5367" t="s">
        <v>7623</v>
      </c>
      <c r="B5367">
        <v>2.8</v>
      </c>
    </row>
    <row r="5368" spans="1:3" ht="15" customHeight="1" x14ac:dyDescent="0.25">
      <c r="A5368" t="s">
        <v>7624</v>
      </c>
      <c r="B5368">
        <v>2.8</v>
      </c>
    </row>
    <row r="5369" spans="1:3" ht="15" customHeight="1" x14ac:dyDescent="0.25">
      <c r="A5369" t="s">
        <v>7625</v>
      </c>
      <c r="B5369">
        <v>2.8</v>
      </c>
    </row>
    <row r="5370" spans="1:3" ht="15" customHeight="1" x14ac:dyDescent="0.25">
      <c r="A5370" t="s">
        <v>7626</v>
      </c>
      <c r="B5370">
        <v>2.8</v>
      </c>
    </row>
    <row r="5371" spans="1:3" ht="15" customHeight="1" x14ac:dyDescent="0.25">
      <c r="A5371" t="s">
        <v>7627</v>
      </c>
      <c r="B5371">
        <v>2.8</v>
      </c>
    </row>
    <row r="5372" spans="1:3" ht="15" customHeight="1" x14ac:dyDescent="0.25">
      <c r="A5372" t="s">
        <v>7628</v>
      </c>
      <c r="B5372">
        <v>2.8</v>
      </c>
    </row>
    <row r="5373" spans="1:3" ht="15" customHeight="1" x14ac:dyDescent="0.25">
      <c r="A5373" t="s">
        <v>7629</v>
      </c>
      <c r="B5373">
        <v>2.8</v>
      </c>
    </row>
    <row r="5374" spans="1:3" ht="15" customHeight="1" x14ac:dyDescent="0.25">
      <c r="A5374" t="s">
        <v>7630</v>
      </c>
      <c r="B5374">
        <v>2.8</v>
      </c>
    </row>
    <row r="5375" spans="1:3" ht="15" customHeight="1" x14ac:dyDescent="0.25">
      <c r="A5375" t="s">
        <v>7631</v>
      </c>
      <c r="B5375">
        <v>2.8</v>
      </c>
    </row>
    <row r="5376" spans="1:3" ht="15" customHeight="1" x14ac:dyDescent="0.25">
      <c r="A5376" t="s">
        <v>7632</v>
      </c>
      <c r="B5376">
        <v>2.8</v>
      </c>
    </row>
    <row r="5377" spans="1:3" ht="15" customHeight="1" x14ac:dyDescent="0.25">
      <c r="A5377" t="s">
        <v>7633</v>
      </c>
      <c r="B5377">
        <v>2.8</v>
      </c>
    </row>
    <row r="5378" spans="1:3" ht="15" customHeight="1" x14ac:dyDescent="0.25">
      <c r="A5378" t="s">
        <v>7634</v>
      </c>
      <c r="B5378">
        <v>18.600000000000001</v>
      </c>
      <c r="C5378">
        <v>0.25</v>
      </c>
    </row>
    <row r="5379" spans="1:3" ht="15" customHeight="1" x14ac:dyDescent="0.25">
      <c r="A5379" t="s">
        <v>7635</v>
      </c>
      <c r="B5379">
        <v>18.600000000000001</v>
      </c>
      <c r="C5379">
        <v>0.25</v>
      </c>
    </row>
    <row r="5380" spans="1:3" ht="15" customHeight="1" x14ac:dyDescent="0.25">
      <c r="A5380" t="s">
        <v>7636</v>
      </c>
      <c r="B5380">
        <v>18.600000000000001</v>
      </c>
      <c r="C5380">
        <v>0.25</v>
      </c>
    </row>
    <row r="5381" spans="1:3" ht="15" customHeight="1" x14ac:dyDescent="0.25">
      <c r="A5381" t="s">
        <v>7637</v>
      </c>
      <c r="B5381">
        <v>18.600000000000001</v>
      </c>
      <c r="C5381">
        <v>0.25</v>
      </c>
    </row>
    <row r="5382" spans="1:3" ht="15" customHeight="1" x14ac:dyDescent="0.25">
      <c r="A5382" t="s">
        <v>1252</v>
      </c>
      <c r="B5382">
        <v>18.600000000000001</v>
      </c>
      <c r="C5382">
        <v>0.25</v>
      </c>
    </row>
    <row r="5383" spans="1:3" ht="15" customHeight="1" x14ac:dyDescent="0.25">
      <c r="A5383" t="s">
        <v>907</v>
      </c>
      <c r="B5383">
        <v>18.600000000000001</v>
      </c>
      <c r="C5383">
        <v>0.25</v>
      </c>
    </row>
    <row r="5384" spans="1:3" ht="15" customHeight="1" x14ac:dyDescent="0.25">
      <c r="A5384" t="s">
        <v>7638</v>
      </c>
      <c r="B5384">
        <v>18.600000000000001</v>
      </c>
      <c r="C5384">
        <v>0.25</v>
      </c>
    </row>
    <row r="5385" spans="1:3" ht="15" customHeight="1" x14ac:dyDescent="0.25">
      <c r="A5385" t="s">
        <v>7639</v>
      </c>
      <c r="B5385">
        <v>18.600000000000001</v>
      </c>
      <c r="C5385">
        <v>0.25</v>
      </c>
    </row>
    <row r="5386" spans="1:3" ht="15" customHeight="1" x14ac:dyDescent="0.25">
      <c r="A5386" t="s">
        <v>7640</v>
      </c>
      <c r="B5386">
        <v>18.600000000000001</v>
      </c>
      <c r="C5386">
        <v>0.25</v>
      </c>
    </row>
    <row r="5387" spans="1:3" ht="15" customHeight="1" x14ac:dyDescent="0.25">
      <c r="A5387" t="s">
        <v>7641</v>
      </c>
      <c r="B5387">
        <v>18.600000000000001</v>
      </c>
      <c r="C5387">
        <v>0.25</v>
      </c>
    </row>
    <row r="5388" spans="1:3" ht="15" customHeight="1" x14ac:dyDescent="0.25">
      <c r="A5388" t="s">
        <v>7642</v>
      </c>
      <c r="B5388">
        <v>18.600000000000001</v>
      </c>
      <c r="C5388">
        <v>0.25</v>
      </c>
    </row>
    <row r="5389" spans="1:3" ht="15" customHeight="1" x14ac:dyDescent="0.25">
      <c r="A5389" t="s">
        <v>7643</v>
      </c>
      <c r="B5389">
        <v>18.600000000000001</v>
      </c>
      <c r="C5389">
        <v>0.25</v>
      </c>
    </row>
    <row r="5390" spans="1:3" ht="15" customHeight="1" x14ac:dyDescent="0.25">
      <c r="A5390" t="s">
        <v>7644</v>
      </c>
      <c r="B5390">
        <v>18.600000000000001</v>
      </c>
      <c r="C5390">
        <v>0.25</v>
      </c>
    </row>
    <row r="5391" spans="1:3" ht="15" customHeight="1" x14ac:dyDescent="0.25">
      <c r="A5391" t="s">
        <v>7645</v>
      </c>
      <c r="B5391">
        <v>18.600000000000001</v>
      </c>
      <c r="C5391">
        <v>0.25</v>
      </c>
    </row>
    <row r="5392" spans="1:3" ht="15" customHeight="1" x14ac:dyDescent="0.25">
      <c r="A5392" t="s">
        <v>2325</v>
      </c>
      <c r="B5392">
        <v>18.600000000000001</v>
      </c>
      <c r="C5392">
        <v>0.25</v>
      </c>
    </row>
    <row r="5393" spans="1:3" ht="15" customHeight="1" x14ac:dyDescent="0.25">
      <c r="A5393" t="s">
        <v>7646</v>
      </c>
      <c r="B5393">
        <v>18.600000000000001</v>
      </c>
      <c r="C5393">
        <v>0.25</v>
      </c>
    </row>
    <row r="5394" spans="1:3" ht="15" customHeight="1" x14ac:dyDescent="0.25">
      <c r="A5394" t="s">
        <v>606</v>
      </c>
      <c r="B5394">
        <v>18.600000000000001</v>
      </c>
      <c r="C5394">
        <v>0.25</v>
      </c>
    </row>
    <row r="5395" spans="1:3" ht="15" customHeight="1" x14ac:dyDescent="0.25">
      <c r="A5395" t="s">
        <v>7647</v>
      </c>
      <c r="B5395">
        <v>18.600000000000001</v>
      </c>
      <c r="C5395">
        <v>0.25</v>
      </c>
    </row>
    <row r="5396" spans="1:3" ht="15" customHeight="1" x14ac:dyDescent="0.25">
      <c r="A5396" t="s">
        <v>7648</v>
      </c>
      <c r="B5396">
        <v>18.600000000000001</v>
      </c>
      <c r="C5396">
        <v>0.25</v>
      </c>
    </row>
    <row r="5397" spans="1:3" ht="15" customHeight="1" x14ac:dyDescent="0.25">
      <c r="A5397" t="s">
        <v>7649</v>
      </c>
      <c r="B5397">
        <v>18.600000000000001</v>
      </c>
      <c r="C5397">
        <v>0.25</v>
      </c>
    </row>
    <row r="5398" spans="1:3" ht="15" customHeight="1" x14ac:dyDescent="0.25">
      <c r="A5398" t="s">
        <v>7650</v>
      </c>
      <c r="B5398">
        <v>18.600000000000001</v>
      </c>
      <c r="C5398">
        <v>0.25</v>
      </c>
    </row>
    <row r="5399" spans="1:3" ht="15" customHeight="1" x14ac:dyDescent="0.25">
      <c r="A5399" t="s">
        <v>7651</v>
      </c>
      <c r="B5399">
        <v>18.600000000000001</v>
      </c>
      <c r="C5399">
        <v>0.25</v>
      </c>
    </row>
    <row r="5400" spans="1:3" ht="15" customHeight="1" x14ac:dyDescent="0.25">
      <c r="A5400" t="s">
        <v>7652</v>
      </c>
      <c r="B5400">
        <v>18.600000000000001</v>
      </c>
      <c r="C5400">
        <v>0.25</v>
      </c>
    </row>
    <row r="5401" spans="1:3" ht="15" customHeight="1" x14ac:dyDescent="0.25">
      <c r="A5401" t="s">
        <v>7653</v>
      </c>
      <c r="B5401">
        <v>18.600000000000001</v>
      </c>
      <c r="C5401">
        <v>0.25</v>
      </c>
    </row>
    <row r="5402" spans="1:3" ht="15" customHeight="1" x14ac:dyDescent="0.25">
      <c r="A5402" t="s">
        <v>7654</v>
      </c>
      <c r="B5402">
        <v>18.600000000000001</v>
      </c>
      <c r="C5402">
        <v>0.25</v>
      </c>
    </row>
    <row r="5403" spans="1:3" ht="15" customHeight="1" x14ac:dyDescent="0.25">
      <c r="A5403" t="s">
        <v>1895</v>
      </c>
      <c r="B5403">
        <v>18.600000000000001</v>
      </c>
      <c r="C5403">
        <v>0.25</v>
      </c>
    </row>
    <row r="5404" spans="1:3" ht="15" customHeight="1" x14ac:dyDescent="0.25">
      <c r="A5404" t="s">
        <v>7655</v>
      </c>
      <c r="B5404">
        <v>18.600000000000001</v>
      </c>
      <c r="C5404">
        <v>0.25</v>
      </c>
    </row>
    <row r="5405" spans="1:3" ht="15" customHeight="1" x14ac:dyDescent="0.25">
      <c r="A5405" t="s">
        <v>7656</v>
      </c>
      <c r="B5405">
        <v>18.600000000000001</v>
      </c>
      <c r="C5405">
        <v>0.25</v>
      </c>
    </row>
    <row r="5406" spans="1:3" ht="15" customHeight="1" x14ac:dyDescent="0.25">
      <c r="A5406" t="s">
        <v>7657</v>
      </c>
      <c r="B5406">
        <v>18.600000000000001</v>
      </c>
      <c r="C5406">
        <v>0.25</v>
      </c>
    </row>
    <row r="5407" spans="1:3" ht="15" customHeight="1" x14ac:dyDescent="0.25">
      <c r="A5407" t="s">
        <v>7658</v>
      </c>
      <c r="B5407">
        <v>18.600000000000001</v>
      </c>
      <c r="C5407">
        <v>0.25</v>
      </c>
    </row>
    <row r="5408" spans="1:3" ht="15" customHeight="1" x14ac:dyDescent="0.25">
      <c r="A5408" t="s">
        <v>7659</v>
      </c>
      <c r="B5408">
        <v>12.8</v>
      </c>
      <c r="C5408">
        <v>0.25</v>
      </c>
    </row>
    <row r="5409" spans="1:3" ht="15" customHeight="1" x14ac:dyDescent="0.25">
      <c r="A5409" t="s">
        <v>1415</v>
      </c>
      <c r="B5409">
        <v>12.8</v>
      </c>
      <c r="C5409">
        <v>0.25</v>
      </c>
    </row>
    <row r="5410" spans="1:3" ht="15" customHeight="1" x14ac:dyDescent="0.25">
      <c r="A5410" t="s">
        <v>7660</v>
      </c>
      <c r="B5410">
        <v>12.8</v>
      </c>
      <c r="C5410">
        <v>0.25</v>
      </c>
    </row>
    <row r="5411" spans="1:3" ht="15" customHeight="1" x14ac:dyDescent="0.25">
      <c r="A5411" t="s">
        <v>7661</v>
      </c>
      <c r="B5411">
        <v>12.8</v>
      </c>
      <c r="C5411">
        <v>0.25</v>
      </c>
    </row>
    <row r="5412" spans="1:3" ht="15" customHeight="1" x14ac:dyDescent="0.25">
      <c r="A5412" t="s">
        <v>7662</v>
      </c>
      <c r="B5412">
        <v>12.8</v>
      </c>
      <c r="C5412">
        <v>0.25</v>
      </c>
    </row>
    <row r="5413" spans="1:3" ht="15" customHeight="1" x14ac:dyDescent="0.25">
      <c r="A5413" t="s">
        <v>7663</v>
      </c>
      <c r="B5413">
        <v>12.8</v>
      </c>
      <c r="C5413">
        <v>0.25</v>
      </c>
    </row>
    <row r="5414" spans="1:3" ht="15" customHeight="1" x14ac:dyDescent="0.25">
      <c r="A5414" t="s">
        <v>7664</v>
      </c>
      <c r="B5414">
        <v>12.8</v>
      </c>
      <c r="C5414">
        <v>0.25</v>
      </c>
    </row>
    <row r="5415" spans="1:3" ht="15" customHeight="1" x14ac:dyDescent="0.25">
      <c r="A5415" t="s">
        <v>7665</v>
      </c>
      <c r="B5415">
        <v>12.8</v>
      </c>
      <c r="C5415">
        <v>0.25</v>
      </c>
    </row>
    <row r="5416" spans="1:3" ht="15" customHeight="1" x14ac:dyDescent="0.25">
      <c r="A5416" t="s">
        <v>7666</v>
      </c>
      <c r="B5416">
        <v>12.8</v>
      </c>
      <c r="C5416">
        <v>0.25</v>
      </c>
    </row>
    <row r="5417" spans="1:3" ht="15" customHeight="1" x14ac:dyDescent="0.25">
      <c r="A5417" t="s">
        <v>7667</v>
      </c>
      <c r="B5417">
        <v>12.8</v>
      </c>
      <c r="C5417">
        <v>0.25</v>
      </c>
    </row>
    <row r="5418" spans="1:3" ht="15" customHeight="1" x14ac:dyDescent="0.25">
      <c r="A5418" t="s">
        <v>963</v>
      </c>
      <c r="B5418">
        <v>12.8</v>
      </c>
      <c r="C5418">
        <v>0.25</v>
      </c>
    </row>
    <row r="5419" spans="1:3" ht="15" customHeight="1" x14ac:dyDescent="0.25">
      <c r="A5419" t="s">
        <v>7668</v>
      </c>
      <c r="B5419">
        <v>12.8</v>
      </c>
      <c r="C5419">
        <v>0.25</v>
      </c>
    </row>
    <row r="5420" spans="1:3" ht="15" customHeight="1" x14ac:dyDescent="0.25">
      <c r="A5420" t="s">
        <v>7669</v>
      </c>
      <c r="B5420">
        <v>12.8</v>
      </c>
      <c r="C5420">
        <v>0.25</v>
      </c>
    </row>
    <row r="5421" spans="1:3" ht="15" customHeight="1" x14ac:dyDescent="0.25">
      <c r="A5421" t="s">
        <v>7670</v>
      </c>
      <c r="B5421">
        <v>12.8</v>
      </c>
      <c r="C5421">
        <v>0.25</v>
      </c>
    </row>
    <row r="5422" spans="1:3" ht="15" customHeight="1" x14ac:dyDescent="0.25">
      <c r="A5422" t="s">
        <v>7671</v>
      </c>
      <c r="B5422">
        <v>12.8</v>
      </c>
      <c r="C5422">
        <v>0.25</v>
      </c>
    </row>
    <row r="5423" spans="1:3" ht="15" customHeight="1" x14ac:dyDescent="0.25">
      <c r="A5423" t="s">
        <v>7672</v>
      </c>
      <c r="B5423">
        <v>12.8</v>
      </c>
      <c r="C5423">
        <v>0.25</v>
      </c>
    </row>
    <row r="5424" spans="1:3" ht="15" customHeight="1" x14ac:dyDescent="0.25">
      <c r="A5424" t="s">
        <v>7673</v>
      </c>
      <c r="B5424">
        <v>12.8</v>
      </c>
      <c r="C5424">
        <v>0.25</v>
      </c>
    </row>
    <row r="5425" spans="1:3" ht="15" customHeight="1" x14ac:dyDescent="0.25">
      <c r="A5425" t="s">
        <v>7674</v>
      </c>
      <c r="B5425">
        <v>12.8</v>
      </c>
      <c r="C5425">
        <v>0.25</v>
      </c>
    </row>
    <row r="5426" spans="1:3" ht="15" customHeight="1" x14ac:dyDescent="0.25">
      <c r="A5426" t="s">
        <v>7675</v>
      </c>
      <c r="B5426">
        <v>12.8</v>
      </c>
      <c r="C5426">
        <v>0.25</v>
      </c>
    </row>
    <row r="5427" spans="1:3" ht="15" customHeight="1" x14ac:dyDescent="0.25">
      <c r="A5427" t="s">
        <v>7676</v>
      </c>
      <c r="B5427">
        <v>12.8</v>
      </c>
      <c r="C5427">
        <v>0.25</v>
      </c>
    </row>
    <row r="5428" spans="1:3" ht="15" customHeight="1" x14ac:dyDescent="0.25">
      <c r="A5428" t="s">
        <v>7677</v>
      </c>
      <c r="B5428">
        <v>12.8</v>
      </c>
      <c r="C5428">
        <v>0.25</v>
      </c>
    </row>
    <row r="5429" spans="1:3" ht="15" customHeight="1" x14ac:dyDescent="0.25">
      <c r="A5429" t="s">
        <v>7678</v>
      </c>
      <c r="B5429">
        <v>12.8</v>
      </c>
      <c r="C5429">
        <v>0.25</v>
      </c>
    </row>
    <row r="5430" spans="1:3" ht="15" customHeight="1" x14ac:dyDescent="0.25">
      <c r="A5430" t="s">
        <v>7679</v>
      </c>
      <c r="B5430">
        <v>12.8</v>
      </c>
      <c r="C5430">
        <v>0.25</v>
      </c>
    </row>
    <row r="5431" spans="1:3" ht="15" customHeight="1" x14ac:dyDescent="0.25">
      <c r="A5431" t="s">
        <v>7680</v>
      </c>
      <c r="B5431">
        <v>12.8</v>
      </c>
      <c r="C5431">
        <v>0.25</v>
      </c>
    </row>
    <row r="5432" spans="1:3" ht="15" customHeight="1" x14ac:dyDescent="0.25">
      <c r="A5432" t="s">
        <v>7681</v>
      </c>
      <c r="B5432">
        <v>12.8</v>
      </c>
      <c r="C5432">
        <v>0.25</v>
      </c>
    </row>
    <row r="5433" spans="1:3" ht="15" customHeight="1" x14ac:dyDescent="0.25">
      <c r="A5433" t="s">
        <v>7682</v>
      </c>
      <c r="B5433">
        <v>12.8</v>
      </c>
      <c r="C5433">
        <v>0.25</v>
      </c>
    </row>
    <row r="5434" spans="1:3" ht="15" customHeight="1" x14ac:dyDescent="0.25">
      <c r="A5434" t="s">
        <v>7683</v>
      </c>
      <c r="B5434">
        <v>12.8</v>
      </c>
      <c r="C5434">
        <v>0.25</v>
      </c>
    </row>
    <row r="5435" spans="1:3" ht="15" customHeight="1" x14ac:dyDescent="0.25">
      <c r="A5435" t="s">
        <v>7684</v>
      </c>
      <c r="B5435">
        <v>12.8</v>
      </c>
      <c r="C5435">
        <v>0.25</v>
      </c>
    </row>
    <row r="5436" spans="1:3" ht="15" customHeight="1" x14ac:dyDescent="0.25">
      <c r="A5436" t="s">
        <v>7685</v>
      </c>
      <c r="B5436">
        <v>12.8</v>
      </c>
      <c r="C5436">
        <v>0.25</v>
      </c>
    </row>
    <row r="5437" spans="1:3" ht="15" customHeight="1" x14ac:dyDescent="0.25">
      <c r="A5437" t="s">
        <v>7686</v>
      </c>
      <c r="B5437">
        <v>12.8</v>
      </c>
      <c r="C5437">
        <v>0.25</v>
      </c>
    </row>
    <row r="5438" spans="1:3" ht="15" customHeight="1" x14ac:dyDescent="0.25">
      <c r="A5438" t="s">
        <v>7687</v>
      </c>
      <c r="B5438">
        <v>12.8</v>
      </c>
      <c r="C5438">
        <v>0.25</v>
      </c>
    </row>
    <row r="5439" spans="1:3" ht="15" customHeight="1" x14ac:dyDescent="0.25">
      <c r="A5439" t="s">
        <v>7688</v>
      </c>
      <c r="B5439">
        <v>12.8</v>
      </c>
      <c r="C5439">
        <v>0.25</v>
      </c>
    </row>
    <row r="5440" spans="1:3" ht="15" customHeight="1" x14ac:dyDescent="0.25">
      <c r="A5440" t="s">
        <v>7689</v>
      </c>
      <c r="B5440">
        <v>12.8</v>
      </c>
      <c r="C5440">
        <v>0.25</v>
      </c>
    </row>
    <row r="5441" spans="1:3" ht="15" customHeight="1" x14ac:dyDescent="0.25">
      <c r="A5441" t="s">
        <v>7690</v>
      </c>
      <c r="B5441">
        <v>12.8</v>
      </c>
      <c r="C5441">
        <v>0.25</v>
      </c>
    </row>
    <row r="5442" spans="1:3" ht="15" customHeight="1" x14ac:dyDescent="0.25">
      <c r="A5442" t="s">
        <v>7691</v>
      </c>
      <c r="B5442">
        <v>12.8</v>
      </c>
      <c r="C5442">
        <v>0.25</v>
      </c>
    </row>
    <row r="5443" spans="1:3" ht="15" customHeight="1" x14ac:dyDescent="0.25">
      <c r="A5443" t="s">
        <v>7692</v>
      </c>
      <c r="B5443">
        <v>12.8</v>
      </c>
      <c r="C5443">
        <v>0.25</v>
      </c>
    </row>
    <row r="5444" spans="1:3" ht="15" customHeight="1" x14ac:dyDescent="0.25">
      <c r="A5444" t="s">
        <v>7693</v>
      </c>
      <c r="B5444">
        <v>12.8</v>
      </c>
      <c r="C5444">
        <v>0.25</v>
      </c>
    </row>
    <row r="5445" spans="1:3" ht="15" customHeight="1" x14ac:dyDescent="0.25">
      <c r="A5445" t="s">
        <v>7694</v>
      </c>
      <c r="B5445">
        <v>12.8</v>
      </c>
      <c r="C5445">
        <v>0.25</v>
      </c>
    </row>
    <row r="5446" spans="1:3" ht="15" customHeight="1" x14ac:dyDescent="0.25">
      <c r="A5446" t="s">
        <v>7695</v>
      </c>
      <c r="B5446">
        <v>12.8</v>
      </c>
      <c r="C5446">
        <v>0.25</v>
      </c>
    </row>
    <row r="5447" spans="1:3" ht="15" customHeight="1" x14ac:dyDescent="0.25">
      <c r="A5447" t="s">
        <v>7696</v>
      </c>
      <c r="B5447">
        <v>12.8</v>
      </c>
      <c r="C5447">
        <v>0.25</v>
      </c>
    </row>
    <row r="5448" spans="1:3" ht="15" customHeight="1" x14ac:dyDescent="0.25">
      <c r="A5448" t="s">
        <v>7697</v>
      </c>
      <c r="B5448">
        <v>12.8</v>
      </c>
      <c r="C5448">
        <v>0.25</v>
      </c>
    </row>
    <row r="5449" spans="1:3" ht="15" customHeight="1" x14ac:dyDescent="0.25">
      <c r="A5449" t="s">
        <v>7698</v>
      </c>
      <c r="B5449">
        <v>12.8</v>
      </c>
      <c r="C5449">
        <v>0.25</v>
      </c>
    </row>
    <row r="5450" spans="1:3" ht="15" customHeight="1" x14ac:dyDescent="0.25">
      <c r="A5450" t="s">
        <v>7699</v>
      </c>
      <c r="B5450">
        <v>12.8</v>
      </c>
      <c r="C5450">
        <v>0.25</v>
      </c>
    </row>
    <row r="5451" spans="1:3" ht="15" customHeight="1" x14ac:dyDescent="0.25">
      <c r="A5451" t="s">
        <v>7700</v>
      </c>
      <c r="B5451">
        <v>12.8</v>
      </c>
      <c r="C5451">
        <v>0.25</v>
      </c>
    </row>
    <row r="5452" spans="1:3" ht="15" customHeight="1" x14ac:dyDescent="0.25">
      <c r="A5452" t="s">
        <v>7701</v>
      </c>
      <c r="B5452">
        <v>12.8</v>
      </c>
      <c r="C5452">
        <v>0.25</v>
      </c>
    </row>
    <row r="5453" spans="1:3" ht="15" customHeight="1" x14ac:dyDescent="0.25">
      <c r="A5453" t="s">
        <v>7702</v>
      </c>
      <c r="B5453">
        <v>12.8</v>
      </c>
      <c r="C5453">
        <v>0.25</v>
      </c>
    </row>
    <row r="5454" spans="1:3" ht="15" customHeight="1" x14ac:dyDescent="0.25">
      <c r="A5454" t="s">
        <v>7703</v>
      </c>
      <c r="B5454">
        <v>12.8</v>
      </c>
      <c r="C5454">
        <v>0.25</v>
      </c>
    </row>
    <row r="5455" spans="1:3" ht="15" customHeight="1" x14ac:dyDescent="0.25">
      <c r="A5455" t="s">
        <v>7704</v>
      </c>
      <c r="B5455">
        <v>12.8</v>
      </c>
      <c r="C5455">
        <v>0.25</v>
      </c>
    </row>
    <row r="5456" spans="1:3" ht="15" customHeight="1" x14ac:dyDescent="0.25">
      <c r="A5456" t="s">
        <v>7705</v>
      </c>
      <c r="B5456">
        <v>12.8</v>
      </c>
      <c r="C5456">
        <v>0.25</v>
      </c>
    </row>
    <row r="5457" spans="1:3" ht="15" customHeight="1" x14ac:dyDescent="0.25">
      <c r="A5457" t="s">
        <v>7706</v>
      </c>
      <c r="B5457">
        <v>12.8</v>
      </c>
      <c r="C5457">
        <v>0.25</v>
      </c>
    </row>
    <row r="5458" spans="1:3" ht="15" customHeight="1" x14ac:dyDescent="0.25">
      <c r="A5458" t="s">
        <v>7707</v>
      </c>
      <c r="B5458">
        <v>12.8</v>
      </c>
      <c r="C5458">
        <v>0.25</v>
      </c>
    </row>
    <row r="5459" spans="1:3" ht="15" customHeight="1" x14ac:dyDescent="0.25">
      <c r="A5459" t="s">
        <v>7708</v>
      </c>
      <c r="B5459">
        <v>12.8</v>
      </c>
      <c r="C5459">
        <v>0.25</v>
      </c>
    </row>
    <row r="5460" spans="1:3" ht="15" customHeight="1" x14ac:dyDescent="0.25">
      <c r="A5460" t="s">
        <v>7709</v>
      </c>
      <c r="B5460">
        <v>12.8</v>
      </c>
      <c r="C5460">
        <v>0.25</v>
      </c>
    </row>
    <row r="5461" spans="1:3" ht="15" customHeight="1" x14ac:dyDescent="0.25">
      <c r="A5461" t="s">
        <v>7710</v>
      </c>
      <c r="B5461">
        <v>12.8</v>
      </c>
      <c r="C5461">
        <v>0.25</v>
      </c>
    </row>
    <row r="5462" spans="1:3" ht="15" customHeight="1" x14ac:dyDescent="0.25">
      <c r="A5462" t="s">
        <v>7711</v>
      </c>
      <c r="B5462">
        <v>12.8</v>
      </c>
      <c r="C5462">
        <v>0.25</v>
      </c>
    </row>
    <row r="5463" spans="1:3" ht="15" customHeight="1" x14ac:dyDescent="0.25">
      <c r="A5463" t="s">
        <v>7712</v>
      </c>
      <c r="B5463">
        <v>12.8</v>
      </c>
      <c r="C5463">
        <v>0.25</v>
      </c>
    </row>
    <row r="5464" spans="1:3" ht="15" customHeight="1" x14ac:dyDescent="0.25">
      <c r="A5464" t="s">
        <v>7713</v>
      </c>
      <c r="B5464">
        <v>12.8</v>
      </c>
      <c r="C5464">
        <v>0.25</v>
      </c>
    </row>
    <row r="5465" spans="1:3" ht="15" customHeight="1" x14ac:dyDescent="0.25">
      <c r="A5465" t="s">
        <v>7714</v>
      </c>
      <c r="B5465">
        <v>12.8</v>
      </c>
      <c r="C5465">
        <v>0.25</v>
      </c>
    </row>
    <row r="5466" spans="1:3" ht="15" customHeight="1" x14ac:dyDescent="0.25">
      <c r="A5466" t="s">
        <v>7715</v>
      </c>
      <c r="B5466">
        <v>12.8</v>
      </c>
      <c r="C5466">
        <v>0.25</v>
      </c>
    </row>
    <row r="5467" spans="1:3" ht="15" customHeight="1" x14ac:dyDescent="0.25">
      <c r="A5467" t="s">
        <v>7716</v>
      </c>
      <c r="B5467">
        <v>12.8</v>
      </c>
      <c r="C5467">
        <v>0.25</v>
      </c>
    </row>
    <row r="5468" spans="1:3" ht="15" customHeight="1" x14ac:dyDescent="0.25">
      <c r="A5468" t="s">
        <v>7717</v>
      </c>
      <c r="B5468">
        <v>12.8</v>
      </c>
      <c r="C5468">
        <v>0.25</v>
      </c>
    </row>
    <row r="5469" spans="1:3" ht="15" customHeight="1" x14ac:dyDescent="0.25">
      <c r="A5469" t="s">
        <v>7718</v>
      </c>
      <c r="B5469">
        <v>12.8</v>
      </c>
      <c r="C5469">
        <v>0.25</v>
      </c>
    </row>
    <row r="5470" spans="1:3" ht="15" customHeight="1" x14ac:dyDescent="0.25">
      <c r="A5470" t="s">
        <v>7719</v>
      </c>
      <c r="B5470">
        <v>12.8</v>
      </c>
      <c r="C5470">
        <v>0.25</v>
      </c>
    </row>
    <row r="5471" spans="1:3" ht="15" customHeight="1" x14ac:dyDescent="0.25">
      <c r="A5471" t="s">
        <v>7720</v>
      </c>
      <c r="B5471">
        <v>12.8</v>
      </c>
      <c r="C5471">
        <v>0.25</v>
      </c>
    </row>
    <row r="5472" spans="1:3" ht="15" customHeight="1" x14ac:dyDescent="0.25">
      <c r="A5472" t="s">
        <v>7721</v>
      </c>
      <c r="B5472">
        <v>12.8</v>
      </c>
      <c r="C5472">
        <v>0.25</v>
      </c>
    </row>
    <row r="5473" spans="1:3" ht="15" customHeight="1" x14ac:dyDescent="0.25">
      <c r="A5473" t="s">
        <v>7722</v>
      </c>
      <c r="B5473">
        <v>12.8</v>
      </c>
      <c r="C5473">
        <v>0.25</v>
      </c>
    </row>
    <row r="5474" spans="1:3" ht="15" customHeight="1" x14ac:dyDescent="0.25">
      <c r="A5474" t="s">
        <v>7723</v>
      </c>
      <c r="B5474">
        <v>12.8</v>
      </c>
      <c r="C5474">
        <v>0.25</v>
      </c>
    </row>
    <row r="5475" spans="1:3" ht="15" customHeight="1" x14ac:dyDescent="0.25">
      <c r="A5475" t="s">
        <v>7724</v>
      </c>
      <c r="B5475">
        <v>12.8</v>
      </c>
      <c r="C5475">
        <v>0.25</v>
      </c>
    </row>
    <row r="5476" spans="1:3" ht="15" customHeight="1" x14ac:dyDescent="0.25">
      <c r="A5476" t="s">
        <v>7725</v>
      </c>
      <c r="B5476">
        <v>12.8</v>
      </c>
      <c r="C5476">
        <v>0.25</v>
      </c>
    </row>
    <row r="5477" spans="1:3" ht="15" customHeight="1" x14ac:dyDescent="0.25">
      <c r="A5477" t="s">
        <v>7726</v>
      </c>
      <c r="B5477">
        <v>12.8</v>
      </c>
      <c r="C5477">
        <v>0.25</v>
      </c>
    </row>
    <row r="5478" spans="1:3" ht="15" customHeight="1" x14ac:dyDescent="0.25">
      <c r="A5478" t="s">
        <v>7727</v>
      </c>
      <c r="B5478">
        <v>12.8</v>
      </c>
      <c r="C5478">
        <v>0.25</v>
      </c>
    </row>
    <row r="5479" spans="1:3" ht="15" customHeight="1" x14ac:dyDescent="0.25">
      <c r="A5479" t="s">
        <v>7728</v>
      </c>
      <c r="B5479">
        <v>12.8</v>
      </c>
      <c r="C5479">
        <v>0.25</v>
      </c>
    </row>
    <row r="5480" spans="1:3" ht="15" customHeight="1" x14ac:dyDescent="0.25">
      <c r="A5480" t="s">
        <v>7729</v>
      </c>
      <c r="B5480">
        <v>12.8</v>
      </c>
      <c r="C5480">
        <v>0.25</v>
      </c>
    </row>
    <row r="5481" spans="1:3" ht="15" customHeight="1" x14ac:dyDescent="0.25">
      <c r="A5481" t="s">
        <v>7730</v>
      </c>
      <c r="B5481">
        <v>12.8</v>
      </c>
      <c r="C5481">
        <v>0.25</v>
      </c>
    </row>
    <row r="5482" spans="1:3" ht="15" customHeight="1" x14ac:dyDescent="0.25">
      <c r="A5482" t="s">
        <v>7731</v>
      </c>
      <c r="B5482">
        <v>12.8</v>
      </c>
      <c r="C5482">
        <v>0.25</v>
      </c>
    </row>
    <row r="5483" spans="1:3" ht="15" customHeight="1" x14ac:dyDescent="0.25">
      <c r="A5483" t="s">
        <v>7732</v>
      </c>
      <c r="B5483">
        <v>12.8</v>
      </c>
      <c r="C5483">
        <v>0.25</v>
      </c>
    </row>
    <row r="5484" spans="1:3" ht="15" customHeight="1" x14ac:dyDescent="0.25">
      <c r="A5484" t="s">
        <v>7733</v>
      </c>
      <c r="B5484">
        <v>12.8</v>
      </c>
      <c r="C5484">
        <v>0.25</v>
      </c>
    </row>
    <row r="5485" spans="1:3" ht="15" customHeight="1" x14ac:dyDescent="0.25">
      <c r="A5485" t="s">
        <v>7734</v>
      </c>
      <c r="B5485">
        <v>12.8</v>
      </c>
      <c r="C5485">
        <v>0.25</v>
      </c>
    </row>
    <row r="5486" spans="1:3" ht="15" customHeight="1" x14ac:dyDescent="0.25">
      <c r="A5486" t="s">
        <v>7735</v>
      </c>
      <c r="B5486">
        <v>12.8</v>
      </c>
      <c r="C5486">
        <v>0.25</v>
      </c>
    </row>
    <row r="5487" spans="1:3" ht="15" customHeight="1" x14ac:dyDescent="0.25">
      <c r="A5487" t="s">
        <v>7736</v>
      </c>
      <c r="B5487">
        <v>12.8</v>
      </c>
      <c r="C5487">
        <v>0.25</v>
      </c>
    </row>
    <row r="5488" spans="1:3" ht="15" customHeight="1" x14ac:dyDescent="0.25">
      <c r="A5488" t="s">
        <v>7737</v>
      </c>
      <c r="B5488">
        <v>12.8</v>
      </c>
      <c r="C5488">
        <v>0.25</v>
      </c>
    </row>
    <row r="5489" spans="1:3" ht="15" customHeight="1" x14ac:dyDescent="0.25">
      <c r="A5489" t="s">
        <v>7738</v>
      </c>
      <c r="B5489">
        <v>12.8</v>
      </c>
      <c r="C5489">
        <v>0.25</v>
      </c>
    </row>
    <row r="5490" spans="1:3" ht="15" customHeight="1" x14ac:dyDescent="0.25">
      <c r="A5490" t="s">
        <v>7739</v>
      </c>
      <c r="B5490">
        <v>12.8</v>
      </c>
      <c r="C5490">
        <v>0.25</v>
      </c>
    </row>
    <row r="5491" spans="1:3" ht="15" customHeight="1" x14ac:dyDescent="0.25">
      <c r="A5491" t="s">
        <v>7740</v>
      </c>
      <c r="B5491">
        <v>12.8</v>
      </c>
      <c r="C5491">
        <v>0.25</v>
      </c>
    </row>
    <row r="5492" spans="1:3" ht="15" customHeight="1" x14ac:dyDescent="0.25">
      <c r="A5492" t="s">
        <v>465</v>
      </c>
      <c r="B5492">
        <v>12.8</v>
      </c>
      <c r="C5492">
        <v>0.25</v>
      </c>
    </row>
    <row r="5493" spans="1:3" ht="15" customHeight="1" x14ac:dyDescent="0.25">
      <c r="A5493" t="s">
        <v>7741</v>
      </c>
      <c r="B5493">
        <v>12.8</v>
      </c>
      <c r="C5493">
        <v>0.25</v>
      </c>
    </row>
    <row r="5494" spans="1:3" ht="15" customHeight="1" x14ac:dyDescent="0.25">
      <c r="A5494" t="s">
        <v>7742</v>
      </c>
      <c r="B5494">
        <v>12.8</v>
      </c>
      <c r="C5494">
        <v>0.25</v>
      </c>
    </row>
    <row r="5495" spans="1:3" ht="15" customHeight="1" x14ac:dyDescent="0.25">
      <c r="A5495" t="s">
        <v>7743</v>
      </c>
      <c r="B5495">
        <v>12.8</v>
      </c>
      <c r="C5495">
        <v>0.25</v>
      </c>
    </row>
    <row r="5496" spans="1:3" ht="15" customHeight="1" x14ac:dyDescent="0.25">
      <c r="A5496" t="s">
        <v>7744</v>
      </c>
      <c r="B5496">
        <v>12.8</v>
      </c>
      <c r="C5496">
        <v>0.25</v>
      </c>
    </row>
    <row r="5497" spans="1:3" ht="15" customHeight="1" x14ac:dyDescent="0.25">
      <c r="A5497" t="s">
        <v>7745</v>
      </c>
      <c r="B5497">
        <v>12.8</v>
      </c>
      <c r="C5497">
        <v>0.25</v>
      </c>
    </row>
    <row r="5498" spans="1:3" ht="15" customHeight="1" x14ac:dyDescent="0.25">
      <c r="A5498" t="s">
        <v>7746</v>
      </c>
      <c r="B5498">
        <v>12.8</v>
      </c>
      <c r="C5498">
        <v>0.25</v>
      </c>
    </row>
    <row r="5499" spans="1:3" ht="15" customHeight="1" x14ac:dyDescent="0.25">
      <c r="A5499" t="s">
        <v>7747</v>
      </c>
      <c r="B5499">
        <v>12.8</v>
      </c>
      <c r="C5499">
        <v>0.25</v>
      </c>
    </row>
    <row r="5500" spans="1:3" ht="15" customHeight="1" x14ac:dyDescent="0.25">
      <c r="A5500" t="s">
        <v>1275</v>
      </c>
      <c r="B5500">
        <v>12.8</v>
      </c>
      <c r="C5500">
        <v>0.25</v>
      </c>
    </row>
    <row r="5501" spans="1:3" ht="15" customHeight="1" x14ac:dyDescent="0.25">
      <c r="A5501" t="s">
        <v>7748</v>
      </c>
      <c r="B5501">
        <v>12.8</v>
      </c>
      <c r="C5501">
        <v>0.25</v>
      </c>
    </row>
    <row r="5502" spans="1:3" ht="15" customHeight="1" x14ac:dyDescent="0.25">
      <c r="A5502" t="s">
        <v>7749</v>
      </c>
      <c r="B5502">
        <v>12.8</v>
      </c>
      <c r="C5502">
        <v>0.25</v>
      </c>
    </row>
    <row r="5503" spans="1:3" ht="15" customHeight="1" x14ac:dyDescent="0.25">
      <c r="A5503" t="s">
        <v>7750</v>
      </c>
      <c r="B5503">
        <v>12.8</v>
      </c>
      <c r="C5503">
        <v>0.25</v>
      </c>
    </row>
    <row r="5504" spans="1:3" ht="15" customHeight="1" x14ac:dyDescent="0.25">
      <c r="A5504" t="s">
        <v>7751</v>
      </c>
      <c r="B5504">
        <v>12.8</v>
      </c>
      <c r="C5504">
        <v>0.25</v>
      </c>
    </row>
    <row r="5505" spans="1:3" ht="15" customHeight="1" x14ac:dyDescent="0.25">
      <c r="A5505" t="s">
        <v>7752</v>
      </c>
      <c r="B5505">
        <v>12.8</v>
      </c>
      <c r="C5505">
        <v>0.25</v>
      </c>
    </row>
    <row r="5506" spans="1:3" ht="15" customHeight="1" x14ac:dyDescent="0.25">
      <c r="A5506" t="s">
        <v>7753</v>
      </c>
      <c r="B5506">
        <v>12.8</v>
      </c>
      <c r="C5506">
        <v>0.25</v>
      </c>
    </row>
    <row r="5507" spans="1:3" ht="15" customHeight="1" x14ac:dyDescent="0.25">
      <c r="A5507" t="s">
        <v>7754</v>
      </c>
      <c r="B5507">
        <v>12.8</v>
      </c>
      <c r="C5507">
        <v>0.25</v>
      </c>
    </row>
    <row r="5508" spans="1:3" ht="15" customHeight="1" x14ac:dyDescent="0.25">
      <c r="A5508" t="s">
        <v>7755</v>
      </c>
      <c r="B5508">
        <v>12.8</v>
      </c>
      <c r="C5508">
        <v>0.25</v>
      </c>
    </row>
    <row r="5509" spans="1:3" ht="15" customHeight="1" x14ac:dyDescent="0.25">
      <c r="A5509" t="s">
        <v>7756</v>
      </c>
      <c r="B5509">
        <v>12.8</v>
      </c>
      <c r="C5509">
        <v>0.25</v>
      </c>
    </row>
    <row r="5510" spans="1:3" ht="15" customHeight="1" x14ac:dyDescent="0.25">
      <c r="A5510" t="s">
        <v>7757</v>
      </c>
      <c r="B5510">
        <v>12.8</v>
      </c>
      <c r="C5510">
        <v>0.25</v>
      </c>
    </row>
    <row r="5511" spans="1:3" ht="15" customHeight="1" x14ac:dyDescent="0.25">
      <c r="A5511" t="s">
        <v>7758</v>
      </c>
      <c r="B5511">
        <v>12.8</v>
      </c>
      <c r="C5511">
        <v>0.25</v>
      </c>
    </row>
    <row r="5512" spans="1:3" ht="15" customHeight="1" x14ac:dyDescent="0.25">
      <c r="A5512" t="s">
        <v>7759</v>
      </c>
      <c r="B5512">
        <v>45.4</v>
      </c>
      <c r="C5512">
        <v>0.05</v>
      </c>
    </row>
    <row r="5513" spans="1:3" ht="15" customHeight="1" x14ac:dyDescent="0.25">
      <c r="A5513" t="s">
        <v>7760</v>
      </c>
      <c r="B5513">
        <v>45.4</v>
      </c>
      <c r="C5513">
        <v>0.05</v>
      </c>
    </row>
    <row r="5514" spans="1:3" ht="15" customHeight="1" x14ac:dyDescent="0.25">
      <c r="A5514" t="s">
        <v>7761</v>
      </c>
      <c r="B5514">
        <v>45.4</v>
      </c>
      <c r="C5514">
        <v>0.05</v>
      </c>
    </row>
    <row r="5515" spans="1:3" ht="15" customHeight="1" x14ac:dyDescent="0.25">
      <c r="A5515" t="s">
        <v>7762</v>
      </c>
      <c r="B5515">
        <v>37</v>
      </c>
      <c r="C5515">
        <v>0.05</v>
      </c>
    </row>
    <row r="5516" spans="1:3" ht="15" customHeight="1" x14ac:dyDescent="0.25">
      <c r="A5516" t="s">
        <v>7763</v>
      </c>
      <c r="B5516">
        <v>37</v>
      </c>
      <c r="C5516">
        <v>0.05</v>
      </c>
    </row>
    <row r="5517" spans="1:3" ht="15" customHeight="1" x14ac:dyDescent="0.25">
      <c r="A5517" t="s">
        <v>7764</v>
      </c>
      <c r="B5517">
        <v>33.9</v>
      </c>
      <c r="C5517">
        <v>0.05</v>
      </c>
    </row>
    <row r="5518" spans="1:3" ht="15" customHeight="1" x14ac:dyDescent="0.25">
      <c r="A5518" t="s">
        <v>7765</v>
      </c>
      <c r="B5518">
        <v>33.9</v>
      </c>
      <c r="C5518">
        <v>0.05</v>
      </c>
    </row>
    <row r="5519" spans="1:3" ht="15" customHeight="1" x14ac:dyDescent="0.25">
      <c r="A5519" t="s">
        <v>7766</v>
      </c>
      <c r="B5519">
        <v>13.3</v>
      </c>
    </row>
    <row r="5520" spans="1:3" ht="15" customHeight="1" x14ac:dyDescent="0.25">
      <c r="A5520" t="s">
        <v>7767</v>
      </c>
      <c r="B5520">
        <v>13.3</v>
      </c>
    </row>
    <row r="5521" spans="1:3" ht="15" customHeight="1" x14ac:dyDescent="0.25">
      <c r="A5521" t="s">
        <v>7768</v>
      </c>
      <c r="B5521">
        <v>13.3</v>
      </c>
    </row>
    <row r="5522" spans="1:3" ht="15" customHeight="1" x14ac:dyDescent="0.25">
      <c r="A5522" t="s">
        <v>7769</v>
      </c>
      <c r="B5522">
        <v>13.3</v>
      </c>
      <c r="C5522">
        <v>0.35</v>
      </c>
    </row>
    <row r="5523" spans="1:3" ht="15" customHeight="1" x14ac:dyDescent="0.25">
      <c r="A5523" t="s">
        <v>7770</v>
      </c>
      <c r="B5523">
        <v>11.6</v>
      </c>
    </row>
    <row r="5524" spans="1:3" ht="15" customHeight="1" x14ac:dyDescent="0.25">
      <c r="A5524" t="s">
        <v>7771</v>
      </c>
      <c r="B5524">
        <v>11.6</v>
      </c>
    </row>
    <row r="5525" spans="1:3" ht="15" customHeight="1" x14ac:dyDescent="0.25">
      <c r="A5525" t="s">
        <v>7772</v>
      </c>
      <c r="B5525">
        <v>11.6</v>
      </c>
    </row>
    <row r="5526" spans="1:3" ht="15" customHeight="1" x14ac:dyDescent="0.25">
      <c r="A5526" t="s">
        <v>7773</v>
      </c>
      <c r="B5526">
        <v>11.6</v>
      </c>
      <c r="C5526">
        <v>0.35</v>
      </c>
    </row>
    <row r="5527" spans="1:3" ht="15" customHeight="1" x14ac:dyDescent="0.25">
      <c r="A5527" t="s">
        <v>7774</v>
      </c>
      <c r="B5527">
        <v>14.3</v>
      </c>
      <c r="C5527">
        <v>0.03</v>
      </c>
    </row>
    <row r="5528" spans="1:3" ht="15" customHeight="1" x14ac:dyDescent="0.25">
      <c r="A5528" t="s">
        <v>838</v>
      </c>
      <c r="B5528">
        <v>14.3</v>
      </c>
      <c r="C5528">
        <v>0.03</v>
      </c>
    </row>
    <row r="5529" spans="1:3" ht="15" customHeight="1" x14ac:dyDescent="0.25">
      <c r="A5529" t="s">
        <v>7775</v>
      </c>
      <c r="B5529">
        <v>14.3</v>
      </c>
      <c r="C5529">
        <v>0.05</v>
      </c>
    </row>
    <row r="5530" spans="1:3" ht="15" customHeight="1" x14ac:dyDescent="0.25">
      <c r="A5530" t="s">
        <v>7776</v>
      </c>
      <c r="B5530">
        <v>14.3</v>
      </c>
      <c r="C5530">
        <v>0.05</v>
      </c>
    </row>
    <row r="5531" spans="1:3" ht="15" customHeight="1" x14ac:dyDescent="0.25">
      <c r="A5531" t="s">
        <v>7777</v>
      </c>
      <c r="B5531">
        <v>14.6</v>
      </c>
      <c r="C5531">
        <v>0.03</v>
      </c>
    </row>
    <row r="5532" spans="1:3" ht="15" customHeight="1" x14ac:dyDescent="0.25">
      <c r="A5532" t="s">
        <v>7778</v>
      </c>
      <c r="B5532">
        <v>14.6</v>
      </c>
      <c r="C5532">
        <v>0.03</v>
      </c>
    </row>
    <row r="5533" spans="1:3" ht="15" customHeight="1" x14ac:dyDescent="0.25">
      <c r="A5533" t="s">
        <v>7779</v>
      </c>
      <c r="B5533">
        <v>14.3</v>
      </c>
      <c r="C5533">
        <v>0.05</v>
      </c>
    </row>
    <row r="5534" spans="1:3" ht="15" customHeight="1" x14ac:dyDescent="0.25">
      <c r="A5534" t="s">
        <v>7780</v>
      </c>
      <c r="B5534">
        <v>14.6</v>
      </c>
      <c r="C5534">
        <v>0.05</v>
      </c>
    </row>
    <row r="5535" spans="1:3" ht="15" customHeight="1" x14ac:dyDescent="0.25">
      <c r="A5535" t="s">
        <v>7781</v>
      </c>
      <c r="B5535">
        <v>24.1</v>
      </c>
      <c r="C5535">
        <v>0.02</v>
      </c>
    </row>
    <row r="5536" spans="1:3" ht="15" customHeight="1" x14ac:dyDescent="0.25">
      <c r="A5536" t="s">
        <v>7782</v>
      </c>
      <c r="B5536">
        <v>24.1</v>
      </c>
      <c r="C5536">
        <v>0.02</v>
      </c>
    </row>
    <row r="5537" spans="1:3" ht="15" customHeight="1" x14ac:dyDescent="0.25">
      <c r="A5537" t="s">
        <v>934</v>
      </c>
      <c r="B5537">
        <v>24.1</v>
      </c>
      <c r="C5537">
        <v>0.02</v>
      </c>
    </row>
    <row r="5538" spans="1:3" ht="15" customHeight="1" x14ac:dyDescent="0.25">
      <c r="A5538" t="s">
        <v>7783</v>
      </c>
      <c r="B5538">
        <v>16.899999999999999</v>
      </c>
      <c r="C5538">
        <v>0.02</v>
      </c>
    </row>
    <row r="5539" spans="1:3" ht="15" customHeight="1" x14ac:dyDescent="0.25">
      <c r="A5539" t="s">
        <v>976</v>
      </c>
      <c r="B5539">
        <v>16.899999999999999</v>
      </c>
      <c r="C5539">
        <v>0.02</v>
      </c>
    </row>
    <row r="5540" spans="1:3" ht="15" customHeight="1" x14ac:dyDescent="0.25">
      <c r="A5540" t="s">
        <v>7784</v>
      </c>
      <c r="B5540">
        <v>16.899999999999999</v>
      </c>
      <c r="C5540">
        <v>0.02</v>
      </c>
    </row>
    <row r="5541" spans="1:3" ht="15" customHeight="1" x14ac:dyDescent="0.25">
      <c r="A5541" t="s">
        <v>7785</v>
      </c>
      <c r="B5541">
        <v>10.8</v>
      </c>
      <c r="C5541">
        <v>0.03</v>
      </c>
    </row>
    <row r="5542" spans="1:3" ht="15" customHeight="1" x14ac:dyDescent="0.25">
      <c r="A5542" t="s">
        <v>7786</v>
      </c>
      <c r="B5542">
        <v>10.8</v>
      </c>
      <c r="C5542">
        <v>0.03</v>
      </c>
    </row>
    <row r="5543" spans="1:3" ht="15" customHeight="1" x14ac:dyDescent="0.25">
      <c r="A5543" t="s">
        <v>7787</v>
      </c>
      <c r="B5543">
        <v>10.8</v>
      </c>
      <c r="C5543">
        <v>0.05</v>
      </c>
    </row>
    <row r="5544" spans="1:3" ht="15" customHeight="1" x14ac:dyDescent="0.25">
      <c r="A5544" t="s">
        <v>7788</v>
      </c>
      <c r="B5544">
        <v>10.8</v>
      </c>
      <c r="C5544">
        <v>0.05</v>
      </c>
    </row>
    <row r="5545" spans="1:3" ht="15" customHeight="1" x14ac:dyDescent="0.25">
      <c r="A5545" t="s">
        <v>440</v>
      </c>
      <c r="B5545">
        <v>11.6</v>
      </c>
      <c r="C5545">
        <v>0.03</v>
      </c>
    </row>
    <row r="5546" spans="1:3" ht="15" customHeight="1" x14ac:dyDescent="0.25">
      <c r="A5546" t="s">
        <v>7789</v>
      </c>
      <c r="B5546">
        <v>11.6</v>
      </c>
      <c r="C5546">
        <v>0.03</v>
      </c>
    </row>
    <row r="5547" spans="1:3" ht="15" customHeight="1" x14ac:dyDescent="0.25">
      <c r="A5547" t="s">
        <v>7790</v>
      </c>
      <c r="B5547">
        <v>11.6</v>
      </c>
      <c r="C5547">
        <v>0.05</v>
      </c>
    </row>
    <row r="5548" spans="1:3" ht="15" customHeight="1" x14ac:dyDescent="0.25">
      <c r="A5548" t="s">
        <v>7791</v>
      </c>
      <c r="B5548">
        <v>11.6</v>
      </c>
      <c r="C5548">
        <v>0.05</v>
      </c>
    </row>
    <row r="5549" spans="1:3" ht="15" customHeight="1" x14ac:dyDescent="0.25">
      <c r="A5549" t="s">
        <v>7792</v>
      </c>
      <c r="B5549">
        <v>12.4</v>
      </c>
      <c r="C5549">
        <v>0.02</v>
      </c>
    </row>
    <row r="5550" spans="1:3" ht="15" customHeight="1" x14ac:dyDescent="0.25">
      <c r="A5550" t="s">
        <v>7793</v>
      </c>
      <c r="B5550">
        <v>12.4</v>
      </c>
      <c r="C5550">
        <v>0.02</v>
      </c>
    </row>
    <row r="5551" spans="1:3" ht="15" customHeight="1" x14ac:dyDescent="0.25">
      <c r="A5551" t="s">
        <v>1589</v>
      </c>
      <c r="B5551">
        <v>12.4</v>
      </c>
      <c r="C5551">
        <v>0.02</v>
      </c>
    </row>
    <row r="5552" spans="1:3" ht="15" customHeight="1" x14ac:dyDescent="0.25">
      <c r="A5552" t="s">
        <v>7794</v>
      </c>
      <c r="B5552">
        <v>21.6</v>
      </c>
    </row>
    <row r="5553" spans="1:3" ht="15" customHeight="1" x14ac:dyDescent="0.25">
      <c r="A5553" t="s">
        <v>7795</v>
      </c>
      <c r="B5553">
        <v>21.6</v>
      </c>
    </row>
    <row r="5554" spans="1:3" ht="15" customHeight="1" x14ac:dyDescent="0.25">
      <c r="A5554" t="s">
        <v>7796</v>
      </c>
      <c r="B5554">
        <v>21.6</v>
      </c>
    </row>
    <row r="5555" spans="1:3" ht="15" customHeight="1" x14ac:dyDescent="0.25">
      <c r="A5555" t="s">
        <v>7797</v>
      </c>
      <c r="B5555">
        <v>21.6</v>
      </c>
    </row>
    <row r="5556" spans="1:3" ht="15" customHeight="1" x14ac:dyDescent="0.25">
      <c r="A5556" t="s">
        <v>7798</v>
      </c>
      <c r="B5556">
        <v>18.899999999999999</v>
      </c>
    </row>
    <row r="5557" spans="1:3" ht="15" customHeight="1" x14ac:dyDescent="0.25">
      <c r="A5557" t="s">
        <v>7799</v>
      </c>
      <c r="B5557">
        <v>18.899999999999999</v>
      </c>
    </row>
    <row r="5558" spans="1:3" ht="15" customHeight="1" x14ac:dyDescent="0.25">
      <c r="A5558" t="s">
        <v>7800</v>
      </c>
      <c r="B5558">
        <v>18.899999999999999</v>
      </c>
    </row>
    <row r="5559" spans="1:3" ht="15" customHeight="1" x14ac:dyDescent="0.25">
      <c r="A5559" t="s">
        <v>7801</v>
      </c>
      <c r="B5559">
        <v>18.899999999999999</v>
      </c>
      <c r="C5559">
        <v>0.35</v>
      </c>
    </row>
    <row r="5560" spans="1:3" ht="15" customHeight="1" x14ac:dyDescent="0.25">
      <c r="A5560" t="s">
        <v>7802</v>
      </c>
      <c r="B5560">
        <v>49.8</v>
      </c>
      <c r="C5560">
        <v>0.03</v>
      </c>
    </row>
    <row r="5561" spans="1:3" ht="15" customHeight="1" x14ac:dyDescent="0.25">
      <c r="A5561" t="s">
        <v>7803</v>
      </c>
      <c r="B5561">
        <v>49.8</v>
      </c>
      <c r="C5561">
        <v>0.03</v>
      </c>
    </row>
    <row r="5562" spans="1:3" ht="15" customHeight="1" x14ac:dyDescent="0.25">
      <c r="A5562" t="s">
        <v>7804</v>
      </c>
      <c r="B5562">
        <v>18.399999999999999</v>
      </c>
      <c r="C5562">
        <v>0.25</v>
      </c>
    </row>
    <row r="5563" spans="1:3" ht="15" customHeight="1" x14ac:dyDescent="0.25">
      <c r="A5563" t="s">
        <v>7805</v>
      </c>
      <c r="B5563">
        <v>18.399999999999999</v>
      </c>
      <c r="C5563">
        <v>0.25</v>
      </c>
    </row>
    <row r="5564" spans="1:3" ht="15" customHeight="1" x14ac:dyDescent="0.25">
      <c r="A5564" t="s">
        <v>7806</v>
      </c>
      <c r="B5564">
        <v>18.399999999999999</v>
      </c>
      <c r="C5564">
        <v>0.25</v>
      </c>
    </row>
    <row r="5565" spans="1:3" ht="15" customHeight="1" x14ac:dyDescent="0.25">
      <c r="A5565" t="s">
        <v>7807</v>
      </c>
      <c r="B5565">
        <v>18.399999999999999</v>
      </c>
      <c r="C5565">
        <v>0.25</v>
      </c>
    </row>
    <row r="5566" spans="1:3" ht="15" customHeight="1" x14ac:dyDescent="0.25">
      <c r="A5566" t="s">
        <v>7808</v>
      </c>
      <c r="B5566">
        <v>18.399999999999999</v>
      </c>
      <c r="C5566">
        <v>0.25</v>
      </c>
    </row>
    <row r="5567" spans="1:3" ht="15" customHeight="1" x14ac:dyDescent="0.25">
      <c r="A5567" t="s">
        <v>7809</v>
      </c>
      <c r="B5567">
        <v>18.399999999999999</v>
      </c>
      <c r="C5567">
        <v>0.25</v>
      </c>
    </row>
    <row r="5568" spans="1:3" ht="15" customHeight="1" x14ac:dyDescent="0.25">
      <c r="A5568" t="s">
        <v>7810</v>
      </c>
      <c r="B5568">
        <v>18.399999999999999</v>
      </c>
      <c r="C5568">
        <v>0.25</v>
      </c>
    </row>
    <row r="5569" spans="1:3" ht="15" customHeight="1" x14ac:dyDescent="0.25">
      <c r="A5569" t="s">
        <v>7811</v>
      </c>
      <c r="B5569">
        <v>18.399999999999999</v>
      </c>
      <c r="C5569">
        <v>0.25</v>
      </c>
    </row>
    <row r="5570" spans="1:3" ht="15" customHeight="1" x14ac:dyDescent="0.25">
      <c r="A5570" t="s">
        <v>7812</v>
      </c>
      <c r="B5570">
        <v>24.7</v>
      </c>
    </row>
    <row r="5571" spans="1:3" ht="15" customHeight="1" x14ac:dyDescent="0.25">
      <c r="A5571" t="s">
        <v>7813</v>
      </c>
      <c r="B5571">
        <v>24.7</v>
      </c>
    </row>
    <row r="5572" spans="1:3" ht="15" customHeight="1" x14ac:dyDescent="0.25">
      <c r="A5572" t="s">
        <v>7814</v>
      </c>
      <c r="B5572">
        <v>24.7</v>
      </c>
      <c r="C5572">
        <v>0.35</v>
      </c>
    </row>
    <row r="5573" spans="1:3" ht="15" customHeight="1" x14ac:dyDescent="0.25">
      <c r="A5573" t="s">
        <v>7815</v>
      </c>
      <c r="B5573">
        <v>24.7</v>
      </c>
      <c r="C5573">
        <v>0.35</v>
      </c>
    </row>
    <row r="5574" spans="1:3" ht="15" customHeight="1" x14ac:dyDescent="0.25">
      <c r="A5574" t="s">
        <v>7816</v>
      </c>
      <c r="B5574">
        <v>24.7</v>
      </c>
      <c r="C5574">
        <v>0.35</v>
      </c>
    </row>
    <row r="5575" spans="1:3" ht="15" customHeight="1" x14ac:dyDescent="0.25">
      <c r="A5575" t="s">
        <v>7817</v>
      </c>
      <c r="B5575">
        <v>24.7</v>
      </c>
      <c r="C5575">
        <v>0.35</v>
      </c>
    </row>
    <row r="5576" spans="1:3" ht="15" customHeight="1" x14ac:dyDescent="0.25">
      <c r="A5576" t="s">
        <v>7818</v>
      </c>
      <c r="B5576">
        <v>13.3</v>
      </c>
      <c r="C5576">
        <v>0.35</v>
      </c>
    </row>
    <row r="5577" spans="1:3" ht="15" customHeight="1" x14ac:dyDescent="0.25">
      <c r="A5577" t="s">
        <v>7819</v>
      </c>
      <c r="B5577">
        <v>13.3</v>
      </c>
      <c r="C5577">
        <v>0.35</v>
      </c>
    </row>
    <row r="5578" spans="1:3" ht="15" customHeight="1" x14ac:dyDescent="0.25">
      <c r="A5578" t="s">
        <v>7820</v>
      </c>
      <c r="B5578">
        <v>13.3</v>
      </c>
      <c r="C5578">
        <v>0.35</v>
      </c>
    </row>
    <row r="5579" spans="1:3" ht="15" customHeight="1" x14ac:dyDescent="0.25">
      <c r="A5579" t="s">
        <v>7821</v>
      </c>
      <c r="B5579">
        <v>13.3</v>
      </c>
      <c r="C5579">
        <v>0.35</v>
      </c>
    </row>
    <row r="5580" spans="1:3" ht="15" customHeight="1" x14ac:dyDescent="0.25">
      <c r="A5580" t="s">
        <v>7822</v>
      </c>
      <c r="B5580">
        <v>13.3</v>
      </c>
      <c r="C5580">
        <v>0.35</v>
      </c>
    </row>
    <row r="5581" spans="1:3" ht="15" customHeight="1" x14ac:dyDescent="0.25">
      <c r="A5581" t="s">
        <v>7823</v>
      </c>
      <c r="B5581">
        <v>13.3</v>
      </c>
      <c r="C5581">
        <v>0.35</v>
      </c>
    </row>
    <row r="5582" spans="1:3" ht="15" customHeight="1" x14ac:dyDescent="0.25">
      <c r="A5582" t="s">
        <v>7824</v>
      </c>
      <c r="B5582">
        <v>10.6</v>
      </c>
    </row>
    <row r="5583" spans="1:3" ht="15" customHeight="1" x14ac:dyDescent="0.25">
      <c r="A5583" t="s">
        <v>7825</v>
      </c>
      <c r="B5583">
        <v>10.6</v>
      </c>
    </row>
    <row r="5584" spans="1:3" ht="15" customHeight="1" x14ac:dyDescent="0.25">
      <c r="A5584" t="s">
        <v>7826</v>
      </c>
      <c r="B5584">
        <v>10.6</v>
      </c>
    </row>
    <row r="5585" spans="1:3" ht="15" customHeight="1" x14ac:dyDescent="0.25">
      <c r="A5585" t="s">
        <v>7827</v>
      </c>
      <c r="B5585">
        <v>10.6</v>
      </c>
      <c r="C5585">
        <v>0.35</v>
      </c>
    </row>
    <row r="5586" spans="1:3" ht="15" customHeight="1" x14ac:dyDescent="0.25">
      <c r="A5586" t="s">
        <v>7828</v>
      </c>
      <c r="B5586">
        <v>10.6</v>
      </c>
      <c r="C5586">
        <v>0.35</v>
      </c>
    </row>
    <row r="5587" spans="1:3" ht="15" customHeight="1" x14ac:dyDescent="0.25">
      <c r="A5587" t="s">
        <v>7829</v>
      </c>
      <c r="B5587">
        <v>10.6</v>
      </c>
      <c r="C5587">
        <v>0.35</v>
      </c>
    </row>
    <row r="5588" spans="1:3" ht="15" customHeight="1" x14ac:dyDescent="0.25">
      <c r="A5588" t="s">
        <v>7830</v>
      </c>
      <c r="B5588">
        <v>10.6</v>
      </c>
      <c r="C5588">
        <v>0.35</v>
      </c>
    </row>
    <row r="5589" spans="1:3" ht="15" customHeight="1" x14ac:dyDescent="0.25">
      <c r="A5589" t="s">
        <v>7831</v>
      </c>
      <c r="B5589">
        <v>10.6</v>
      </c>
      <c r="C5589">
        <v>0.35</v>
      </c>
    </row>
    <row r="5590" spans="1:3" ht="15" customHeight="1" x14ac:dyDescent="0.25">
      <c r="A5590" t="s">
        <v>7832</v>
      </c>
      <c r="B5590">
        <v>10.6</v>
      </c>
      <c r="C5590">
        <v>0.35</v>
      </c>
    </row>
    <row r="5591" spans="1:3" ht="15" customHeight="1" x14ac:dyDescent="0.25">
      <c r="A5591" t="s">
        <v>7833</v>
      </c>
      <c r="B5591">
        <v>10.6</v>
      </c>
      <c r="C5591">
        <v>0.35</v>
      </c>
    </row>
    <row r="5592" spans="1:3" ht="15" customHeight="1" x14ac:dyDescent="0.25">
      <c r="A5592" t="s">
        <v>7834</v>
      </c>
      <c r="B5592">
        <v>10.6</v>
      </c>
      <c r="C5592">
        <v>0.35</v>
      </c>
    </row>
    <row r="5593" spans="1:3" ht="15" customHeight="1" x14ac:dyDescent="0.25">
      <c r="A5593" t="s">
        <v>7835</v>
      </c>
      <c r="B5593">
        <v>10.6</v>
      </c>
      <c r="C5593">
        <v>0.35</v>
      </c>
    </row>
    <row r="5594" spans="1:3" ht="15" customHeight="1" x14ac:dyDescent="0.25">
      <c r="A5594" t="s">
        <v>7836</v>
      </c>
      <c r="B5594">
        <v>10.6</v>
      </c>
      <c r="C5594">
        <v>0.35</v>
      </c>
    </row>
    <row r="5595" spans="1:3" ht="15" customHeight="1" x14ac:dyDescent="0.25">
      <c r="A5595" t="s">
        <v>7837</v>
      </c>
      <c r="B5595">
        <v>10.6</v>
      </c>
      <c r="C5595">
        <v>0.35</v>
      </c>
    </row>
    <row r="5596" spans="1:3" ht="15" customHeight="1" x14ac:dyDescent="0.25">
      <c r="A5596" t="s">
        <v>7838</v>
      </c>
      <c r="B5596">
        <v>10.6</v>
      </c>
      <c r="C5596">
        <v>0.35</v>
      </c>
    </row>
    <row r="5597" spans="1:3" ht="15" customHeight="1" x14ac:dyDescent="0.25">
      <c r="A5597" t="s">
        <v>7839</v>
      </c>
      <c r="B5597">
        <v>10.6</v>
      </c>
      <c r="C5597">
        <v>0.35</v>
      </c>
    </row>
    <row r="5598" spans="1:3" ht="15" customHeight="1" x14ac:dyDescent="0.25">
      <c r="A5598" t="s">
        <v>7840</v>
      </c>
      <c r="B5598">
        <v>10.6</v>
      </c>
      <c r="C5598">
        <v>0.35</v>
      </c>
    </row>
    <row r="5599" spans="1:3" ht="15" customHeight="1" x14ac:dyDescent="0.25">
      <c r="A5599" t="s">
        <v>7841</v>
      </c>
      <c r="B5599">
        <v>10.6</v>
      </c>
      <c r="C5599">
        <v>0.35</v>
      </c>
    </row>
    <row r="5600" spans="1:3" ht="15" customHeight="1" x14ac:dyDescent="0.25">
      <c r="A5600" t="s">
        <v>7842</v>
      </c>
      <c r="B5600">
        <v>10.6</v>
      </c>
      <c r="C5600">
        <v>0.35</v>
      </c>
    </row>
    <row r="5601" spans="1:3" ht="15" customHeight="1" x14ac:dyDescent="0.25">
      <c r="A5601" t="s">
        <v>7843</v>
      </c>
      <c r="B5601">
        <v>10.6</v>
      </c>
      <c r="C5601">
        <v>0.35</v>
      </c>
    </row>
    <row r="5602" spans="1:3" ht="15" customHeight="1" x14ac:dyDescent="0.25">
      <c r="A5602" t="s">
        <v>7844</v>
      </c>
      <c r="B5602">
        <v>10.6</v>
      </c>
      <c r="C5602">
        <v>0.35</v>
      </c>
    </row>
    <row r="5603" spans="1:3" ht="15" customHeight="1" x14ac:dyDescent="0.25">
      <c r="A5603" t="s">
        <v>7845</v>
      </c>
      <c r="B5603">
        <v>34.200000000000003</v>
      </c>
      <c r="C5603">
        <v>0.35</v>
      </c>
    </row>
    <row r="5604" spans="1:3" ht="15" customHeight="1" x14ac:dyDescent="0.25">
      <c r="A5604" t="s">
        <v>7846</v>
      </c>
      <c r="B5604">
        <v>34.200000000000003</v>
      </c>
      <c r="C5604">
        <v>0.35</v>
      </c>
    </row>
    <row r="5605" spans="1:3" ht="15" customHeight="1" x14ac:dyDescent="0.25">
      <c r="A5605" t="s">
        <v>7847</v>
      </c>
      <c r="B5605">
        <v>23.1</v>
      </c>
      <c r="C5605">
        <v>0.35</v>
      </c>
    </row>
    <row r="5606" spans="1:3" ht="15" customHeight="1" x14ac:dyDescent="0.25">
      <c r="A5606" t="s">
        <v>7848</v>
      </c>
      <c r="B5606">
        <v>23.1</v>
      </c>
      <c r="C5606">
        <v>0.35</v>
      </c>
    </row>
    <row r="5607" spans="1:3" ht="15" customHeight="1" x14ac:dyDescent="0.25">
      <c r="A5607" t="s">
        <v>7849</v>
      </c>
      <c r="B5607">
        <v>23.1</v>
      </c>
      <c r="C5607">
        <v>0.35</v>
      </c>
    </row>
    <row r="5608" spans="1:3" ht="15" customHeight="1" x14ac:dyDescent="0.25">
      <c r="A5608" t="s">
        <v>7850</v>
      </c>
      <c r="B5608">
        <v>23.1</v>
      </c>
      <c r="C5608">
        <v>0.35</v>
      </c>
    </row>
    <row r="5609" spans="1:3" ht="15" customHeight="1" x14ac:dyDescent="0.25">
      <c r="A5609" t="s">
        <v>7851</v>
      </c>
      <c r="B5609">
        <v>23.1</v>
      </c>
    </row>
    <row r="5610" spans="1:3" ht="15" customHeight="1" x14ac:dyDescent="0.25">
      <c r="A5610" t="s">
        <v>7852</v>
      </c>
      <c r="B5610">
        <v>23.1</v>
      </c>
      <c r="C5610">
        <v>0.35</v>
      </c>
    </row>
    <row r="5611" spans="1:3" ht="15" customHeight="1" x14ac:dyDescent="0.25">
      <c r="A5611" t="s">
        <v>7853</v>
      </c>
      <c r="B5611">
        <v>23.1</v>
      </c>
      <c r="C5611">
        <v>0.35</v>
      </c>
    </row>
    <row r="5612" spans="1:3" ht="15" customHeight="1" x14ac:dyDescent="0.25">
      <c r="A5612" t="s">
        <v>7854</v>
      </c>
      <c r="B5612">
        <v>23.1</v>
      </c>
    </row>
    <row r="5613" spans="1:3" ht="15" customHeight="1" x14ac:dyDescent="0.25">
      <c r="A5613" t="s">
        <v>7855</v>
      </c>
      <c r="B5613">
        <v>23.1</v>
      </c>
    </row>
    <row r="5614" spans="1:3" ht="15" customHeight="1" x14ac:dyDescent="0.25">
      <c r="A5614" t="s">
        <v>7856</v>
      </c>
      <c r="B5614">
        <v>23.1</v>
      </c>
    </row>
    <row r="5615" spans="1:3" ht="15" customHeight="1" x14ac:dyDescent="0.25">
      <c r="A5615" t="s">
        <v>7857</v>
      </c>
      <c r="B5615">
        <v>23.1</v>
      </c>
    </row>
    <row r="5616" spans="1:3" ht="15" customHeight="1" x14ac:dyDescent="0.25">
      <c r="A5616" t="s">
        <v>7858</v>
      </c>
      <c r="B5616">
        <v>23.1</v>
      </c>
      <c r="C5616">
        <v>0.35</v>
      </c>
    </row>
    <row r="5617" spans="1:3" ht="15" customHeight="1" x14ac:dyDescent="0.25">
      <c r="A5617" t="s">
        <v>7859</v>
      </c>
      <c r="B5617">
        <v>27.9</v>
      </c>
      <c r="C5617">
        <v>0.35</v>
      </c>
    </row>
    <row r="5618" spans="1:3" ht="15" customHeight="1" x14ac:dyDescent="0.25">
      <c r="A5618" t="s">
        <v>7860</v>
      </c>
      <c r="B5618">
        <v>27.9</v>
      </c>
      <c r="C5618">
        <v>0.35</v>
      </c>
    </row>
    <row r="5619" spans="1:3" ht="15" customHeight="1" x14ac:dyDescent="0.25">
      <c r="A5619" t="s">
        <v>7861</v>
      </c>
      <c r="B5619">
        <v>27.9</v>
      </c>
    </row>
    <row r="5620" spans="1:3" ht="15" customHeight="1" x14ac:dyDescent="0.25">
      <c r="A5620" t="s">
        <v>7862</v>
      </c>
      <c r="B5620">
        <v>27.9</v>
      </c>
      <c r="C5620">
        <v>0.35</v>
      </c>
    </row>
    <row r="5621" spans="1:3" ht="15" customHeight="1" x14ac:dyDescent="0.25">
      <c r="A5621" t="s">
        <v>7863</v>
      </c>
      <c r="B5621">
        <v>26.2</v>
      </c>
      <c r="C5621">
        <v>0.35</v>
      </c>
    </row>
    <row r="5622" spans="1:3" ht="15" customHeight="1" x14ac:dyDescent="0.25">
      <c r="A5622" t="s">
        <v>7864</v>
      </c>
      <c r="B5622">
        <v>26.2</v>
      </c>
      <c r="C5622">
        <v>0.35</v>
      </c>
    </row>
    <row r="5623" spans="1:3" ht="15" customHeight="1" x14ac:dyDescent="0.25">
      <c r="A5623" t="s">
        <v>7865</v>
      </c>
      <c r="B5623">
        <v>19.600000000000001</v>
      </c>
    </row>
    <row r="5624" spans="1:3" ht="15" customHeight="1" x14ac:dyDescent="0.25">
      <c r="A5624" t="s">
        <v>7866</v>
      </c>
      <c r="B5624">
        <v>89.5</v>
      </c>
    </row>
    <row r="5625" spans="1:3" ht="15" customHeight="1" x14ac:dyDescent="0.25">
      <c r="A5625" t="s">
        <v>7867</v>
      </c>
      <c r="B5625">
        <v>89.5</v>
      </c>
    </row>
    <row r="5626" spans="1:3" ht="15" customHeight="1" x14ac:dyDescent="0.25">
      <c r="A5626" t="s">
        <v>7868</v>
      </c>
      <c r="B5626">
        <v>89.5</v>
      </c>
    </row>
    <row r="5627" spans="1:3" ht="15" customHeight="1" x14ac:dyDescent="0.25">
      <c r="A5627" t="s">
        <v>7869</v>
      </c>
      <c r="B5627">
        <v>89.5</v>
      </c>
    </row>
    <row r="5628" spans="1:3" ht="15" customHeight="1" x14ac:dyDescent="0.25">
      <c r="A5628" t="s">
        <v>7870</v>
      </c>
      <c r="B5628">
        <v>89.5</v>
      </c>
    </row>
    <row r="5629" spans="1:3" ht="15" customHeight="1" x14ac:dyDescent="0.25">
      <c r="A5629" t="s">
        <v>7871</v>
      </c>
      <c r="B5629">
        <v>48.5</v>
      </c>
      <c r="C5629">
        <v>0.35</v>
      </c>
    </row>
    <row r="5630" spans="1:3" ht="15" customHeight="1" x14ac:dyDescent="0.25">
      <c r="A5630" t="s">
        <v>285</v>
      </c>
      <c r="B5630">
        <v>49.8</v>
      </c>
      <c r="C5630">
        <v>0.03</v>
      </c>
    </row>
    <row r="5631" spans="1:3" ht="15" customHeight="1" x14ac:dyDescent="0.25">
      <c r="A5631" t="s">
        <v>7872</v>
      </c>
      <c r="B5631">
        <v>49.8</v>
      </c>
      <c r="C5631">
        <v>0.03</v>
      </c>
    </row>
    <row r="5632" spans="1:3" ht="15" customHeight="1" x14ac:dyDescent="0.25">
      <c r="A5632" t="s">
        <v>7873</v>
      </c>
      <c r="B5632">
        <v>44.3</v>
      </c>
      <c r="C5632">
        <v>0.03</v>
      </c>
    </row>
    <row r="5633" spans="1:3" ht="15" customHeight="1" x14ac:dyDescent="0.25">
      <c r="A5633" t="s">
        <v>7874</v>
      </c>
      <c r="B5633">
        <v>44.3</v>
      </c>
      <c r="C5633">
        <v>0.03</v>
      </c>
    </row>
    <row r="5634" spans="1:3" ht="15" customHeight="1" x14ac:dyDescent="0.25">
      <c r="A5634" t="s">
        <v>7875</v>
      </c>
      <c r="B5634">
        <v>44.3</v>
      </c>
    </row>
    <row r="5635" spans="1:3" ht="15" customHeight="1" x14ac:dyDescent="0.25">
      <c r="A5635" t="s">
        <v>7876</v>
      </c>
      <c r="B5635">
        <v>44.3</v>
      </c>
    </row>
    <row r="5636" spans="1:3" ht="15" customHeight="1" x14ac:dyDescent="0.25">
      <c r="A5636" t="s">
        <v>7877</v>
      </c>
      <c r="B5636">
        <v>19.600000000000001</v>
      </c>
    </row>
    <row r="5637" spans="1:3" ht="15" customHeight="1" x14ac:dyDescent="0.25">
      <c r="A5637" t="s">
        <v>7878</v>
      </c>
      <c r="B5637">
        <v>19.600000000000001</v>
      </c>
    </row>
    <row r="5638" spans="1:3" ht="15" customHeight="1" x14ac:dyDescent="0.25">
      <c r="A5638" t="s">
        <v>7879</v>
      </c>
      <c r="B5638">
        <v>19.600000000000001</v>
      </c>
    </row>
    <row r="5639" spans="1:3" ht="15" customHeight="1" x14ac:dyDescent="0.25">
      <c r="A5639" t="s">
        <v>7880</v>
      </c>
      <c r="B5639">
        <v>19.600000000000001</v>
      </c>
    </row>
    <row r="5640" spans="1:3" ht="15" customHeight="1" x14ac:dyDescent="0.25">
      <c r="A5640" t="s">
        <v>7881</v>
      </c>
      <c r="B5640">
        <v>19.600000000000001</v>
      </c>
    </row>
    <row r="5641" spans="1:3" ht="15" customHeight="1" x14ac:dyDescent="0.25">
      <c r="A5641" t="s">
        <v>7882</v>
      </c>
      <c r="B5641">
        <v>19.600000000000001</v>
      </c>
    </row>
    <row r="5642" spans="1:3" ht="15" customHeight="1" x14ac:dyDescent="0.25">
      <c r="A5642" t="s">
        <v>7883</v>
      </c>
      <c r="B5642">
        <v>31.7</v>
      </c>
      <c r="C5642">
        <v>0.35</v>
      </c>
    </row>
    <row r="5643" spans="1:3" ht="15" customHeight="1" x14ac:dyDescent="0.25">
      <c r="A5643" t="s">
        <v>7884</v>
      </c>
      <c r="B5643">
        <v>31.7</v>
      </c>
      <c r="C5643">
        <v>0.35</v>
      </c>
    </row>
    <row r="5644" spans="1:3" ht="15" customHeight="1" x14ac:dyDescent="0.25">
      <c r="A5644" t="s">
        <v>7885</v>
      </c>
      <c r="B5644">
        <v>31.7</v>
      </c>
      <c r="C5644">
        <v>0.35</v>
      </c>
    </row>
    <row r="5645" spans="1:3" ht="15" customHeight="1" x14ac:dyDescent="0.25">
      <c r="A5645" t="s">
        <v>7886</v>
      </c>
      <c r="B5645">
        <v>31.7</v>
      </c>
      <c r="C5645">
        <v>0.35</v>
      </c>
    </row>
    <row r="5646" spans="1:3" ht="15" customHeight="1" x14ac:dyDescent="0.25">
      <c r="A5646" t="s">
        <v>7887</v>
      </c>
      <c r="B5646">
        <v>31.7</v>
      </c>
    </row>
    <row r="5647" spans="1:3" ht="15" customHeight="1" x14ac:dyDescent="0.25">
      <c r="A5647" t="s">
        <v>7888</v>
      </c>
      <c r="B5647">
        <v>31.7</v>
      </c>
    </row>
    <row r="5648" spans="1:3" ht="15" customHeight="1" x14ac:dyDescent="0.25">
      <c r="A5648" t="s">
        <v>7889</v>
      </c>
      <c r="B5648">
        <v>33.5</v>
      </c>
    </row>
    <row r="5649" spans="1:3" ht="15" customHeight="1" x14ac:dyDescent="0.25">
      <c r="A5649" t="s">
        <v>7890</v>
      </c>
      <c r="B5649">
        <v>33.5</v>
      </c>
      <c r="C5649">
        <v>0.35</v>
      </c>
    </row>
    <row r="5650" spans="1:3" ht="15" customHeight="1" x14ac:dyDescent="0.25">
      <c r="A5650" t="s">
        <v>7891</v>
      </c>
      <c r="B5650">
        <v>33.5</v>
      </c>
      <c r="C5650">
        <v>0.35</v>
      </c>
    </row>
    <row r="5651" spans="1:3" ht="15" customHeight="1" x14ac:dyDescent="0.25">
      <c r="A5651" t="s">
        <v>7892</v>
      </c>
      <c r="B5651">
        <v>40</v>
      </c>
      <c r="C5651">
        <v>0.35</v>
      </c>
    </row>
    <row r="5652" spans="1:3" ht="15" customHeight="1" x14ac:dyDescent="0.25">
      <c r="A5652" t="s">
        <v>7893</v>
      </c>
      <c r="B5652">
        <v>40</v>
      </c>
    </row>
    <row r="5653" spans="1:3" ht="15" customHeight="1" x14ac:dyDescent="0.25">
      <c r="A5653" t="s">
        <v>7894</v>
      </c>
      <c r="B5653">
        <v>40</v>
      </c>
      <c r="C5653">
        <v>0.35</v>
      </c>
    </row>
    <row r="5654" spans="1:3" ht="15" customHeight="1" x14ac:dyDescent="0.25">
      <c r="A5654" t="s">
        <v>7895</v>
      </c>
      <c r="B5654">
        <v>20.6</v>
      </c>
    </row>
    <row r="5655" spans="1:3" ht="15" customHeight="1" x14ac:dyDescent="0.25">
      <c r="A5655" t="s">
        <v>7896</v>
      </c>
      <c r="B5655">
        <v>20.6</v>
      </c>
    </row>
    <row r="5656" spans="1:3" ht="15" customHeight="1" x14ac:dyDescent="0.25">
      <c r="A5656" t="s">
        <v>7897</v>
      </c>
      <c r="B5656">
        <v>20.6</v>
      </c>
    </row>
    <row r="5657" spans="1:3" ht="15" customHeight="1" x14ac:dyDescent="0.25">
      <c r="A5657" t="s">
        <v>7898</v>
      </c>
      <c r="B5657">
        <v>20.6</v>
      </c>
      <c r="C5657">
        <v>0.35</v>
      </c>
    </row>
    <row r="5658" spans="1:3" ht="15" customHeight="1" x14ac:dyDescent="0.25">
      <c r="A5658" t="s">
        <v>7899</v>
      </c>
      <c r="B5658">
        <v>20.6</v>
      </c>
    </row>
    <row r="5659" spans="1:3" ht="15" customHeight="1" x14ac:dyDescent="0.25">
      <c r="A5659" t="s">
        <v>7900</v>
      </c>
      <c r="B5659">
        <v>20.6</v>
      </c>
    </row>
    <row r="5660" spans="1:3" ht="15" customHeight="1" x14ac:dyDescent="0.25">
      <c r="A5660" t="s">
        <v>7901</v>
      </c>
      <c r="B5660">
        <v>20.6</v>
      </c>
      <c r="C5660">
        <v>0.35</v>
      </c>
    </row>
    <row r="5661" spans="1:3" ht="15" customHeight="1" x14ac:dyDescent="0.25">
      <c r="A5661" t="s">
        <v>7902</v>
      </c>
      <c r="B5661">
        <v>20.6</v>
      </c>
      <c r="C5661">
        <v>0.35</v>
      </c>
    </row>
    <row r="5662" spans="1:3" ht="15" customHeight="1" x14ac:dyDescent="0.25">
      <c r="A5662" t="s">
        <v>7903</v>
      </c>
      <c r="B5662">
        <v>20.6</v>
      </c>
      <c r="C5662">
        <v>0.35</v>
      </c>
    </row>
    <row r="5663" spans="1:3" ht="15" customHeight="1" x14ac:dyDescent="0.25">
      <c r="A5663" t="s">
        <v>7904</v>
      </c>
      <c r="B5663">
        <v>17.399999999999999</v>
      </c>
    </row>
    <row r="5664" spans="1:3" ht="15" customHeight="1" x14ac:dyDescent="0.25">
      <c r="A5664" t="s">
        <v>7905</v>
      </c>
      <c r="B5664">
        <v>17.399999999999999</v>
      </c>
    </row>
    <row r="5665" spans="1:3" ht="15" customHeight="1" x14ac:dyDescent="0.25">
      <c r="A5665" t="s">
        <v>7906</v>
      </c>
      <c r="B5665">
        <v>17.399999999999999</v>
      </c>
    </row>
    <row r="5666" spans="1:3" ht="15" customHeight="1" x14ac:dyDescent="0.25">
      <c r="A5666" t="s">
        <v>7907</v>
      </c>
      <c r="B5666">
        <v>17.399999999999999</v>
      </c>
    </row>
    <row r="5667" spans="1:3" ht="15" customHeight="1" x14ac:dyDescent="0.25">
      <c r="A5667" t="s">
        <v>7908</v>
      </c>
      <c r="B5667">
        <v>17.399999999999999</v>
      </c>
      <c r="C5667">
        <v>0.35</v>
      </c>
    </row>
    <row r="5668" spans="1:3" ht="15" customHeight="1" x14ac:dyDescent="0.25">
      <c r="A5668" t="s">
        <v>7909</v>
      </c>
      <c r="B5668">
        <v>17.399999999999999</v>
      </c>
    </row>
    <row r="5669" spans="1:3" ht="15" customHeight="1" x14ac:dyDescent="0.25">
      <c r="A5669" t="s">
        <v>7910</v>
      </c>
      <c r="B5669">
        <v>17.399999999999999</v>
      </c>
      <c r="C5669">
        <v>0.35</v>
      </c>
    </row>
    <row r="5670" spans="1:3" ht="15" customHeight="1" x14ac:dyDescent="0.25">
      <c r="A5670" t="s">
        <v>7911</v>
      </c>
      <c r="B5670">
        <v>17.399999999999999</v>
      </c>
      <c r="C5670">
        <v>0.35</v>
      </c>
    </row>
    <row r="5671" spans="1:3" ht="15" customHeight="1" x14ac:dyDescent="0.25">
      <c r="A5671" t="s">
        <v>7912</v>
      </c>
      <c r="B5671">
        <v>17.399999999999999</v>
      </c>
      <c r="C5671">
        <v>0.35</v>
      </c>
    </row>
    <row r="5672" spans="1:3" ht="15" customHeight="1" x14ac:dyDescent="0.25">
      <c r="A5672" t="s">
        <v>7913</v>
      </c>
      <c r="B5672">
        <v>17.399999999999999</v>
      </c>
    </row>
    <row r="5673" spans="1:3" ht="15" customHeight="1" x14ac:dyDescent="0.25">
      <c r="A5673" t="s">
        <v>7914</v>
      </c>
      <c r="B5673">
        <v>17.399999999999999</v>
      </c>
    </row>
    <row r="5674" spans="1:3" ht="15" customHeight="1" x14ac:dyDescent="0.25">
      <c r="A5674" t="s">
        <v>7915</v>
      </c>
      <c r="B5674">
        <v>17.399999999999999</v>
      </c>
      <c r="C5674">
        <v>0.35</v>
      </c>
    </row>
    <row r="5675" spans="1:3" ht="15" customHeight="1" x14ac:dyDescent="0.25">
      <c r="A5675" t="s">
        <v>7916</v>
      </c>
      <c r="B5675">
        <v>17.399999999999999</v>
      </c>
    </row>
    <row r="5676" spans="1:3" ht="15" customHeight="1" x14ac:dyDescent="0.25">
      <c r="A5676" t="s">
        <v>7917</v>
      </c>
      <c r="B5676">
        <v>17.399999999999999</v>
      </c>
      <c r="C5676">
        <v>0.35</v>
      </c>
    </row>
    <row r="5677" spans="1:3" ht="15" customHeight="1" x14ac:dyDescent="0.25">
      <c r="A5677" t="s">
        <v>7918</v>
      </c>
      <c r="B5677">
        <v>17.399999999999999</v>
      </c>
      <c r="C5677">
        <v>0.35</v>
      </c>
    </row>
    <row r="5678" spans="1:3" ht="15" customHeight="1" x14ac:dyDescent="0.25">
      <c r="A5678" t="s">
        <v>7919</v>
      </c>
      <c r="B5678">
        <v>25.4</v>
      </c>
    </row>
    <row r="5679" spans="1:3" ht="15" customHeight="1" x14ac:dyDescent="0.25">
      <c r="A5679" t="s">
        <v>7920</v>
      </c>
      <c r="B5679">
        <v>25.4</v>
      </c>
    </row>
    <row r="5680" spans="1:3" ht="15" customHeight="1" x14ac:dyDescent="0.25">
      <c r="A5680" t="s">
        <v>7921</v>
      </c>
      <c r="B5680">
        <v>25.4</v>
      </c>
    </row>
    <row r="5681" spans="1:3" ht="15" customHeight="1" x14ac:dyDescent="0.25">
      <c r="A5681" t="s">
        <v>7922</v>
      </c>
      <c r="B5681">
        <v>25.4</v>
      </c>
    </row>
    <row r="5682" spans="1:3" ht="15" customHeight="1" x14ac:dyDescent="0.25">
      <c r="A5682" t="s">
        <v>7923</v>
      </c>
      <c r="B5682">
        <v>25.4</v>
      </c>
    </row>
    <row r="5683" spans="1:3" ht="15" customHeight="1" x14ac:dyDescent="0.25">
      <c r="A5683" t="s">
        <v>7924</v>
      </c>
      <c r="B5683">
        <v>25.4</v>
      </c>
    </row>
    <row r="5684" spans="1:3" ht="15" customHeight="1" x14ac:dyDescent="0.25">
      <c r="A5684" t="s">
        <v>7925</v>
      </c>
      <c r="B5684">
        <v>25.4</v>
      </c>
    </row>
    <row r="5685" spans="1:3" ht="15" customHeight="1" x14ac:dyDescent="0.25">
      <c r="A5685" t="s">
        <v>7926</v>
      </c>
      <c r="B5685">
        <v>25.4</v>
      </c>
    </row>
    <row r="5686" spans="1:3" ht="15" customHeight="1" x14ac:dyDescent="0.25">
      <c r="A5686" t="s">
        <v>7927</v>
      </c>
      <c r="B5686">
        <v>25.4</v>
      </c>
    </row>
    <row r="5687" spans="1:3" ht="15" customHeight="1" x14ac:dyDescent="0.25">
      <c r="A5687" t="s">
        <v>7928</v>
      </c>
      <c r="B5687">
        <v>25.4</v>
      </c>
      <c r="C5687">
        <v>0.35</v>
      </c>
    </row>
    <row r="5688" spans="1:3" ht="15" customHeight="1" x14ac:dyDescent="0.25">
      <c r="A5688" t="s">
        <v>7929</v>
      </c>
      <c r="B5688">
        <v>25.4</v>
      </c>
    </row>
    <row r="5689" spans="1:3" ht="15" customHeight="1" x14ac:dyDescent="0.25">
      <c r="A5689" t="s">
        <v>7930</v>
      </c>
      <c r="B5689">
        <v>25.4</v>
      </c>
    </row>
    <row r="5690" spans="1:3" ht="15" customHeight="1" x14ac:dyDescent="0.25">
      <c r="A5690" t="s">
        <v>7931</v>
      </c>
      <c r="B5690">
        <v>25.4</v>
      </c>
      <c r="C5690">
        <v>0.35</v>
      </c>
    </row>
    <row r="5691" spans="1:3" ht="15" customHeight="1" x14ac:dyDescent="0.25">
      <c r="A5691" t="s">
        <v>7932</v>
      </c>
      <c r="B5691">
        <v>28.9</v>
      </c>
    </row>
    <row r="5692" spans="1:3" ht="15" customHeight="1" x14ac:dyDescent="0.25">
      <c r="A5692" t="s">
        <v>7933</v>
      </c>
      <c r="B5692">
        <v>23.1</v>
      </c>
      <c r="C5692">
        <v>0.35</v>
      </c>
    </row>
    <row r="5693" spans="1:3" ht="15" customHeight="1" x14ac:dyDescent="0.25">
      <c r="A5693" t="s">
        <v>7934</v>
      </c>
      <c r="B5693">
        <v>23.1</v>
      </c>
      <c r="C5693">
        <v>0.35</v>
      </c>
    </row>
    <row r="5694" spans="1:3" ht="15" customHeight="1" x14ac:dyDescent="0.25">
      <c r="A5694" t="s">
        <v>7935</v>
      </c>
      <c r="B5694">
        <v>23.1</v>
      </c>
      <c r="C5694">
        <v>0.35</v>
      </c>
    </row>
    <row r="5695" spans="1:3" ht="15" customHeight="1" x14ac:dyDescent="0.25">
      <c r="A5695" t="s">
        <v>7936</v>
      </c>
      <c r="B5695">
        <v>23.1</v>
      </c>
    </row>
    <row r="5696" spans="1:3" ht="15" customHeight="1" x14ac:dyDescent="0.25">
      <c r="A5696" t="s">
        <v>7937</v>
      </c>
      <c r="B5696">
        <v>23.1</v>
      </c>
      <c r="C5696">
        <v>0.35</v>
      </c>
    </row>
    <row r="5697" spans="1:3" ht="15" customHeight="1" x14ac:dyDescent="0.25">
      <c r="A5697" t="s">
        <v>7938</v>
      </c>
      <c r="B5697">
        <v>23.1</v>
      </c>
      <c r="C5697">
        <v>0.35</v>
      </c>
    </row>
    <row r="5698" spans="1:3" ht="15" customHeight="1" x14ac:dyDescent="0.25">
      <c r="A5698" t="s">
        <v>7939</v>
      </c>
      <c r="B5698">
        <v>21.8</v>
      </c>
      <c r="C5698">
        <v>0.35</v>
      </c>
    </row>
    <row r="5699" spans="1:3" ht="15" customHeight="1" x14ac:dyDescent="0.25">
      <c r="A5699" t="s">
        <v>7940</v>
      </c>
      <c r="B5699">
        <v>21.8</v>
      </c>
    </row>
    <row r="5700" spans="1:3" ht="15" customHeight="1" x14ac:dyDescent="0.25">
      <c r="A5700" t="s">
        <v>7941</v>
      </c>
      <c r="B5700">
        <v>21.8</v>
      </c>
      <c r="C5700">
        <v>0.35</v>
      </c>
    </row>
    <row r="5701" spans="1:3" ht="15" customHeight="1" x14ac:dyDescent="0.25">
      <c r="A5701" t="s">
        <v>7942</v>
      </c>
      <c r="B5701">
        <v>21.8</v>
      </c>
    </row>
    <row r="5702" spans="1:3" ht="15" customHeight="1" x14ac:dyDescent="0.25">
      <c r="A5702" t="s">
        <v>7943</v>
      </c>
      <c r="B5702">
        <v>21.8</v>
      </c>
      <c r="C5702">
        <v>0.35</v>
      </c>
    </row>
    <row r="5703" spans="1:3" ht="15" customHeight="1" x14ac:dyDescent="0.25">
      <c r="A5703" t="s">
        <v>7944</v>
      </c>
      <c r="B5703">
        <v>21.8</v>
      </c>
      <c r="C5703">
        <v>0.35</v>
      </c>
    </row>
    <row r="5704" spans="1:3" ht="15" customHeight="1" x14ac:dyDescent="0.25">
      <c r="A5704" t="s">
        <v>7945</v>
      </c>
      <c r="B5704">
        <v>21.8</v>
      </c>
      <c r="C5704">
        <v>0.35</v>
      </c>
    </row>
    <row r="5705" spans="1:3" ht="15" customHeight="1" x14ac:dyDescent="0.25">
      <c r="A5705" t="s">
        <v>7946</v>
      </c>
      <c r="B5705">
        <v>21.8</v>
      </c>
      <c r="C5705">
        <v>0.35</v>
      </c>
    </row>
    <row r="5706" spans="1:3" ht="15" customHeight="1" x14ac:dyDescent="0.25">
      <c r="A5706" t="s">
        <v>7947</v>
      </c>
      <c r="B5706">
        <v>21.8</v>
      </c>
      <c r="C5706">
        <v>0.35</v>
      </c>
    </row>
    <row r="5707" spans="1:3" ht="15" customHeight="1" x14ac:dyDescent="0.25">
      <c r="A5707" t="s">
        <v>7948</v>
      </c>
      <c r="B5707">
        <v>21.8</v>
      </c>
      <c r="C5707">
        <v>0.35</v>
      </c>
    </row>
    <row r="5708" spans="1:3" ht="15" customHeight="1" x14ac:dyDescent="0.25">
      <c r="A5708" t="s">
        <v>7949</v>
      </c>
      <c r="B5708">
        <v>21.8</v>
      </c>
      <c r="C5708">
        <v>0.35</v>
      </c>
    </row>
    <row r="5709" spans="1:3" ht="15" customHeight="1" x14ac:dyDescent="0.25">
      <c r="A5709" t="s">
        <v>7950</v>
      </c>
      <c r="B5709">
        <v>21.8</v>
      </c>
      <c r="C5709">
        <v>0.35</v>
      </c>
    </row>
    <row r="5710" spans="1:3" ht="15" customHeight="1" x14ac:dyDescent="0.25">
      <c r="A5710" t="s">
        <v>930</v>
      </c>
      <c r="B5710">
        <v>50.3</v>
      </c>
      <c r="C5710">
        <v>0.02</v>
      </c>
    </row>
    <row r="5711" spans="1:3" ht="15" customHeight="1" x14ac:dyDescent="0.25">
      <c r="A5711" t="s">
        <v>1350</v>
      </c>
      <c r="B5711">
        <v>50.3</v>
      </c>
      <c r="C5711">
        <v>0.02</v>
      </c>
    </row>
    <row r="5712" spans="1:3" ht="15" customHeight="1" x14ac:dyDescent="0.25">
      <c r="A5712" t="s">
        <v>7951</v>
      </c>
      <c r="B5712">
        <v>50.3</v>
      </c>
      <c r="C5712">
        <v>0.02</v>
      </c>
    </row>
    <row r="5713" spans="1:3" ht="15" customHeight="1" x14ac:dyDescent="0.25">
      <c r="A5713" t="s">
        <v>490</v>
      </c>
      <c r="B5713">
        <v>50.3</v>
      </c>
      <c r="C5713">
        <v>0.02</v>
      </c>
    </row>
    <row r="5714" spans="1:3" ht="15" customHeight="1" x14ac:dyDescent="0.25">
      <c r="A5714" t="s">
        <v>637</v>
      </c>
      <c r="B5714">
        <v>46.7</v>
      </c>
      <c r="C5714">
        <v>0.03</v>
      </c>
    </row>
    <row r="5715" spans="1:3" ht="15" customHeight="1" x14ac:dyDescent="0.25">
      <c r="A5715" t="s">
        <v>638</v>
      </c>
      <c r="B5715">
        <v>46.7</v>
      </c>
      <c r="C5715">
        <v>0.03</v>
      </c>
    </row>
    <row r="5716" spans="1:3" ht="15" customHeight="1" x14ac:dyDescent="0.25">
      <c r="A5716" t="s">
        <v>1259</v>
      </c>
      <c r="B5716">
        <v>46.7</v>
      </c>
      <c r="C5716">
        <v>0.03</v>
      </c>
    </row>
    <row r="5717" spans="1:3" ht="15" customHeight="1" x14ac:dyDescent="0.25">
      <c r="A5717" t="s">
        <v>1662</v>
      </c>
      <c r="B5717">
        <v>30.6</v>
      </c>
      <c r="C5717">
        <v>0.05</v>
      </c>
    </row>
    <row r="5718" spans="1:3" ht="15" customHeight="1" x14ac:dyDescent="0.25">
      <c r="A5718" t="s">
        <v>7952</v>
      </c>
      <c r="B5718">
        <v>30.6</v>
      </c>
      <c r="C5718">
        <v>0.05</v>
      </c>
    </row>
    <row r="5719" spans="1:3" ht="15" customHeight="1" x14ac:dyDescent="0.25">
      <c r="A5719" t="s">
        <v>7953</v>
      </c>
      <c r="B5719">
        <v>30.6</v>
      </c>
      <c r="C5719">
        <v>0.05</v>
      </c>
    </row>
    <row r="5720" spans="1:3" ht="15" customHeight="1" x14ac:dyDescent="0.25">
      <c r="A5720" t="s">
        <v>7954</v>
      </c>
      <c r="B5720">
        <v>27.9</v>
      </c>
      <c r="C5720">
        <v>0.25</v>
      </c>
    </row>
    <row r="5721" spans="1:3" ht="15" customHeight="1" x14ac:dyDescent="0.25">
      <c r="A5721" t="s">
        <v>7955</v>
      </c>
      <c r="B5721">
        <v>27.9</v>
      </c>
      <c r="C5721">
        <v>0.25</v>
      </c>
    </row>
    <row r="5722" spans="1:3" ht="15" customHeight="1" x14ac:dyDescent="0.25">
      <c r="A5722" t="s">
        <v>7956</v>
      </c>
      <c r="B5722">
        <v>19.600000000000001</v>
      </c>
      <c r="C5722">
        <v>0.12</v>
      </c>
    </row>
    <row r="5723" spans="1:3" ht="15" customHeight="1" x14ac:dyDescent="0.25">
      <c r="A5723" t="s">
        <v>7957</v>
      </c>
      <c r="B5723">
        <v>19.600000000000001</v>
      </c>
      <c r="C5723">
        <v>0.12</v>
      </c>
    </row>
    <row r="5724" spans="1:3" ht="15" customHeight="1" x14ac:dyDescent="0.25">
      <c r="A5724" t="s">
        <v>7958</v>
      </c>
      <c r="B5724">
        <v>19.600000000000001</v>
      </c>
      <c r="C5724">
        <v>0.12</v>
      </c>
    </row>
    <row r="5725" spans="1:3" ht="15" customHeight="1" x14ac:dyDescent="0.25">
      <c r="A5725" t="s">
        <v>7959</v>
      </c>
      <c r="B5725">
        <v>19.600000000000001</v>
      </c>
      <c r="C5725">
        <v>0.12</v>
      </c>
    </row>
    <row r="5726" spans="1:3" ht="15" customHeight="1" x14ac:dyDescent="0.25">
      <c r="A5726" t="s">
        <v>7960</v>
      </c>
      <c r="B5726">
        <v>19.600000000000001</v>
      </c>
      <c r="C5726">
        <v>0.12</v>
      </c>
    </row>
    <row r="5727" spans="1:3" ht="15" customHeight="1" x14ac:dyDescent="0.25">
      <c r="A5727" t="s">
        <v>7961</v>
      </c>
      <c r="B5727">
        <v>19.600000000000001</v>
      </c>
      <c r="C5727">
        <v>0.12</v>
      </c>
    </row>
    <row r="5728" spans="1:3" ht="15" customHeight="1" x14ac:dyDescent="0.25">
      <c r="A5728" t="s">
        <v>7962</v>
      </c>
      <c r="B5728">
        <v>19.3</v>
      </c>
      <c r="C5728">
        <v>0.03</v>
      </c>
    </row>
    <row r="5729" spans="1:3" ht="15" customHeight="1" x14ac:dyDescent="0.25">
      <c r="A5729" t="s">
        <v>888</v>
      </c>
      <c r="B5729">
        <v>19.3</v>
      </c>
      <c r="C5729">
        <v>0.12</v>
      </c>
    </row>
    <row r="5730" spans="1:3" ht="15" customHeight="1" x14ac:dyDescent="0.25">
      <c r="A5730" t="s">
        <v>7963</v>
      </c>
      <c r="B5730">
        <v>19.3</v>
      </c>
      <c r="C5730">
        <v>0.03</v>
      </c>
    </row>
    <row r="5731" spans="1:3" ht="15" customHeight="1" x14ac:dyDescent="0.25">
      <c r="A5731" t="s">
        <v>7964</v>
      </c>
      <c r="B5731">
        <v>19.3</v>
      </c>
      <c r="C5731">
        <v>0.03</v>
      </c>
    </row>
    <row r="5732" spans="1:3" ht="15" customHeight="1" x14ac:dyDescent="0.25">
      <c r="A5732" t="s">
        <v>7965</v>
      </c>
      <c r="B5732">
        <v>19.3</v>
      </c>
      <c r="C5732">
        <v>0.12</v>
      </c>
    </row>
    <row r="5733" spans="1:3" ht="15" customHeight="1" x14ac:dyDescent="0.25">
      <c r="A5733" t="s">
        <v>1727</v>
      </c>
      <c r="B5733">
        <v>19.3</v>
      </c>
      <c r="C5733">
        <v>0.03</v>
      </c>
    </row>
    <row r="5734" spans="1:3" ht="15" customHeight="1" x14ac:dyDescent="0.25">
      <c r="A5734" t="s">
        <v>7966</v>
      </c>
      <c r="B5734">
        <v>19.3</v>
      </c>
      <c r="C5734">
        <v>0.03</v>
      </c>
    </row>
    <row r="5735" spans="1:3" ht="15" customHeight="1" x14ac:dyDescent="0.25">
      <c r="A5735" t="s">
        <v>7967</v>
      </c>
      <c r="B5735">
        <v>19.3</v>
      </c>
      <c r="C5735">
        <v>0.03</v>
      </c>
    </row>
    <row r="5736" spans="1:3" ht="15" customHeight="1" x14ac:dyDescent="0.25">
      <c r="A5736" t="s">
        <v>7968</v>
      </c>
      <c r="B5736">
        <v>19.3</v>
      </c>
      <c r="C5736">
        <v>0.03</v>
      </c>
    </row>
    <row r="5737" spans="1:3" ht="15" customHeight="1" x14ac:dyDescent="0.25">
      <c r="A5737" t="s">
        <v>7969</v>
      </c>
      <c r="B5737">
        <v>19</v>
      </c>
      <c r="C5737">
        <v>0.02</v>
      </c>
    </row>
    <row r="5738" spans="1:3" ht="15" customHeight="1" x14ac:dyDescent="0.25">
      <c r="A5738" t="s">
        <v>7970</v>
      </c>
      <c r="B5738">
        <v>19</v>
      </c>
      <c r="C5738">
        <v>0.02</v>
      </c>
    </row>
    <row r="5739" spans="1:3" ht="15" customHeight="1" x14ac:dyDescent="0.25">
      <c r="A5739" t="s">
        <v>7971</v>
      </c>
      <c r="B5739">
        <v>19</v>
      </c>
      <c r="C5739">
        <v>0.02</v>
      </c>
    </row>
    <row r="5740" spans="1:3" ht="15" customHeight="1" x14ac:dyDescent="0.25">
      <c r="A5740" t="s">
        <v>7972</v>
      </c>
      <c r="B5740">
        <v>29.2</v>
      </c>
      <c r="C5740">
        <v>0.35</v>
      </c>
    </row>
    <row r="5741" spans="1:3" ht="15" customHeight="1" x14ac:dyDescent="0.25">
      <c r="A5741" t="s">
        <v>7973</v>
      </c>
      <c r="B5741">
        <v>20.9</v>
      </c>
      <c r="C5741">
        <v>0.03</v>
      </c>
    </row>
    <row r="5742" spans="1:3" ht="15" customHeight="1" x14ac:dyDescent="0.25">
      <c r="A5742" t="s">
        <v>7974</v>
      </c>
      <c r="B5742">
        <v>20.9</v>
      </c>
      <c r="C5742">
        <v>0.03</v>
      </c>
    </row>
    <row r="5743" spans="1:3" ht="15" customHeight="1" x14ac:dyDescent="0.25">
      <c r="A5743" t="s">
        <v>7975</v>
      </c>
      <c r="B5743">
        <v>20.9</v>
      </c>
      <c r="C5743">
        <v>0.03</v>
      </c>
    </row>
    <row r="5744" spans="1:3" ht="15" customHeight="1" x14ac:dyDescent="0.25">
      <c r="A5744" t="s">
        <v>7976</v>
      </c>
      <c r="B5744">
        <v>20.6</v>
      </c>
      <c r="C5744">
        <v>0.02</v>
      </c>
    </row>
    <row r="5745" spans="1:3" ht="15" customHeight="1" x14ac:dyDescent="0.25">
      <c r="A5745" t="s">
        <v>7977</v>
      </c>
      <c r="B5745">
        <v>20.6</v>
      </c>
      <c r="C5745">
        <v>0.02</v>
      </c>
    </row>
    <row r="5746" spans="1:3" ht="15" customHeight="1" x14ac:dyDescent="0.25">
      <c r="A5746" t="s">
        <v>1342</v>
      </c>
      <c r="B5746">
        <v>24.7</v>
      </c>
      <c r="C5746">
        <v>0.03</v>
      </c>
    </row>
    <row r="5747" spans="1:3" ht="15" customHeight="1" x14ac:dyDescent="0.25">
      <c r="A5747" t="s">
        <v>7978</v>
      </c>
      <c r="B5747">
        <v>23.4</v>
      </c>
      <c r="C5747">
        <v>0.02</v>
      </c>
    </row>
    <row r="5748" spans="1:3" ht="15" customHeight="1" x14ac:dyDescent="0.25">
      <c r="A5748" t="s">
        <v>7979</v>
      </c>
      <c r="B5748">
        <v>23.4</v>
      </c>
      <c r="C5748">
        <v>0.02</v>
      </c>
    </row>
    <row r="5749" spans="1:3" ht="15" customHeight="1" x14ac:dyDescent="0.25">
      <c r="A5749" t="s">
        <v>7980</v>
      </c>
      <c r="B5749">
        <v>18.3</v>
      </c>
      <c r="C5749">
        <v>0.03</v>
      </c>
    </row>
    <row r="5750" spans="1:3" ht="15" customHeight="1" x14ac:dyDescent="0.25">
      <c r="A5750" t="s">
        <v>7981</v>
      </c>
      <c r="B5750">
        <v>18.3</v>
      </c>
      <c r="C5750">
        <v>0.03</v>
      </c>
    </row>
    <row r="5751" spans="1:3" ht="15" customHeight="1" x14ac:dyDescent="0.25">
      <c r="A5751" t="s">
        <v>7982</v>
      </c>
      <c r="B5751">
        <v>18.3</v>
      </c>
      <c r="C5751">
        <v>0.03</v>
      </c>
    </row>
    <row r="5752" spans="1:3" ht="15" customHeight="1" x14ac:dyDescent="0.25">
      <c r="A5752" t="s">
        <v>7983</v>
      </c>
      <c r="B5752">
        <v>25.7</v>
      </c>
      <c r="C5752">
        <v>0.03</v>
      </c>
    </row>
    <row r="5753" spans="1:3" ht="15" customHeight="1" x14ac:dyDescent="0.25">
      <c r="A5753" t="s">
        <v>7984</v>
      </c>
      <c r="B5753">
        <v>25.7</v>
      </c>
      <c r="C5753">
        <v>0.25</v>
      </c>
    </row>
    <row r="5754" spans="1:3" ht="15" customHeight="1" x14ac:dyDescent="0.25">
      <c r="A5754" t="s">
        <v>7985</v>
      </c>
      <c r="B5754">
        <v>25.7</v>
      </c>
      <c r="C5754">
        <v>0.25</v>
      </c>
    </row>
    <row r="5755" spans="1:3" ht="15" customHeight="1" x14ac:dyDescent="0.25">
      <c r="A5755" t="s">
        <v>1509</v>
      </c>
      <c r="B5755">
        <v>24.7</v>
      </c>
      <c r="C5755">
        <v>0.03</v>
      </c>
    </row>
    <row r="5756" spans="1:3" ht="15" customHeight="1" x14ac:dyDescent="0.25">
      <c r="A5756" t="s">
        <v>7986</v>
      </c>
      <c r="B5756">
        <v>24.7</v>
      </c>
      <c r="C5756">
        <v>0.25</v>
      </c>
    </row>
    <row r="5757" spans="1:3" ht="15" customHeight="1" x14ac:dyDescent="0.25">
      <c r="A5757" t="s">
        <v>7987</v>
      </c>
      <c r="B5757">
        <v>24.7</v>
      </c>
      <c r="C5757">
        <v>0.25</v>
      </c>
    </row>
    <row r="5758" spans="1:3" ht="15" customHeight="1" x14ac:dyDescent="0.25">
      <c r="A5758" t="s">
        <v>7988</v>
      </c>
      <c r="B5758">
        <v>20.9</v>
      </c>
      <c r="C5758">
        <v>0.03</v>
      </c>
    </row>
    <row r="5759" spans="1:3" ht="15" customHeight="1" x14ac:dyDescent="0.25">
      <c r="A5759" t="s">
        <v>7989</v>
      </c>
      <c r="B5759">
        <v>20.9</v>
      </c>
      <c r="C5759">
        <v>0.03</v>
      </c>
    </row>
    <row r="5760" spans="1:3" ht="15" customHeight="1" x14ac:dyDescent="0.25">
      <c r="A5760" t="s">
        <v>7990</v>
      </c>
      <c r="B5760">
        <v>20.9</v>
      </c>
      <c r="C5760">
        <v>0.03</v>
      </c>
    </row>
    <row r="5761" spans="1:3" ht="15" customHeight="1" x14ac:dyDescent="0.25">
      <c r="A5761" t="s">
        <v>7991</v>
      </c>
      <c r="B5761">
        <v>19.3</v>
      </c>
      <c r="C5761">
        <v>0.25</v>
      </c>
    </row>
    <row r="5762" spans="1:3" ht="15" customHeight="1" x14ac:dyDescent="0.25">
      <c r="A5762" t="s">
        <v>7992</v>
      </c>
      <c r="B5762">
        <v>19.3</v>
      </c>
      <c r="C5762">
        <v>0.25</v>
      </c>
    </row>
    <row r="5763" spans="1:3" ht="15" customHeight="1" x14ac:dyDescent="0.25">
      <c r="A5763" t="s">
        <v>7993</v>
      </c>
      <c r="B5763">
        <v>19.3</v>
      </c>
      <c r="C5763">
        <v>0.25</v>
      </c>
    </row>
    <row r="5764" spans="1:3" ht="15" customHeight="1" x14ac:dyDescent="0.25">
      <c r="A5764" t="s">
        <v>7994</v>
      </c>
      <c r="B5764">
        <v>19.899999999999999</v>
      </c>
      <c r="C5764">
        <v>0.03</v>
      </c>
    </row>
    <row r="5765" spans="1:3" ht="15" customHeight="1" x14ac:dyDescent="0.25">
      <c r="A5765" t="s">
        <v>7995</v>
      </c>
      <c r="B5765">
        <v>19.899999999999999</v>
      </c>
      <c r="C5765">
        <v>0.12</v>
      </c>
    </row>
    <row r="5766" spans="1:3" ht="15" customHeight="1" x14ac:dyDescent="0.25">
      <c r="A5766" t="s">
        <v>7996</v>
      </c>
      <c r="B5766">
        <v>19.899999999999999</v>
      </c>
      <c r="C5766">
        <v>0.12</v>
      </c>
    </row>
    <row r="5767" spans="1:3" ht="15" customHeight="1" x14ac:dyDescent="0.25">
      <c r="A5767" t="s">
        <v>7997</v>
      </c>
      <c r="B5767">
        <v>19.3</v>
      </c>
      <c r="C5767">
        <v>0.03</v>
      </c>
    </row>
    <row r="5768" spans="1:3" ht="15" customHeight="1" x14ac:dyDescent="0.25">
      <c r="A5768" t="s">
        <v>7998</v>
      </c>
      <c r="B5768">
        <v>19.3</v>
      </c>
      <c r="C5768">
        <v>0.25</v>
      </c>
    </row>
    <row r="5769" spans="1:3" ht="15" customHeight="1" x14ac:dyDescent="0.25">
      <c r="A5769" t="s">
        <v>7999</v>
      </c>
      <c r="B5769">
        <v>19.3</v>
      </c>
      <c r="C5769">
        <v>0.03</v>
      </c>
    </row>
    <row r="5770" spans="1:3" ht="15" customHeight="1" x14ac:dyDescent="0.25">
      <c r="A5770" t="s">
        <v>8000</v>
      </c>
      <c r="B5770">
        <v>18.600000000000001</v>
      </c>
      <c r="C5770">
        <v>0.03</v>
      </c>
    </row>
    <row r="5771" spans="1:3" ht="15" customHeight="1" x14ac:dyDescent="0.25">
      <c r="A5771" t="s">
        <v>8001</v>
      </c>
      <c r="B5771">
        <v>18.600000000000001</v>
      </c>
      <c r="C5771">
        <v>0.03</v>
      </c>
    </row>
    <row r="5772" spans="1:3" ht="15" customHeight="1" x14ac:dyDescent="0.25">
      <c r="A5772" t="s">
        <v>8002</v>
      </c>
      <c r="B5772">
        <v>18.3</v>
      </c>
      <c r="C5772">
        <v>0.03</v>
      </c>
    </row>
    <row r="5773" spans="1:3" ht="15" customHeight="1" x14ac:dyDescent="0.25">
      <c r="A5773" t="s">
        <v>8003</v>
      </c>
      <c r="B5773">
        <v>40</v>
      </c>
      <c r="C5773">
        <v>0.35</v>
      </c>
    </row>
    <row r="5774" spans="1:3" ht="15" customHeight="1" x14ac:dyDescent="0.25">
      <c r="A5774" t="s">
        <v>8004</v>
      </c>
      <c r="B5774">
        <v>26.8</v>
      </c>
      <c r="C5774">
        <v>0.05</v>
      </c>
    </row>
    <row r="5775" spans="1:3" ht="15" customHeight="1" x14ac:dyDescent="0.25">
      <c r="A5775" t="s">
        <v>8005</v>
      </c>
      <c r="B5775">
        <v>26.8</v>
      </c>
      <c r="C5775">
        <v>0.05</v>
      </c>
    </row>
    <row r="5776" spans="1:3" ht="15" customHeight="1" x14ac:dyDescent="0.25">
      <c r="A5776" t="s">
        <v>8006</v>
      </c>
      <c r="B5776">
        <v>26.8</v>
      </c>
      <c r="C5776">
        <v>0.05</v>
      </c>
    </row>
    <row r="5777" spans="1:3" ht="15" customHeight="1" x14ac:dyDescent="0.25">
      <c r="A5777" t="s">
        <v>8007</v>
      </c>
      <c r="B5777">
        <v>26.8</v>
      </c>
      <c r="C5777">
        <v>0.05</v>
      </c>
    </row>
    <row r="5778" spans="1:3" ht="15" customHeight="1" x14ac:dyDescent="0.25">
      <c r="A5778" t="s">
        <v>8008</v>
      </c>
      <c r="B5778">
        <v>31.9</v>
      </c>
      <c r="C5778">
        <v>0.05</v>
      </c>
    </row>
    <row r="5779" spans="1:3" ht="15" customHeight="1" x14ac:dyDescent="0.25">
      <c r="A5779" t="s">
        <v>8009</v>
      </c>
      <c r="B5779">
        <v>31.9</v>
      </c>
      <c r="C5779">
        <v>0.05</v>
      </c>
    </row>
    <row r="5780" spans="1:3" ht="15" customHeight="1" x14ac:dyDescent="0.25">
      <c r="A5780" t="s">
        <v>8010</v>
      </c>
      <c r="B5780">
        <v>31.9</v>
      </c>
      <c r="C5780">
        <v>0.05</v>
      </c>
    </row>
    <row r="5781" spans="1:3" ht="15" customHeight="1" x14ac:dyDescent="0.25">
      <c r="A5781" t="s">
        <v>8011</v>
      </c>
      <c r="B5781">
        <v>31.9</v>
      </c>
      <c r="C5781">
        <v>0.05</v>
      </c>
    </row>
    <row r="5782" spans="1:3" ht="15" customHeight="1" x14ac:dyDescent="0.25">
      <c r="A5782" t="s">
        <v>8012</v>
      </c>
      <c r="B5782">
        <v>21.3</v>
      </c>
      <c r="C5782">
        <v>0.05</v>
      </c>
    </row>
    <row r="5783" spans="1:3" ht="15" customHeight="1" x14ac:dyDescent="0.25">
      <c r="A5783" t="s">
        <v>8013</v>
      </c>
      <c r="B5783">
        <v>21.3</v>
      </c>
      <c r="C5783">
        <v>0.05</v>
      </c>
    </row>
    <row r="5784" spans="1:3" ht="15" customHeight="1" x14ac:dyDescent="0.25">
      <c r="A5784" t="s">
        <v>8014</v>
      </c>
      <c r="B5784">
        <v>40</v>
      </c>
    </row>
    <row r="5785" spans="1:3" ht="15" customHeight="1" x14ac:dyDescent="0.25">
      <c r="A5785" t="s">
        <v>8015</v>
      </c>
      <c r="B5785">
        <v>10.6</v>
      </c>
    </row>
    <row r="5786" spans="1:3" ht="15" customHeight="1" x14ac:dyDescent="0.25">
      <c r="A5786" t="s">
        <v>8016</v>
      </c>
      <c r="B5786">
        <v>21.5</v>
      </c>
      <c r="C5786">
        <v>0.25</v>
      </c>
    </row>
    <row r="5787" spans="1:3" ht="15" customHeight="1" x14ac:dyDescent="0.25">
      <c r="A5787" t="s">
        <v>8017</v>
      </c>
      <c r="B5787">
        <v>21.3</v>
      </c>
      <c r="C5787">
        <v>0.25</v>
      </c>
    </row>
    <row r="5788" spans="1:3" ht="15" customHeight="1" x14ac:dyDescent="0.25">
      <c r="A5788" t="s">
        <v>8018</v>
      </c>
      <c r="B5788">
        <v>28</v>
      </c>
    </row>
    <row r="5789" spans="1:3" ht="15" customHeight="1" x14ac:dyDescent="0.25">
      <c r="A5789" t="s">
        <v>8019</v>
      </c>
      <c r="B5789">
        <v>21.9</v>
      </c>
      <c r="C5789">
        <v>0.25</v>
      </c>
    </row>
    <row r="5790" spans="1:3" ht="15" customHeight="1" x14ac:dyDescent="0.25">
      <c r="A5790" t="s">
        <v>8020</v>
      </c>
      <c r="B5790">
        <v>19.399999999999999</v>
      </c>
    </row>
    <row r="5791" spans="1:3" ht="15" customHeight="1" x14ac:dyDescent="0.25">
      <c r="A5791" t="s">
        <v>8021</v>
      </c>
      <c r="B5791">
        <v>19.100000000000001</v>
      </c>
      <c r="C5791">
        <v>0.25</v>
      </c>
    </row>
    <row r="5792" spans="1:3" ht="15" customHeight="1" x14ac:dyDescent="0.25">
      <c r="A5792" t="s">
        <v>8022</v>
      </c>
      <c r="B5792">
        <v>4.5999999999999996</v>
      </c>
      <c r="C5792">
        <v>0.3</v>
      </c>
    </row>
    <row r="5793" spans="1:3" ht="15" customHeight="1" x14ac:dyDescent="0.25">
      <c r="A5793" t="s">
        <v>8023</v>
      </c>
      <c r="B5793">
        <v>4.5999999999999996</v>
      </c>
      <c r="C5793">
        <v>0.3</v>
      </c>
    </row>
    <row r="5794" spans="1:3" ht="15" customHeight="1" x14ac:dyDescent="0.25">
      <c r="A5794" t="s">
        <v>8024</v>
      </c>
      <c r="B5794">
        <v>6</v>
      </c>
      <c r="C5794">
        <v>0.3</v>
      </c>
    </row>
    <row r="5795" spans="1:3" ht="15" customHeight="1" x14ac:dyDescent="0.25">
      <c r="A5795" t="s">
        <v>8025</v>
      </c>
      <c r="B5795">
        <v>6</v>
      </c>
      <c r="C5795">
        <v>0.3</v>
      </c>
    </row>
    <row r="5796" spans="1:3" ht="15" customHeight="1" x14ac:dyDescent="0.25">
      <c r="A5796" t="s">
        <v>8026</v>
      </c>
      <c r="B5796">
        <v>4.5999999999999996</v>
      </c>
      <c r="C5796">
        <v>0.3</v>
      </c>
    </row>
    <row r="5797" spans="1:3" ht="15" customHeight="1" x14ac:dyDescent="0.25">
      <c r="A5797" t="s">
        <v>8027</v>
      </c>
      <c r="B5797">
        <v>4.4000000000000004</v>
      </c>
      <c r="C5797">
        <v>0.3</v>
      </c>
    </row>
    <row r="5798" spans="1:3" ht="15" customHeight="1" x14ac:dyDescent="0.25">
      <c r="A5798" t="s">
        <v>8028</v>
      </c>
      <c r="B5798">
        <v>4.4000000000000004</v>
      </c>
      <c r="C5798">
        <v>0.3</v>
      </c>
    </row>
    <row r="5799" spans="1:3" ht="15" customHeight="1" x14ac:dyDescent="0.25">
      <c r="A5799" t="s">
        <v>8029</v>
      </c>
      <c r="B5799">
        <v>4.5999999999999996</v>
      </c>
      <c r="C5799">
        <v>0.3</v>
      </c>
    </row>
    <row r="5800" spans="1:3" ht="15" customHeight="1" x14ac:dyDescent="0.25">
      <c r="A5800" t="s">
        <v>8030</v>
      </c>
      <c r="B5800">
        <v>4.5999999999999996</v>
      </c>
      <c r="C5800">
        <v>0.3</v>
      </c>
    </row>
    <row r="5801" spans="1:3" ht="15" customHeight="1" x14ac:dyDescent="0.25">
      <c r="A5801" t="s">
        <v>8031</v>
      </c>
      <c r="B5801">
        <v>4.5999999999999996</v>
      </c>
      <c r="C5801">
        <v>0.3</v>
      </c>
    </row>
    <row r="5802" spans="1:3" ht="15" customHeight="1" x14ac:dyDescent="0.25">
      <c r="A5802" t="s">
        <v>8032</v>
      </c>
      <c r="B5802">
        <v>4.5999999999999996</v>
      </c>
      <c r="C5802">
        <v>0.3</v>
      </c>
    </row>
    <row r="5803" spans="1:3" ht="15" customHeight="1" x14ac:dyDescent="0.25">
      <c r="A5803" t="s">
        <v>8033</v>
      </c>
      <c r="B5803">
        <v>4.5999999999999996</v>
      </c>
      <c r="C5803">
        <v>0.3</v>
      </c>
    </row>
    <row r="5804" spans="1:3" ht="15" customHeight="1" x14ac:dyDescent="0.25">
      <c r="A5804" t="s">
        <v>8034</v>
      </c>
      <c r="B5804">
        <v>4.5999999999999996</v>
      </c>
      <c r="C5804">
        <v>0.3</v>
      </c>
    </row>
    <row r="5805" spans="1:3" ht="15" customHeight="1" x14ac:dyDescent="0.25">
      <c r="A5805" t="s">
        <v>8035</v>
      </c>
      <c r="B5805">
        <v>4.5999999999999996</v>
      </c>
      <c r="C5805">
        <v>0.3</v>
      </c>
    </row>
    <row r="5806" spans="1:3" ht="15" customHeight="1" x14ac:dyDescent="0.25">
      <c r="A5806" t="s">
        <v>8036</v>
      </c>
      <c r="B5806">
        <v>4.5999999999999996</v>
      </c>
      <c r="C5806">
        <v>0.3</v>
      </c>
    </row>
    <row r="5807" spans="1:3" ht="15" customHeight="1" x14ac:dyDescent="0.25">
      <c r="A5807" t="s">
        <v>8037</v>
      </c>
      <c r="B5807">
        <v>4.5999999999999996</v>
      </c>
      <c r="C5807">
        <v>0.3</v>
      </c>
    </row>
    <row r="5808" spans="1:3" ht="15" customHeight="1" x14ac:dyDescent="0.25">
      <c r="A5808" t="s">
        <v>8038</v>
      </c>
      <c r="B5808">
        <v>4.5999999999999996</v>
      </c>
      <c r="C5808">
        <v>0.3</v>
      </c>
    </row>
    <row r="5809" spans="1:3" ht="15" customHeight="1" x14ac:dyDescent="0.25">
      <c r="A5809" t="s">
        <v>8039</v>
      </c>
      <c r="B5809">
        <v>4.7</v>
      </c>
      <c r="C5809">
        <v>0.3</v>
      </c>
    </row>
    <row r="5810" spans="1:3" ht="15" customHeight="1" x14ac:dyDescent="0.25">
      <c r="A5810" t="s">
        <v>8040</v>
      </c>
      <c r="B5810">
        <v>6.5</v>
      </c>
      <c r="C5810">
        <v>0.3</v>
      </c>
    </row>
    <row r="5811" spans="1:3" ht="15" customHeight="1" x14ac:dyDescent="0.25">
      <c r="A5811" t="s">
        <v>8041</v>
      </c>
      <c r="B5811">
        <v>4.5999999999999996</v>
      </c>
    </row>
    <row r="5812" spans="1:3" ht="15" customHeight="1" x14ac:dyDescent="0.25">
      <c r="A5812" t="s">
        <v>8042</v>
      </c>
      <c r="B5812">
        <v>4.8</v>
      </c>
      <c r="C5812">
        <v>0.3</v>
      </c>
    </row>
    <row r="5813" spans="1:3" ht="15" customHeight="1" x14ac:dyDescent="0.25">
      <c r="A5813" t="s">
        <v>1437</v>
      </c>
      <c r="B5813">
        <v>4.8</v>
      </c>
      <c r="C5813">
        <v>0.3</v>
      </c>
    </row>
    <row r="5814" spans="1:3" ht="15" customHeight="1" x14ac:dyDescent="0.25">
      <c r="A5814" t="s">
        <v>8043</v>
      </c>
      <c r="B5814">
        <v>4.8</v>
      </c>
      <c r="C5814">
        <v>0.3</v>
      </c>
    </row>
    <row r="5815" spans="1:3" ht="15" customHeight="1" x14ac:dyDescent="0.25">
      <c r="A5815" t="s">
        <v>8044</v>
      </c>
      <c r="B5815">
        <v>6.7</v>
      </c>
      <c r="C5815">
        <v>0.3</v>
      </c>
    </row>
    <row r="5816" spans="1:3" ht="15" customHeight="1" x14ac:dyDescent="0.25">
      <c r="A5816" t="s">
        <v>252</v>
      </c>
      <c r="B5816">
        <v>6.7</v>
      </c>
      <c r="C5816">
        <v>0.3</v>
      </c>
    </row>
    <row r="5817" spans="1:3" ht="15" customHeight="1" x14ac:dyDescent="0.25">
      <c r="A5817" t="s">
        <v>8045</v>
      </c>
      <c r="B5817">
        <v>6.7</v>
      </c>
      <c r="C5817">
        <v>0.3</v>
      </c>
    </row>
    <row r="5818" spans="1:3" ht="15" customHeight="1" x14ac:dyDescent="0.25">
      <c r="A5818" t="s">
        <v>8046</v>
      </c>
      <c r="B5818">
        <v>6.5</v>
      </c>
      <c r="C5818">
        <v>0.3</v>
      </c>
    </row>
    <row r="5819" spans="1:3" ht="15" customHeight="1" x14ac:dyDescent="0.25">
      <c r="A5819" t="s">
        <v>8047</v>
      </c>
      <c r="B5819">
        <v>6.5</v>
      </c>
      <c r="C5819">
        <v>0.3</v>
      </c>
    </row>
    <row r="5820" spans="1:3" ht="15" customHeight="1" x14ac:dyDescent="0.25">
      <c r="A5820" t="s">
        <v>8048</v>
      </c>
      <c r="B5820">
        <v>7.4</v>
      </c>
    </row>
    <row r="5821" spans="1:3" ht="15" customHeight="1" x14ac:dyDescent="0.25">
      <c r="A5821" t="s">
        <v>8049</v>
      </c>
      <c r="B5821">
        <v>7.4</v>
      </c>
      <c r="C5821">
        <v>0.3</v>
      </c>
    </row>
    <row r="5822" spans="1:3" ht="15" customHeight="1" x14ac:dyDescent="0.25">
      <c r="A5822" t="s">
        <v>8050</v>
      </c>
      <c r="B5822">
        <v>7.4</v>
      </c>
      <c r="C5822">
        <v>0.3</v>
      </c>
    </row>
    <row r="5823" spans="1:3" ht="15" customHeight="1" x14ac:dyDescent="0.25">
      <c r="A5823" t="s">
        <v>8051</v>
      </c>
      <c r="B5823">
        <v>7.4</v>
      </c>
      <c r="C5823">
        <v>0.3</v>
      </c>
    </row>
    <row r="5824" spans="1:3" ht="15" customHeight="1" x14ac:dyDescent="0.25">
      <c r="A5824" t="s">
        <v>8052</v>
      </c>
      <c r="B5824">
        <v>4.5</v>
      </c>
      <c r="C5824">
        <v>0.3</v>
      </c>
    </row>
    <row r="5825" spans="1:3" ht="15" customHeight="1" x14ac:dyDescent="0.25">
      <c r="A5825" t="s">
        <v>8053</v>
      </c>
      <c r="B5825">
        <v>4.5</v>
      </c>
      <c r="C5825">
        <v>0.3</v>
      </c>
    </row>
    <row r="5826" spans="1:3" ht="15" customHeight="1" x14ac:dyDescent="0.25">
      <c r="A5826" t="s">
        <v>8054</v>
      </c>
      <c r="B5826">
        <v>4.5</v>
      </c>
      <c r="C5826">
        <v>0.3</v>
      </c>
    </row>
    <row r="5827" spans="1:3" ht="15" customHeight="1" x14ac:dyDescent="0.25">
      <c r="A5827" t="s">
        <v>8055</v>
      </c>
      <c r="B5827">
        <v>4.5</v>
      </c>
      <c r="C5827">
        <v>0.3</v>
      </c>
    </row>
    <row r="5828" spans="1:3" ht="15" customHeight="1" x14ac:dyDescent="0.25">
      <c r="A5828" t="s">
        <v>8056</v>
      </c>
      <c r="B5828">
        <v>7.3</v>
      </c>
      <c r="C5828">
        <v>0.3</v>
      </c>
    </row>
    <row r="5829" spans="1:3" ht="15" customHeight="1" x14ac:dyDescent="0.25">
      <c r="A5829" t="s">
        <v>8057</v>
      </c>
      <c r="B5829">
        <v>7.3</v>
      </c>
      <c r="C5829">
        <v>0.3</v>
      </c>
    </row>
    <row r="5830" spans="1:3" ht="15" customHeight="1" x14ac:dyDescent="0.25">
      <c r="A5830" t="s">
        <v>8058</v>
      </c>
      <c r="B5830">
        <v>7.3</v>
      </c>
      <c r="C5830">
        <v>0.3</v>
      </c>
    </row>
    <row r="5831" spans="1:3" ht="15" customHeight="1" x14ac:dyDescent="0.25">
      <c r="A5831" t="s">
        <v>8059</v>
      </c>
      <c r="B5831">
        <v>7.3</v>
      </c>
      <c r="C5831">
        <v>0.3</v>
      </c>
    </row>
    <row r="5832" spans="1:3" ht="15" customHeight="1" x14ac:dyDescent="0.25">
      <c r="A5832" t="s">
        <v>8060</v>
      </c>
      <c r="B5832">
        <v>7.3</v>
      </c>
      <c r="C5832">
        <v>0.3</v>
      </c>
    </row>
    <row r="5833" spans="1:3" ht="15" customHeight="1" x14ac:dyDescent="0.25">
      <c r="A5833" t="s">
        <v>8061</v>
      </c>
      <c r="B5833">
        <v>7.3</v>
      </c>
      <c r="C5833">
        <v>0.3</v>
      </c>
    </row>
    <row r="5834" spans="1:3" ht="15" customHeight="1" x14ac:dyDescent="0.25">
      <c r="A5834" t="s">
        <v>8062</v>
      </c>
      <c r="B5834">
        <v>2.1</v>
      </c>
      <c r="C5834">
        <v>0.3</v>
      </c>
    </row>
    <row r="5835" spans="1:3" ht="15" customHeight="1" x14ac:dyDescent="0.25">
      <c r="A5835" t="s">
        <v>8063</v>
      </c>
      <c r="B5835">
        <v>70.8</v>
      </c>
    </row>
    <row r="5836" spans="1:3" ht="15" customHeight="1" x14ac:dyDescent="0.25">
      <c r="A5836" t="s">
        <v>8064</v>
      </c>
      <c r="B5836">
        <v>70.8</v>
      </c>
    </row>
    <row r="5837" spans="1:3" ht="15" customHeight="1" x14ac:dyDescent="0.25">
      <c r="A5837" t="s">
        <v>8065</v>
      </c>
      <c r="B5837">
        <v>65.3</v>
      </c>
    </row>
    <row r="5838" spans="1:3" ht="15" customHeight="1" x14ac:dyDescent="0.25">
      <c r="A5838" t="s">
        <v>8066</v>
      </c>
      <c r="B5838">
        <v>65.3</v>
      </c>
    </row>
    <row r="5839" spans="1:3" ht="15" customHeight="1" x14ac:dyDescent="0.25">
      <c r="A5839" t="s">
        <v>8067</v>
      </c>
      <c r="B5839">
        <v>65.3</v>
      </c>
    </row>
    <row r="5840" spans="1:3" ht="15" customHeight="1" x14ac:dyDescent="0.25">
      <c r="A5840" t="s">
        <v>8068</v>
      </c>
      <c r="B5840">
        <v>100.4</v>
      </c>
    </row>
    <row r="5841" spans="1:2" ht="15" customHeight="1" x14ac:dyDescent="0.25">
      <c r="A5841" t="s">
        <v>8069</v>
      </c>
      <c r="B5841">
        <v>92</v>
      </c>
    </row>
    <row r="5842" spans="1:2" ht="15" customHeight="1" x14ac:dyDescent="0.25">
      <c r="A5842" t="s">
        <v>8070</v>
      </c>
      <c r="B5842">
        <v>92</v>
      </c>
    </row>
    <row r="5843" spans="1:2" ht="15" customHeight="1" x14ac:dyDescent="0.25">
      <c r="A5843" t="s">
        <v>8071</v>
      </c>
      <c r="B5843">
        <v>92</v>
      </c>
    </row>
    <row r="5844" spans="1:2" ht="15" customHeight="1" x14ac:dyDescent="0.25">
      <c r="A5844" t="s">
        <v>8072</v>
      </c>
      <c r="B5844">
        <v>92</v>
      </c>
    </row>
    <row r="5845" spans="1:2" ht="15" customHeight="1" x14ac:dyDescent="0.25">
      <c r="A5845" t="s">
        <v>8073</v>
      </c>
      <c r="B5845">
        <v>70.8</v>
      </c>
    </row>
    <row r="5846" spans="1:2" ht="15" customHeight="1" x14ac:dyDescent="0.25">
      <c r="A5846" t="s">
        <v>8074</v>
      </c>
      <c r="B5846">
        <v>70.8</v>
      </c>
    </row>
    <row r="5847" spans="1:2" ht="15" customHeight="1" x14ac:dyDescent="0.25">
      <c r="A5847" t="s">
        <v>8075</v>
      </c>
      <c r="B5847">
        <v>65.3</v>
      </c>
    </row>
    <row r="5848" spans="1:2" ht="15" customHeight="1" x14ac:dyDescent="0.25">
      <c r="A5848" t="s">
        <v>8076</v>
      </c>
      <c r="B5848">
        <v>65.3</v>
      </c>
    </row>
    <row r="5849" spans="1:2" ht="15" customHeight="1" x14ac:dyDescent="0.25">
      <c r="A5849" t="s">
        <v>8077</v>
      </c>
      <c r="B5849">
        <v>65.3</v>
      </c>
    </row>
    <row r="5850" spans="1:2" ht="15" customHeight="1" x14ac:dyDescent="0.25">
      <c r="A5850" t="s">
        <v>8078</v>
      </c>
      <c r="B5850">
        <v>70.8</v>
      </c>
    </row>
    <row r="5851" spans="1:2" ht="15" customHeight="1" x14ac:dyDescent="0.25">
      <c r="A5851" t="s">
        <v>8079</v>
      </c>
      <c r="B5851">
        <v>70.8</v>
      </c>
    </row>
    <row r="5852" spans="1:2" ht="15" customHeight="1" x14ac:dyDescent="0.25">
      <c r="A5852" t="s">
        <v>8080</v>
      </c>
      <c r="B5852">
        <v>65.3</v>
      </c>
    </row>
    <row r="5853" spans="1:2" ht="15" customHeight="1" x14ac:dyDescent="0.25">
      <c r="A5853" t="s">
        <v>8081</v>
      </c>
      <c r="B5853">
        <v>65.3</v>
      </c>
    </row>
    <row r="5854" spans="1:2" ht="15" customHeight="1" x14ac:dyDescent="0.25">
      <c r="A5854" t="s">
        <v>8082</v>
      </c>
      <c r="B5854">
        <v>65.3</v>
      </c>
    </row>
    <row r="5855" spans="1:2" ht="15" customHeight="1" x14ac:dyDescent="0.25">
      <c r="A5855" t="s">
        <v>8083</v>
      </c>
      <c r="B5855">
        <v>90</v>
      </c>
    </row>
    <row r="5856" spans="1:2" ht="15" customHeight="1" x14ac:dyDescent="0.25">
      <c r="A5856" t="s">
        <v>8084</v>
      </c>
      <c r="B5856">
        <v>90</v>
      </c>
    </row>
    <row r="5857" spans="1:2" ht="15" customHeight="1" x14ac:dyDescent="0.25">
      <c r="A5857" t="s">
        <v>8085</v>
      </c>
      <c r="B5857">
        <v>90</v>
      </c>
    </row>
    <row r="5858" spans="1:2" ht="15" customHeight="1" x14ac:dyDescent="0.25">
      <c r="A5858" t="s">
        <v>8086</v>
      </c>
      <c r="B5858">
        <v>90</v>
      </c>
    </row>
    <row r="5859" spans="1:2" ht="15" customHeight="1" x14ac:dyDescent="0.25">
      <c r="A5859" t="s">
        <v>8087</v>
      </c>
      <c r="B5859">
        <v>90</v>
      </c>
    </row>
    <row r="5860" spans="1:2" ht="15" customHeight="1" x14ac:dyDescent="0.25">
      <c r="A5860" t="s">
        <v>8088</v>
      </c>
      <c r="B5860">
        <v>90</v>
      </c>
    </row>
    <row r="5861" spans="1:2" ht="15" customHeight="1" x14ac:dyDescent="0.25">
      <c r="A5861" t="s">
        <v>8089</v>
      </c>
      <c r="B5861">
        <v>90</v>
      </c>
    </row>
    <row r="5862" spans="1:2" ht="15" customHeight="1" x14ac:dyDescent="0.25">
      <c r="A5862" t="s">
        <v>8090</v>
      </c>
      <c r="B5862">
        <v>90</v>
      </c>
    </row>
    <row r="5863" spans="1:2" ht="15" customHeight="1" x14ac:dyDescent="0.25">
      <c r="A5863" t="s">
        <v>8091</v>
      </c>
      <c r="B5863">
        <v>90</v>
      </c>
    </row>
    <row r="5864" spans="1:2" ht="15" customHeight="1" x14ac:dyDescent="0.25">
      <c r="A5864" t="s">
        <v>8092</v>
      </c>
      <c r="B5864">
        <v>90</v>
      </c>
    </row>
    <row r="5865" spans="1:2" ht="15" customHeight="1" x14ac:dyDescent="0.25">
      <c r="A5865" t="s">
        <v>8093</v>
      </c>
      <c r="B5865">
        <v>73.5</v>
      </c>
    </row>
    <row r="5866" spans="1:2" ht="15" customHeight="1" x14ac:dyDescent="0.25">
      <c r="A5866" t="s">
        <v>8094</v>
      </c>
      <c r="B5866">
        <v>73.5</v>
      </c>
    </row>
    <row r="5867" spans="1:2" ht="15" customHeight="1" x14ac:dyDescent="0.25">
      <c r="A5867" t="s">
        <v>8095</v>
      </c>
      <c r="B5867">
        <v>73.5</v>
      </c>
    </row>
    <row r="5868" spans="1:2" ht="15" customHeight="1" x14ac:dyDescent="0.25">
      <c r="A5868" t="s">
        <v>8096</v>
      </c>
      <c r="B5868">
        <v>73.5</v>
      </c>
    </row>
    <row r="5869" spans="1:2" ht="15" customHeight="1" x14ac:dyDescent="0.25">
      <c r="A5869" t="s">
        <v>8097</v>
      </c>
      <c r="B5869">
        <v>73.5</v>
      </c>
    </row>
    <row r="5870" spans="1:2" ht="15" customHeight="1" x14ac:dyDescent="0.25">
      <c r="A5870" t="s">
        <v>8098</v>
      </c>
      <c r="B5870">
        <v>73.5</v>
      </c>
    </row>
    <row r="5871" spans="1:2" ht="15" customHeight="1" x14ac:dyDescent="0.25">
      <c r="A5871" t="s">
        <v>8099</v>
      </c>
      <c r="B5871">
        <v>73.5</v>
      </c>
    </row>
    <row r="5872" spans="1:2" ht="15" customHeight="1" x14ac:dyDescent="0.25">
      <c r="A5872" t="s">
        <v>8100</v>
      </c>
      <c r="B5872">
        <v>73.5</v>
      </c>
    </row>
    <row r="5873" spans="1:3" ht="15" customHeight="1" x14ac:dyDescent="0.25">
      <c r="A5873" t="s">
        <v>8101</v>
      </c>
      <c r="B5873">
        <v>73.5</v>
      </c>
      <c r="C5873">
        <v>0.7</v>
      </c>
    </row>
    <row r="5874" spans="1:3" ht="15" customHeight="1" x14ac:dyDescent="0.25">
      <c r="A5874" t="s">
        <v>8102</v>
      </c>
      <c r="B5874">
        <v>73.5</v>
      </c>
      <c r="C5874">
        <v>0.7</v>
      </c>
    </row>
    <row r="5875" spans="1:3" ht="15" customHeight="1" x14ac:dyDescent="0.25">
      <c r="A5875" t="s">
        <v>8103</v>
      </c>
      <c r="B5875">
        <v>73.5</v>
      </c>
    </row>
    <row r="5876" spans="1:3" ht="15" customHeight="1" x14ac:dyDescent="0.25">
      <c r="A5876" t="s">
        <v>8104</v>
      </c>
      <c r="B5876">
        <v>73.5</v>
      </c>
    </row>
    <row r="5877" spans="1:3" ht="15" customHeight="1" x14ac:dyDescent="0.25">
      <c r="A5877" t="s">
        <v>8105</v>
      </c>
      <c r="B5877">
        <v>73.5</v>
      </c>
      <c r="C5877">
        <v>0.7</v>
      </c>
    </row>
    <row r="5878" spans="1:3" ht="15" customHeight="1" x14ac:dyDescent="0.25">
      <c r="A5878" t="s">
        <v>8106</v>
      </c>
      <c r="B5878">
        <v>73.5</v>
      </c>
    </row>
    <row r="5879" spans="1:3" ht="15" customHeight="1" x14ac:dyDescent="0.25">
      <c r="A5879" t="s">
        <v>8107</v>
      </c>
      <c r="B5879">
        <v>100.4</v>
      </c>
    </row>
    <row r="5880" spans="1:3" ht="15" customHeight="1" x14ac:dyDescent="0.25">
      <c r="A5880" t="s">
        <v>8108</v>
      </c>
      <c r="B5880">
        <v>100.4</v>
      </c>
    </row>
    <row r="5881" spans="1:3" ht="15" customHeight="1" x14ac:dyDescent="0.25">
      <c r="A5881" t="s">
        <v>8109</v>
      </c>
      <c r="B5881">
        <v>100.4</v>
      </c>
    </row>
    <row r="5882" spans="1:3" ht="15" customHeight="1" x14ac:dyDescent="0.25">
      <c r="A5882" t="s">
        <v>8110</v>
      </c>
      <c r="B5882">
        <v>100.4</v>
      </c>
    </row>
    <row r="5883" spans="1:3" ht="15" customHeight="1" x14ac:dyDescent="0.25">
      <c r="A5883" t="s">
        <v>8111</v>
      </c>
      <c r="B5883">
        <v>100.4</v>
      </c>
    </row>
    <row r="5884" spans="1:3" ht="15" customHeight="1" x14ac:dyDescent="0.25">
      <c r="A5884" t="s">
        <v>8112</v>
      </c>
      <c r="B5884">
        <v>100.4</v>
      </c>
    </row>
    <row r="5885" spans="1:3" ht="15" customHeight="1" x14ac:dyDescent="0.25">
      <c r="A5885" t="s">
        <v>8113</v>
      </c>
      <c r="B5885">
        <v>100.4</v>
      </c>
    </row>
    <row r="5886" spans="1:3" ht="15" customHeight="1" x14ac:dyDescent="0.25">
      <c r="A5886" t="s">
        <v>8114</v>
      </c>
      <c r="B5886">
        <v>100.4</v>
      </c>
    </row>
    <row r="5887" spans="1:3" ht="15" customHeight="1" x14ac:dyDescent="0.25">
      <c r="A5887" t="s">
        <v>8115</v>
      </c>
      <c r="B5887">
        <v>100.4</v>
      </c>
    </row>
    <row r="5888" spans="1:3" ht="15" customHeight="1" x14ac:dyDescent="0.25">
      <c r="A5888" t="s">
        <v>8116</v>
      </c>
      <c r="B5888">
        <v>100.4</v>
      </c>
    </row>
    <row r="5889" spans="1:2" ht="15" customHeight="1" x14ac:dyDescent="0.25">
      <c r="A5889" t="s">
        <v>8117</v>
      </c>
      <c r="B5889">
        <v>100.4</v>
      </c>
    </row>
    <row r="5890" spans="1:2" ht="15" customHeight="1" x14ac:dyDescent="0.25">
      <c r="A5890" t="s">
        <v>8118</v>
      </c>
      <c r="B5890">
        <v>100.4</v>
      </c>
    </row>
    <row r="5891" spans="1:2" ht="15" customHeight="1" x14ac:dyDescent="0.25">
      <c r="A5891" t="s">
        <v>8119</v>
      </c>
      <c r="B5891">
        <v>100.2</v>
      </c>
    </row>
    <row r="5892" spans="1:2" ht="15" customHeight="1" x14ac:dyDescent="0.25">
      <c r="A5892" t="s">
        <v>8120</v>
      </c>
      <c r="B5892">
        <v>100.2</v>
      </c>
    </row>
    <row r="5893" spans="1:2" ht="15" customHeight="1" x14ac:dyDescent="0.25">
      <c r="A5893" t="s">
        <v>8121</v>
      </c>
      <c r="B5893">
        <v>100.2</v>
      </c>
    </row>
    <row r="5894" spans="1:2" ht="15" customHeight="1" x14ac:dyDescent="0.25">
      <c r="A5894" t="s">
        <v>8122</v>
      </c>
      <c r="B5894">
        <v>100.2</v>
      </c>
    </row>
    <row r="5895" spans="1:2" ht="15" customHeight="1" x14ac:dyDescent="0.25">
      <c r="A5895" t="s">
        <v>8123</v>
      </c>
      <c r="B5895">
        <v>100.2</v>
      </c>
    </row>
    <row r="5896" spans="1:2" ht="15" customHeight="1" x14ac:dyDescent="0.25">
      <c r="A5896" t="s">
        <v>8124</v>
      </c>
      <c r="B5896">
        <v>100.2</v>
      </c>
    </row>
    <row r="5897" spans="1:2" ht="15" customHeight="1" x14ac:dyDescent="0.25">
      <c r="A5897" t="s">
        <v>8125</v>
      </c>
      <c r="B5897">
        <v>71.5</v>
      </c>
    </row>
    <row r="5898" spans="1:2" ht="15" customHeight="1" x14ac:dyDescent="0.25">
      <c r="A5898" t="s">
        <v>8126</v>
      </c>
      <c r="B5898">
        <v>71.5</v>
      </c>
    </row>
    <row r="5899" spans="1:2" ht="15" customHeight="1" x14ac:dyDescent="0.25">
      <c r="A5899" t="s">
        <v>8127</v>
      </c>
      <c r="B5899">
        <v>71.5</v>
      </c>
    </row>
    <row r="5900" spans="1:2" ht="15" customHeight="1" x14ac:dyDescent="0.25">
      <c r="A5900" t="s">
        <v>8128</v>
      </c>
      <c r="B5900">
        <v>71.5</v>
      </c>
    </row>
    <row r="5901" spans="1:2" ht="15" customHeight="1" x14ac:dyDescent="0.25">
      <c r="A5901" t="s">
        <v>8129</v>
      </c>
      <c r="B5901">
        <v>95.7</v>
      </c>
    </row>
    <row r="5902" spans="1:2" ht="15" customHeight="1" x14ac:dyDescent="0.25">
      <c r="A5902" t="s">
        <v>8130</v>
      </c>
      <c r="B5902">
        <v>95.7</v>
      </c>
    </row>
    <row r="5903" spans="1:2" ht="15" customHeight="1" x14ac:dyDescent="0.25">
      <c r="A5903" t="s">
        <v>8131</v>
      </c>
      <c r="B5903">
        <v>92</v>
      </c>
    </row>
    <row r="5904" spans="1:2" ht="15" customHeight="1" x14ac:dyDescent="0.25">
      <c r="A5904" t="s">
        <v>8132</v>
      </c>
      <c r="B5904">
        <v>92</v>
      </c>
    </row>
    <row r="5905" spans="1:3" ht="15" customHeight="1" x14ac:dyDescent="0.25">
      <c r="A5905" t="s">
        <v>8133</v>
      </c>
      <c r="B5905">
        <v>92</v>
      </c>
    </row>
    <row r="5906" spans="1:3" ht="15" customHeight="1" x14ac:dyDescent="0.25">
      <c r="A5906" t="s">
        <v>8134</v>
      </c>
      <c r="B5906">
        <v>92</v>
      </c>
    </row>
    <row r="5907" spans="1:3" ht="15" customHeight="1" x14ac:dyDescent="0.25">
      <c r="A5907" t="s">
        <v>8135</v>
      </c>
      <c r="B5907">
        <v>92</v>
      </c>
    </row>
    <row r="5908" spans="1:3" ht="15" customHeight="1" x14ac:dyDescent="0.25">
      <c r="A5908" t="s">
        <v>8136</v>
      </c>
      <c r="B5908">
        <v>92</v>
      </c>
    </row>
    <row r="5909" spans="1:3" ht="15" customHeight="1" x14ac:dyDescent="0.25">
      <c r="A5909" t="s">
        <v>8137</v>
      </c>
      <c r="B5909">
        <v>92</v>
      </c>
      <c r="C5909">
        <v>0.7</v>
      </c>
    </row>
    <row r="5910" spans="1:3" ht="15" customHeight="1" x14ac:dyDescent="0.25">
      <c r="A5910" t="s">
        <v>8138</v>
      </c>
      <c r="B5910">
        <v>92</v>
      </c>
      <c r="C5910">
        <v>0.7</v>
      </c>
    </row>
    <row r="5911" spans="1:3" ht="15" customHeight="1" x14ac:dyDescent="0.25">
      <c r="A5911" t="s">
        <v>8139</v>
      </c>
      <c r="B5911">
        <v>92</v>
      </c>
      <c r="C5911">
        <v>0.7</v>
      </c>
    </row>
    <row r="5912" spans="1:3" ht="15" customHeight="1" x14ac:dyDescent="0.25">
      <c r="A5912" t="s">
        <v>8140</v>
      </c>
      <c r="B5912">
        <v>92</v>
      </c>
      <c r="C5912">
        <v>0.7</v>
      </c>
    </row>
    <row r="5913" spans="1:3" ht="15" customHeight="1" x14ac:dyDescent="0.25">
      <c r="A5913" t="s">
        <v>8141</v>
      </c>
      <c r="B5913">
        <v>92</v>
      </c>
    </row>
    <row r="5914" spans="1:3" ht="15" customHeight="1" x14ac:dyDescent="0.25">
      <c r="A5914" t="s">
        <v>8142</v>
      </c>
      <c r="B5914">
        <v>92</v>
      </c>
    </row>
    <row r="5915" spans="1:3" ht="15" customHeight="1" x14ac:dyDescent="0.25">
      <c r="A5915" t="s">
        <v>8143</v>
      </c>
      <c r="B5915">
        <v>108.8</v>
      </c>
    </row>
    <row r="5916" spans="1:3" ht="15" customHeight="1" x14ac:dyDescent="0.25">
      <c r="A5916" t="s">
        <v>8144</v>
      </c>
      <c r="B5916">
        <v>108.8</v>
      </c>
    </row>
    <row r="5917" spans="1:3" ht="15" customHeight="1" x14ac:dyDescent="0.25">
      <c r="A5917" t="s">
        <v>8145</v>
      </c>
      <c r="B5917">
        <v>108.8</v>
      </c>
    </row>
    <row r="5918" spans="1:3" ht="15" customHeight="1" x14ac:dyDescent="0.25">
      <c r="A5918" t="s">
        <v>8146</v>
      </c>
      <c r="B5918">
        <v>83.6</v>
      </c>
    </row>
    <row r="5919" spans="1:3" ht="15" customHeight="1" x14ac:dyDescent="0.25">
      <c r="A5919" t="s">
        <v>8147</v>
      </c>
      <c r="B5919">
        <v>83.6</v>
      </c>
    </row>
    <row r="5920" spans="1:3" ht="15" customHeight="1" x14ac:dyDescent="0.25">
      <c r="A5920" t="s">
        <v>8148</v>
      </c>
      <c r="B5920">
        <v>83.6</v>
      </c>
      <c r="C5920">
        <v>0.7</v>
      </c>
    </row>
    <row r="5921" spans="1:3" ht="15" customHeight="1" x14ac:dyDescent="0.25">
      <c r="A5921" t="s">
        <v>8149</v>
      </c>
      <c r="B5921">
        <v>83.6</v>
      </c>
      <c r="C5921">
        <v>0.7</v>
      </c>
    </row>
    <row r="5922" spans="1:3" ht="15" customHeight="1" x14ac:dyDescent="0.25">
      <c r="A5922" t="s">
        <v>8150</v>
      </c>
      <c r="B5922">
        <v>65.3</v>
      </c>
    </row>
    <row r="5923" spans="1:3" ht="15" customHeight="1" x14ac:dyDescent="0.25">
      <c r="A5923" t="s">
        <v>8151</v>
      </c>
      <c r="B5923">
        <v>65.3</v>
      </c>
    </row>
    <row r="5924" spans="1:3" ht="15" customHeight="1" x14ac:dyDescent="0.25">
      <c r="A5924" t="s">
        <v>8152</v>
      </c>
      <c r="B5924">
        <v>65.3</v>
      </c>
    </row>
    <row r="5925" spans="1:3" ht="15" customHeight="1" x14ac:dyDescent="0.25">
      <c r="A5925" t="s">
        <v>8153</v>
      </c>
      <c r="B5925">
        <v>73.5</v>
      </c>
    </row>
    <row r="5926" spans="1:3" ht="15" customHeight="1" x14ac:dyDescent="0.25">
      <c r="A5926" t="s">
        <v>8154</v>
      </c>
      <c r="B5926">
        <v>57.1</v>
      </c>
    </row>
    <row r="5927" spans="1:3" ht="15" customHeight="1" x14ac:dyDescent="0.25">
      <c r="A5927" t="s">
        <v>8155</v>
      </c>
      <c r="B5927">
        <v>57.1</v>
      </c>
    </row>
    <row r="5928" spans="1:3" ht="15" customHeight="1" x14ac:dyDescent="0.25">
      <c r="A5928" t="s">
        <v>8156</v>
      </c>
      <c r="B5928">
        <v>57.1</v>
      </c>
    </row>
    <row r="5929" spans="1:3" ht="15" customHeight="1" x14ac:dyDescent="0.25">
      <c r="A5929" t="s">
        <v>8157</v>
      </c>
      <c r="B5929">
        <v>65.3</v>
      </c>
    </row>
    <row r="5930" spans="1:3" ht="15" customHeight="1" x14ac:dyDescent="0.25">
      <c r="A5930" t="s">
        <v>8158</v>
      </c>
      <c r="B5930">
        <v>65.3</v>
      </c>
    </row>
    <row r="5931" spans="1:3" ht="15" customHeight="1" x14ac:dyDescent="0.25">
      <c r="A5931" t="s">
        <v>8159</v>
      </c>
      <c r="B5931">
        <v>65.3</v>
      </c>
    </row>
    <row r="5932" spans="1:3" ht="15" customHeight="1" x14ac:dyDescent="0.25">
      <c r="A5932" t="s">
        <v>8160</v>
      </c>
      <c r="B5932">
        <v>65.3</v>
      </c>
    </row>
    <row r="5933" spans="1:3" ht="15" customHeight="1" x14ac:dyDescent="0.25">
      <c r="A5933" t="s">
        <v>8161</v>
      </c>
      <c r="B5933">
        <v>73.5</v>
      </c>
    </row>
    <row r="5934" spans="1:3" ht="15" customHeight="1" x14ac:dyDescent="0.25">
      <c r="A5934" t="s">
        <v>8162</v>
      </c>
      <c r="B5934">
        <v>73.5</v>
      </c>
    </row>
    <row r="5935" spans="1:3" ht="15" customHeight="1" x14ac:dyDescent="0.25">
      <c r="A5935" t="s">
        <v>8163</v>
      </c>
      <c r="B5935">
        <v>65.3</v>
      </c>
    </row>
    <row r="5936" spans="1:3" ht="15" customHeight="1" x14ac:dyDescent="0.25">
      <c r="A5936" t="s">
        <v>8164</v>
      </c>
      <c r="B5936">
        <v>73.5</v>
      </c>
    </row>
    <row r="5937" spans="1:2" ht="15" customHeight="1" x14ac:dyDescent="0.25">
      <c r="A5937" t="s">
        <v>8165</v>
      </c>
      <c r="B5937">
        <v>83.6</v>
      </c>
    </row>
    <row r="5938" spans="1:2" ht="15" customHeight="1" x14ac:dyDescent="0.25">
      <c r="A5938" t="s">
        <v>8166</v>
      </c>
      <c r="B5938">
        <v>65.099999999999994</v>
      </c>
    </row>
    <row r="5939" spans="1:2" ht="15" customHeight="1" x14ac:dyDescent="0.25">
      <c r="A5939" t="s">
        <v>8167</v>
      </c>
      <c r="B5939">
        <v>65.099999999999994</v>
      </c>
    </row>
    <row r="5940" spans="1:2" ht="15" customHeight="1" x14ac:dyDescent="0.25">
      <c r="A5940" t="s">
        <v>8168</v>
      </c>
      <c r="B5940">
        <v>57.1</v>
      </c>
    </row>
    <row r="5941" spans="1:2" ht="15" customHeight="1" x14ac:dyDescent="0.25">
      <c r="A5941" t="s">
        <v>8169</v>
      </c>
      <c r="B5941">
        <v>57.1</v>
      </c>
    </row>
    <row r="5942" spans="1:2" ht="15" customHeight="1" x14ac:dyDescent="0.25">
      <c r="A5942" t="s">
        <v>8170</v>
      </c>
      <c r="B5942">
        <v>65.099999999999994</v>
      </c>
    </row>
    <row r="5943" spans="1:2" ht="15" customHeight="1" x14ac:dyDescent="0.25">
      <c r="A5943" t="s">
        <v>8171</v>
      </c>
      <c r="B5943">
        <v>65.099999999999994</v>
      </c>
    </row>
    <row r="5944" spans="1:2" ht="15" customHeight="1" x14ac:dyDescent="0.25">
      <c r="A5944" t="s">
        <v>8172</v>
      </c>
      <c r="B5944">
        <v>65.099999999999994</v>
      </c>
    </row>
    <row r="5945" spans="1:2" ht="15" customHeight="1" x14ac:dyDescent="0.25">
      <c r="A5945" t="s">
        <v>8173</v>
      </c>
      <c r="B5945">
        <v>73.3</v>
      </c>
    </row>
    <row r="5946" spans="1:2" ht="15" customHeight="1" x14ac:dyDescent="0.25">
      <c r="A5946" t="s">
        <v>8174</v>
      </c>
      <c r="B5946">
        <v>65.099999999999994</v>
      </c>
    </row>
    <row r="5947" spans="1:2" ht="15" customHeight="1" x14ac:dyDescent="0.25">
      <c r="A5947" t="s">
        <v>8175</v>
      </c>
      <c r="B5947">
        <v>70.599999999999994</v>
      </c>
    </row>
    <row r="5948" spans="1:2" ht="15" customHeight="1" x14ac:dyDescent="0.25">
      <c r="A5948" t="s">
        <v>8176</v>
      </c>
      <c r="B5948">
        <v>65.099999999999994</v>
      </c>
    </row>
    <row r="5949" spans="1:2" ht="15" customHeight="1" x14ac:dyDescent="0.25">
      <c r="A5949" t="s">
        <v>8177</v>
      </c>
      <c r="B5949">
        <v>73.3</v>
      </c>
    </row>
    <row r="5950" spans="1:2" ht="15" customHeight="1" x14ac:dyDescent="0.25">
      <c r="A5950" t="s">
        <v>8178</v>
      </c>
      <c r="B5950">
        <v>65.099999999999994</v>
      </c>
    </row>
    <row r="5951" spans="1:2" ht="15" customHeight="1" x14ac:dyDescent="0.25">
      <c r="A5951" t="s">
        <v>8179</v>
      </c>
      <c r="B5951">
        <v>65.099999999999994</v>
      </c>
    </row>
    <row r="5952" spans="1:2" ht="15" customHeight="1" x14ac:dyDescent="0.25">
      <c r="A5952" t="s">
        <v>8180</v>
      </c>
      <c r="B5952">
        <v>65.099999999999994</v>
      </c>
    </row>
    <row r="5953" spans="1:3" ht="15" customHeight="1" x14ac:dyDescent="0.25">
      <c r="A5953" t="s">
        <v>8181</v>
      </c>
      <c r="B5953">
        <v>73.3</v>
      </c>
    </row>
    <row r="5954" spans="1:3" ht="15" customHeight="1" x14ac:dyDescent="0.25">
      <c r="A5954" t="s">
        <v>8182</v>
      </c>
      <c r="B5954">
        <v>67.3</v>
      </c>
      <c r="C5954">
        <v>0.7</v>
      </c>
    </row>
    <row r="5955" spans="1:3" ht="15" customHeight="1" x14ac:dyDescent="0.25">
      <c r="A5955" t="s">
        <v>8183</v>
      </c>
      <c r="B5955">
        <v>74.8</v>
      </c>
    </row>
    <row r="5956" spans="1:3" ht="15" customHeight="1" x14ac:dyDescent="0.25">
      <c r="A5956" t="s">
        <v>8184</v>
      </c>
      <c r="B5956">
        <v>67.3</v>
      </c>
    </row>
    <row r="5957" spans="1:3" ht="15" customHeight="1" x14ac:dyDescent="0.25">
      <c r="A5957" t="s">
        <v>8185</v>
      </c>
      <c r="B5957">
        <v>74.8</v>
      </c>
    </row>
    <row r="5958" spans="1:3" ht="15" customHeight="1" x14ac:dyDescent="0.25">
      <c r="A5958" t="s">
        <v>8186</v>
      </c>
      <c r="B5958">
        <v>67.3</v>
      </c>
    </row>
    <row r="5959" spans="1:3" ht="15" customHeight="1" x14ac:dyDescent="0.25">
      <c r="A5959" t="s">
        <v>8187</v>
      </c>
      <c r="B5959">
        <v>74.8</v>
      </c>
    </row>
    <row r="5960" spans="1:3" ht="15" customHeight="1" x14ac:dyDescent="0.25">
      <c r="A5960" t="s">
        <v>8188</v>
      </c>
      <c r="B5960">
        <v>67.3</v>
      </c>
    </row>
    <row r="5961" spans="1:3" ht="15" customHeight="1" x14ac:dyDescent="0.25">
      <c r="A5961" t="s">
        <v>8189</v>
      </c>
      <c r="B5961">
        <v>74.8</v>
      </c>
    </row>
    <row r="5962" spans="1:3" ht="15" customHeight="1" x14ac:dyDescent="0.25">
      <c r="A5962" t="s">
        <v>8190</v>
      </c>
      <c r="B5962">
        <v>61.7</v>
      </c>
    </row>
    <row r="5963" spans="1:3" ht="15" customHeight="1" x14ac:dyDescent="0.25">
      <c r="A5963" t="s">
        <v>8191</v>
      </c>
      <c r="B5963">
        <v>61.7</v>
      </c>
    </row>
    <row r="5964" spans="1:3" ht="15" customHeight="1" x14ac:dyDescent="0.25">
      <c r="A5964" t="s">
        <v>8192</v>
      </c>
      <c r="B5964">
        <v>61.7</v>
      </c>
    </row>
    <row r="5965" spans="1:3" ht="15" customHeight="1" x14ac:dyDescent="0.25">
      <c r="A5965" t="s">
        <v>8193</v>
      </c>
      <c r="B5965">
        <v>69.400000000000006</v>
      </c>
    </row>
    <row r="5966" spans="1:3" ht="15" customHeight="1" x14ac:dyDescent="0.25">
      <c r="A5966" t="s">
        <v>8194</v>
      </c>
      <c r="B5966">
        <v>53.9</v>
      </c>
    </row>
    <row r="5967" spans="1:3" ht="15" customHeight="1" x14ac:dyDescent="0.25">
      <c r="A5967" t="s">
        <v>8195</v>
      </c>
      <c r="B5967">
        <v>53.9</v>
      </c>
    </row>
    <row r="5968" spans="1:3" ht="15" customHeight="1" x14ac:dyDescent="0.25">
      <c r="A5968" t="s">
        <v>8196</v>
      </c>
      <c r="B5968">
        <v>53.9</v>
      </c>
    </row>
    <row r="5969" spans="1:2" ht="15" customHeight="1" x14ac:dyDescent="0.25">
      <c r="A5969" t="s">
        <v>8197</v>
      </c>
      <c r="B5969">
        <v>61.7</v>
      </c>
    </row>
    <row r="5970" spans="1:2" ht="15" customHeight="1" x14ac:dyDescent="0.25">
      <c r="A5970" t="s">
        <v>8198</v>
      </c>
      <c r="B5970">
        <v>61.7</v>
      </c>
    </row>
    <row r="5971" spans="1:2" ht="15" customHeight="1" x14ac:dyDescent="0.25">
      <c r="A5971" t="s">
        <v>8199</v>
      </c>
      <c r="B5971">
        <v>61.7</v>
      </c>
    </row>
    <row r="5972" spans="1:2" ht="15" customHeight="1" x14ac:dyDescent="0.25">
      <c r="A5972" t="s">
        <v>8200</v>
      </c>
      <c r="B5972">
        <v>61.7</v>
      </c>
    </row>
    <row r="5973" spans="1:2" ht="15" customHeight="1" x14ac:dyDescent="0.25">
      <c r="A5973" t="s">
        <v>8201</v>
      </c>
      <c r="B5973">
        <v>69.400000000000006</v>
      </c>
    </row>
    <row r="5974" spans="1:2" ht="15" customHeight="1" x14ac:dyDescent="0.25">
      <c r="A5974" t="s">
        <v>8202</v>
      </c>
      <c r="B5974">
        <v>69.400000000000006</v>
      </c>
    </row>
    <row r="5975" spans="1:2" ht="15" customHeight="1" x14ac:dyDescent="0.25">
      <c r="A5975" t="s">
        <v>8203</v>
      </c>
      <c r="B5975">
        <v>61.7</v>
      </c>
    </row>
    <row r="5976" spans="1:2" ht="15" customHeight="1" x14ac:dyDescent="0.25">
      <c r="A5976" t="s">
        <v>8204</v>
      </c>
      <c r="B5976">
        <v>69.400000000000006</v>
      </c>
    </row>
    <row r="5977" spans="1:2" ht="15" customHeight="1" x14ac:dyDescent="0.25">
      <c r="A5977" t="s">
        <v>8205</v>
      </c>
      <c r="B5977">
        <v>77.2</v>
      </c>
    </row>
    <row r="5978" spans="1:2" ht="15" customHeight="1" x14ac:dyDescent="0.25">
      <c r="A5978" t="s">
        <v>8206</v>
      </c>
      <c r="B5978">
        <v>61.9</v>
      </c>
    </row>
    <row r="5979" spans="1:2" ht="15" customHeight="1" x14ac:dyDescent="0.25">
      <c r="A5979" t="s">
        <v>8207</v>
      </c>
      <c r="B5979">
        <v>61.9</v>
      </c>
    </row>
    <row r="5980" spans="1:2" ht="15" customHeight="1" x14ac:dyDescent="0.25">
      <c r="A5980" t="s">
        <v>8208</v>
      </c>
      <c r="B5980">
        <v>69.7</v>
      </c>
    </row>
    <row r="5981" spans="1:2" ht="15" customHeight="1" x14ac:dyDescent="0.25">
      <c r="A5981" t="s">
        <v>8209</v>
      </c>
      <c r="B5981">
        <v>53.9</v>
      </c>
    </row>
    <row r="5982" spans="1:2" ht="15" customHeight="1" x14ac:dyDescent="0.25">
      <c r="A5982" t="s">
        <v>8210</v>
      </c>
      <c r="B5982">
        <v>53.9</v>
      </c>
    </row>
    <row r="5983" spans="1:2" ht="15" customHeight="1" x14ac:dyDescent="0.25">
      <c r="A5983" t="s">
        <v>8211</v>
      </c>
      <c r="B5983">
        <v>61.7</v>
      </c>
    </row>
    <row r="5984" spans="1:2" ht="15" customHeight="1" x14ac:dyDescent="0.25">
      <c r="A5984" t="s">
        <v>8212</v>
      </c>
      <c r="B5984">
        <v>61.9</v>
      </c>
    </row>
    <row r="5985" spans="1:3" ht="15" customHeight="1" x14ac:dyDescent="0.25">
      <c r="A5985" t="s">
        <v>8213</v>
      </c>
      <c r="B5985">
        <v>61.9</v>
      </c>
    </row>
    <row r="5986" spans="1:3" ht="15" customHeight="1" x14ac:dyDescent="0.25">
      <c r="A5986" t="s">
        <v>8214</v>
      </c>
      <c r="B5986">
        <v>69.7</v>
      </c>
    </row>
    <row r="5987" spans="1:3" ht="15" customHeight="1" x14ac:dyDescent="0.25">
      <c r="A5987" t="s">
        <v>8215</v>
      </c>
      <c r="B5987">
        <v>61.9</v>
      </c>
    </row>
    <row r="5988" spans="1:3" ht="15" customHeight="1" x14ac:dyDescent="0.25">
      <c r="A5988" t="s">
        <v>8216</v>
      </c>
      <c r="B5988">
        <v>69.7</v>
      </c>
    </row>
    <row r="5989" spans="1:3" ht="15" customHeight="1" x14ac:dyDescent="0.25">
      <c r="A5989" t="s">
        <v>8217</v>
      </c>
      <c r="B5989">
        <v>61.9</v>
      </c>
    </row>
    <row r="5990" spans="1:3" ht="15" customHeight="1" x14ac:dyDescent="0.25">
      <c r="A5990" t="s">
        <v>8218</v>
      </c>
      <c r="B5990">
        <v>61.9</v>
      </c>
    </row>
    <row r="5991" spans="1:3" ht="15" customHeight="1" x14ac:dyDescent="0.25">
      <c r="A5991" t="s">
        <v>8219</v>
      </c>
      <c r="B5991">
        <v>69.7</v>
      </c>
    </row>
    <row r="5992" spans="1:3" ht="15" customHeight="1" x14ac:dyDescent="0.25">
      <c r="A5992" t="s">
        <v>8220</v>
      </c>
      <c r="B5992">
        <v>61.9</v>
      </c>
    </row>
    <row r="5993" spans="1:3" ht="15" customHeight="1" x14ac:dyDescent="0.25">
      <c r="A5993" t="s">
        <v>8221</v>
      </c>
      <c r="B5993">
        <v>69.7</v>
      </c>
    </row>
    <row r="5994" spans="1:3" ht="15" customHeight="1" x14ac:dyDescent="0.25">
      <c r="A5994" t="s">
        <v>8222</v>
      </c>
      <c r="B5994">
        <v>32.5</v>
      </c>
    </row>
    <row r="5995" spans="1:3" ht="15" customHeight="1" x14ac:dyDescent="0.25">
      <c r="A5995" t="s">
        <v>8223</v>
      </c>
      <c r="B5995">
        <v>32.5</v>
      </c>
    </row>
    <row r="5996" spans="1:3" ht="15" customHeight="1" x14ac:dyDescent="0.25">
      <c r="A5996" t="s">
        <v>8224</v>
      </c>
      <c r="B5996">
        <v>48.9</v>
      </c>
    </row>
    <row r="5997" spans="1:3" ht="15" customHeight="1" x14ac:dyDescent="0.25">
      <c r="A5997" t="s">
        <v>8225</v>
      </c>
      <c r="B5997">
        <v>48.9</v>
      </c>
      <c r="C5997">
        <v>0.7</v>
      </c>
    </row>
    <row r="5998" spans="1:3" ht="15" customHeight="1" x14ac:dyDescent="0.25">
      <c r="A5998" t="s">
        <v>8226</v>
      </c>
      <c r="B5998">
        <v>48.9</v>
      </c>
      <c r="C5998">
        <v>0.7</v>
      </c>
    </row>
    <row r="5999" spans="1:3" ht="15" customHeight="1" x14ac:dyDescent="0.25">
      <c r="A5999" t="s">
        <v>8227</v>
      </c>
      <c r="B5999">
        <v>48.9</v>
      </c>
    </row>
    <row r="6000" spans="1:3" ht="15" customHeight="1" x14ac:dyDescent="0.25">
      <c r="A6000" t="s">
        <v>8228</v>
      </c>
      <c r="B6000">
        <v>48.9</v>
      </c>
    </row>
    <row r="6001" spans="1:3" ht="15" customHeight="1" x14ac:dyDescent="0.25">
      <c r="A6001" t="s">
        <v>8229</v>
      </c>
      <c r="B6001">
        <v>48.9</v>
      </c>
      <c r="C6001">
        <v>0.7</v>
      </c>
    </row>
    <row r="6002" spans="1:3" ht="15" customHeight="1" x14ac:dyDescent="0.25">
      <c r="A6002" t="s">
        <v>8230</v>
      </c>
      <c r="B6002">
        <v>48.9</v>
      </c>
    </row>
    <row r="6003" spans="1:3" ht="15" customHeight="1" x14ac:dyDescent="0.25">
      <c r="A6003" t="s">
        <v>8231</v>
      </c>
      <c r="B6003">
        <v>48.9</v>
      </c>
    </row>
    <row r="6004" spans="1:3" ht="15" customHeight="1" x14ac:dyDescent="0.25">
      <c r="A6004" t="s">
        <v>8232</v>
      </c>
      <c r="B6004">
        <v>48.9</v>
      </c>
    </row>
    <row r="6005" spans="1:3" ht="15" customHeight="1" x14ac:dyDescent="0.25">
      <c r="A6005" t="s">
        <v>8233</v>
      </c>
      <c r="B6005">
        <v>48.9</v>
      </c>
    </row>
    <row r="6006" spans="1:3" ht="15" customHeight="1" x14ac:dyDescent="0.25">
      <c r="A6006" t="s">
        <v>8234</v>
      </c>
      <c r="B6006">
        <v>48.9</v>
      </c>
      <c r="C6006">
        <v>0.7</v>
      </c>
    </row>
    <row r="6007" spans="1:3" ht="15" customHeight="1" x14ac:dyDescent="0.25">
      <c r="A6007" t="s">
        <v>8235</v>
      </c>
      <c r="B6007">
        <v>48.9</v>
      </c>
    </row>
    <row r="6008" spans="1:3" ht="15" customHeight="1" x14ac:dyDescent="0.25">
      <c r="A6008" t="s">
        <v>8236</v>
      </c>
      <c r="B6008">
        <v>48.9</v>
      </c>
      <c r="C6008">
        <v>0.7</v>
      </c>
    </row>
    <row r="6009" spans="1:3" ht="15" customHeight="1" x14ac:dyDescent="0.25">
      <c r="A6009" t="s">
        <v>8237</v>
      </c>
      <c r="B6009">
        <v>12.5</v>
      </c>
    </row>
    <row r="6010" spans="1:3" ht="15" customHeight="1" x14ac:dyDescent="0.25">
      <c r="A6010" t="s">
        <v>8238</v>
      </c>
      <c r="B6010">
        <v>12.5</v>
      </c>
      <c r="C6010">
        <v>0.35</v>
      </c>
    </row>
    <row r="6011" spans="1:3" ht="15" customHeight="1" x14ac:dyDescent="0.25">
      <c r="A6011" t="s">
        <v>8239</v>
      </c>
      <c r="B6011">
        <v>12.5</v>
      </c>
      <c r="C6011">
        <v>0.35</v>
      </c>
    </row>
    <row r="6012" spans="1:3" ht="15" customHeight="1" x14ac:dyDescent="0.25">
      <c r="A6012" t="s">
        <v>8240</v>
      </c>
      <c r="B6012">
        <v>12.5</v>
      </c>
      <c r="C6012">
        <v>0.35</v>
      </c>
    </row>
    <row r="6013" spans="1:3" ht="15" customHeight="1" x14ac:dyDescent="0.25">
      <c r="A6013" t="s">
        <v>8241</v>
      </c>
      <c r="B6013">
        <v>12.5</v>
      </c>
      <c r="C6013">
        <v>0.35</v>
      </c>
    </row>
    <row r="6014" spans="1:3" ht="15" customHeight="1" x14ac:dyDescent="0.25">
      <c r="A6014" t="s">
        <v>8242</v>
      </c>
      <c r="B6014">
        <v>12.5</v>
      </c>
      <c r="C6014">
        <v>0.35</v>
      </c>
    </row>
    <row r="6015" spans="1:3" ht="15" customHeight="1" x14ac:dyDescent="0.25">
      <c r="A6015" t="s">
        <v>8243</v>
      </c>
      <c r="B6015">
        <v>12.5</v>
      </c>
    </row>
    <row r="6016" spans="1:3" ht="15" customHeight="1" x14ac:dyDescent="0.25">
      <c r="A6016" t="s">
        <v>8244</v>
      </c>
      <c r="B6016">
        <v>12.5</v>
      </c>
      <c r="C6016">
        <v>0.35</v>
      </c>
    </row>
    <row r="6017" spans="1:3" ht="15" customHeight="1" x14ac:dyDescent="0.25">
      <c r="A6017" t="s">
        <v>8245</v>
      </c>
      <c r="B6017">
        <v>12.5</v>
      </c>
    </row>
    <row r="6018" spans="1:3" ht="15" customHeight="1" x14ac:dyDescent="0.25">
      <c r="A6018" t="s">
        <v>8246</v>
      </c>
      <c r="B6018">
        <v>12.5</v>
      </c>
      <c r="C6018">
        <v>0.35</v>
      </c>
    </row>
    <row r="6019" spans="1:3" ht="15" customHeight="1" x14ac:dyDescent="0.25">
      <c r="A6019" t="s">
        <v>8247</v>
      </c>
      <c r="B6019">
        <v>12.5</v>
      </c>
      <c r="C6019">
        <v>0.35</v>
      </c>
    </row>
    <row r="6020" spans="1:3" ht="15" customHeight="1" x14ac:dyDescent="0.25">
      <c r="A6020" t="s">
        <v>8248</v>
      </c>
      <c r="B6020">
        <v>12.5</v>
      </c>
    </row>
    <row r="6021" spans="1:3" ht="15" customHeight="1" x14ac:dyDescent="0.25">
      <c r="A6021" t="s">
        <v>82</v>
      </c>
      <c r="B6021">
        <v>15.5</v>
      </c>
      <c r="C6021">
        <v>0.05</v>
      </c>
    </row>
    <row r="6022" spans="1:3" ht="15" customHeight="1" x14ac:dyDescent="0.25">
      <c r="A6022" t="s">
        <v>87</v>
      </c>
      <c r="B6022">
        <v>15.7</v>
      </c>
      <c r="C6022">
        <v>0.05</v>
      </c>
    </row>
    <row r="6023" spans="1:3" ht="15" customHeight="1" x14ac:dyDescent="0.25">
      <c r="A6023" t="s">
        <v>98</v>
      </c>
      <c r="B6023">
        <v>17.100000000000001</v>
      </c>
      <c r="C6023">
        <v>0.05</v>
      </c>
    </row>
    <row r="6024" spans="1:3" ht="15" customHeight="1" x14ac:dyDescent="0.25">
      <c r="A6024" t="s">
        <v>8249</v>
      </c>
      <c r="B6024">
        <v>19.399999999999999</v>
      </c>
      <c r="C6024">
        <v>0.08</v>
      </c>
    </row>
    <row r="6025" spans="1:3" ht="15" customHeight="1" x14ac:dyDescent="0.25">
      <c r="A6025" t="s">
        <v>105</v>
      </c>
      <c r="B6025">
        <v>35.299999999999997</v>
      </c>
      <c r="C6025">
        <v>0.08</v>
      </c>
    </row>
    <row r="6026" spans="1:3" ht="15" customHeight="1" x14ac:dyDescent="0.25">
      <c r="A6026" t="s">
        <v>8250</v>
      </c>
      <c r="B6026">
        <v>37.5</v>
      </c>
      <c r="C6026">
        <v>0.08</v>
      </c>
    </row>
    <row r="6027" spans="1:3" ht="15" customHeight="1" x14ac:dyDescent="0.25">
      <c r="A6027" t="s">
        <v>8251</v>
      </c>
      <c r="B6027">
        <v>10.5</v>
      </c>
      <c r="C6027">
        <v>0.2</v>
      </c>
    </row>
    <row r="6028" spans="1:3" ht="15" customHeight="1" x14ac:dyDescent="0.25">
      <c r="A6028" t="s">
        <v>8252</v>
      </c>
      <c r="B6028">
        <v>10.5</v>
      </c>
      <c r="C6028">
        <v>0.2</v>
      </c>
    </row>
    <row r="6029" spans="1:3" ht="15" customHeight="1" x14ac:dyDescent="0.25">
      <c r="A6029" t="s">
        <v>8253</v>
      </c>
      <c r="B6029">
        <v>10.5</v>
      </c>
      <c r="C6029">
        <v>0.2</v>
      </c>
    </row>
    <row r="6030" spans="1:3" ht="15" customHeight="1" x14ac:dyDescent="0.25">
      <c r="A6030" t="s">
        <v>8254</v>
      </c>
      <c r="B6030">
        <v>10.5</v>
      </c>
      <c r="C6030">
        <v>0.2</v>
      </c>
    </row>
    <row r="6031" spans="1:3" ht="15" customHeight="1" x14ac:dyDescent="0.25">
      <c r="A6031" t="s">
        <v>8255</v>
      </c>
      <c r="B6031">
        <v>10.5</v>
      </c>
      <c r="C6031">
        <v>0.2</v>
      </c>
    </row>
    <row r="6032" spans="1:3" ht="15" customHeight="1" x14ac:dyDescent="0.25">
      <c r="A6032" t="s">
        <v>8256</v>
      </c>
      <c r="B6032">
        <v>13.6</v>
      </c>
      <c r="C6032">
        <v>0.2</v>
      </c>
    </row>
    <row r="6033" spans="1:3" ht="15" customHeight="1" x14ac:dyDescent="0.25">
      <c r="A6033" t="s">
        <v>8257</v>
      </c>
      <c r="B6033">
        <v>17.3</v>
      </c>
      <c r="C6033">
        <v>0.2</v>
      </c>
    </row>
    <row r="6034" spans="1:3" ht="15" customHeight="1" x14ac:dyDescent="0.25">
      <c r="A6034" t="s">
        <v>8258</v>
      </c>
      <c r="B6034">
        <v>13.6</v>
      </c>
      <c r="C6034">
        <v>0.2</v>
      </c>
    </row>
    <row r="6035" spans="1:3" ht="15" customHeight="1" x14ac:dyDescent="0.25">
      <c r="A6035" t="s">
        <v>8259</v>
      </c>
      <c r="B6035">
        <v>11</v>
      </c>
      <c r="C6035">
        <v>0.2</v>
      </c>
    </row>
    <row r="6036" spans="1:3" ht="15" customHeight="1" x14ac:dyDescent="0.25">
      <c r="A6036" t="s">
        <v>8260</v>
      </c>
      <c r="B6036">
        <v>13.8</v>
      </c>
      <c r="C6036">
        <v>0.2</v>
      </c>
    </row>
    <row r="6037" spans="1:3" ht="15" customHeight="1" x14ac:dyDescent="0.25">
      <c r="A6037" t="s">
        <v>8261</v>
      </c>
      <c r="B6037">
        <v>11</v>
      </c>
      <c r="C6037">
        <v>0.2</v>
      </c>
    </row>
    <row r="6038" spans="1:3" ht="15" customHeight="1" x14ac:dyDescent="0.25">
      <c r="A6038" t="s">
        <v>8262</v>
      </c>
      <c r="B6038">
        <v>13.8</v>
      </c>
      <c r="C6038">
        <v>0.2</v>
      </c>
    </row>
    <row r="6039" spans="1:3" ht="15" customHeight="1" x14ac:dyDescent="0.25">
      <c r="A6039" t="s">
        <v>8263</v>
      </c>
      <c r="B6039">
        <v>11</v>
      </c>
      <c r="C6039">
        <v>0.2</v>
      </c>
    </row>
    <row r="6040" spans="1:3" ht="15" customHeight="1" x14ac:dyDescent="0.25">
      <c r="A6040" t="s">
        <v>8264</v>
      </c>
      <c r="B6040">
        <v>13.8</v>
      </c>
      <c r="C6040">
        <v>0.2</v>
      </c>
    </row>
    <row r="6041" spans="1:3" ht="15" customHeight="1" x14ac:dyDescent="0.25">
      <c r="A6041" t="s">
        <v>8265</v>
      </c>
      <c r="B6041">
        <v>11.1</v>
      </c>
      <c r="C6041">
        <v>0.2</v>
      </c>
    </row>
    <row r="6042" spans="1:3" ht="15" customHeight="1" x14ac:dyDescent="0.25">
      <c r="A6042" t="s">
        <v>8266</v>
      </c>
      <c r="B6042">
        <v>13.9</v>
      </c>
      <c r="C6042">
        <v>0.2</v>
      </c>
    </row>
    <row r="6043" spans="1:3" ht="15" customHeight="1" x14ac:dyDescent="0.25">
      <c r="A6043" t="s">
        <v>8267</v>
      </c>
      <c r="B6043">
        <v>11.5</v>
      </c>
      <c r="C6043">
        <v>0.2</v>
      </c>
    </row>
    <row r="6044" spans="1:3" ht="15" customHeight="1" x14ac:dyDescent="0.25">
      <c r="A6044" t="s">
        <v>8268</v>
      </c>
      <c r="B6044">
        <v>11.1</v>
      </c>
      <c r="C6044">
        <v>0.2</v>
      </c>
    </row>
    <row r="6045" spans="1:3" ht="15" customHeight="1" x14ac:dyDescent="0.25">
      <c r="A6045" t="s">
        <v>8269</v>
      </c>
      <c r="B6045">
        <v>13.9</v>
      </c>
      <c r="C6045">
        <v>0.2</v>
      </c>
    </row>
    <row r="6046" spans="1:3" ht="15" customHeight="1" x14ac:dyDescent="0.25">
      <c r="A6046" t="s">
        <v>8270</v>
      </c>
      <c r="B6046">
        <v>11.1</v>
      </c>
      <c r="C6046">
        <v>0.2</v>
      </c>
    </row>
    <row r="6047" spans="1:3" ht="15" customHeight="1" x14ac:dyDescent="0.25">
      <c r="A6047" t="s">
        <v>8271</v>
      </c>
      <c r="B6047">
        <v>13.9</v>
      </c>
      <c r="C6047">
        <v>0.2</v>
      </c>
    </row>
    <row r="6048" spans="1:3" ht="15" customHeight="1" x14ac:dyDescent="0.25">
      <c r="A6048" t="s">
        <v>8272</v>
      </c>
      <c r="B6048">
        <v>11.5</v>
      </c>
      <c r="C6048">
        <v>0.2</v>
      </c>
    </row>
    <row r="6049" spans="1:3" ht="15" customHeight="1" x14ac:dyDescent="0.25">
      <c r="A6049" t="s">
        <v>8273</v>
      </c>
      <c r="B6049">
        <v>11.5</v>
      </c>
      <c r="C6049">
        <v>0.2</v>
      </c>
    </row>
    <row r="6050" spans="1:3" ht="15" customHeight="1" x14ac:dyDescent="0.25">
      <c r="A6050" t="s">
        <v>8274</v>
      </c>
      <c r="B6050">
        <v>8.8000000000000007</v>
      </c>
      <c r="C6050">
        <v>0.2</v>
      </c>
    </row>
    <row r="6051" spans="1:3" ht="15" customHeight="1" x14ac:dyDescent="0.25">
      <c r="A6051" t="s">
        <v>879</v>
      </c>
      <c r="B6051">
        <v>8.8000000000000007</v>
      </c>
      <c r="C6051">
        <v>0.2</v>
      </c>
    </row>
    <row r="6052" spans="1:3" ht="15" customHeight="1" x14ac:dyDescent="0.25">
      <c r="A6052" t="s">
        <v>8275</v>
      </c>
      <c r="B6052">
        <v>8.8000000000000007</v>
      </c>
      <c r="C6052">
        <v>0.2</v>
      </c>
    </row>
    <row r="6053" spans="1:3" ht="15" customHeight="1" x14ac:dyDescent="0.25">
      <c r="A6053" t="s">
        <v>8276</v>
      </c>
      <c r="B6053">
        <v>8.8000000000000007</v>
      </c>
      <c r="C6053">
        <v>0.2</v>
      </c>
    </row>
    <row r="6054" spans="1:3" ht="15" customHeight="1" x14ac:dyDescent="0.25">
      <c r="A6054" t="s">
        <v>1462</v>
      </c>
      <c r="B6054">
        <v>8.8000000000000007</v>
      </c>
      <c r="C6054">
        <v>0.2</v>
      </c>
    </row>
    <row r="6055" spans="1:3" ht="15" customHeight="1" x14ac:dyDescent="0.25">
      <c r="A6055" t="s">
        <v>8277</v>
      </c>
      <c r="B6055">
        <v>8.8000000000000007</v>
      </c>
      <c r="C6055">
        <v>0.2</v>
      </c>
    </row>
    <row r="6056" spans="1:3" ht="15" customHeight="1" x14ac:dyDescent="0.25">
      <c r="A6056" t="s">
        <v>8278</v>
      </c>
      <c r="B6056">
        <v>8.8000000000000007</v>
      </c>
      <c r="C6056">
        <v>0.2</v>
      </c>
    </row>
    <row r="6057" spans="1:3" ht="15" customHeight="1" x14ac:dyDescent="0.25">
      <c r="A6057" t="s">
        <v>8279</v>
      </c>
      <c r="B6057">
        <v>8.8000000000000007</v>
      </c>
      <c r="C6057">
        <v>0.2</v>
      </c>
    </row>
    <row r="6058" spans="1:3" ht="15" customHeight="1" x14ac:dyDescent="0.25">
      <c r="A6058" t="s">
        <v>8280</v>
      </c>
      <c r="B6058">
        <v>8.8000000000000007</v>
      </c>
      <c r="C6058">
        <v>0.2</v>
      </c>
    </row>
    <row r="6059" spans="1:3" ht="15" customHeight="1" x14ac:dyDescent="0.25">
      <c r="A6059" t="s">
        <v>8281</v>
      </c>
      <c r="B6059">
        <v>8.8000000000000007</v>
      </c>
      <c r="C6059">
        <v>0.2</v>
      </c>
    </row>
    <row r="6060" spans="1:3" ht="15" customHeight="1" x14ac:dyDescent="0.25">
      <c r="A6060" t="s">
        <v>8282</v>
      </c>
      <c r="B6060">
        <v>8.8000000000000007</v>
      </c>
      <c r="C6060">
        <v>0.2</v>
      </c>
    </row>
    <row r="6061" spans="1:3" ht="15" customHeight="1" x14ac:dyDescent="0.25">
      <c r="A6061" t="s">
        <v>8283</v>
      </c>
      <c r="B6061">
        <v>8.8000000000000007</v>
      </c>
      <c r="C6061">
        <v>0.2</v>
      </c>
    </row>
    <row r="6062" spans="1:3" ht="15" customHeight="1" x14ac:dyDescent="0.25">
      <c r="A6062" t="s">
        <v>8284</v>
      </c>
      <c r="B6062">
        <v>8.8000000000000007</v>
      </c>
    </row>
    <row r="6063" spans="1:3" ht="15" customHeight="1" x14ac:dyDescent="0.25">
      <c r="A6063" t="s">
        <v>8285</v>
      </c>
      <c r="B6063">
        <v>7.5</v>
      </c>
      <c r="C6063">
        <v>0.2</v>
      </c>
    </row>
    <row r="6064" spans="1:3" ht="15" customHeight="1" x14ac:dyDescent="0.25">
      <c r="A6064" t="s">
        <v>8286</v>
      </c>
      <c r="B6064">
        <v>7.5</v>
      </c>
      <c r="C6064">
        <v>0.2</v>
      </c>
    </row>
    <row r="6065" spans="1:3" ht="15" customHeight="1" x14ac:dyDescent="0.25">
      <c r="A6065" t="s">
        <v>8287</v>
      </c>
      <c r="B6065">
        <v>7.5</v>
      </c>
      <c r="C6065">
        <v>0.2</v>
      </c>
    </row>
    <row r="6066" spans="1:3" ht="15" customHeight="1" x14ac:dyDescent="0.25">
      <c r="A6066" t="s">
        <v>8288</v>
      </c>
      <c r="B6066">
        <v>7.5</v>
      </c>
      <c r="C6066">
        <v>0.2</v>
      </c>
    </row>
    <row r="6067" spans="1:3" ht="15" customHeight="1" x14ac:dyDescent="0.25">
      <c r="A6067" t="s">
        <v>8289</v>
      </c>
      <c r="B6067">
        <v>7.5</v>
      </c>
      <c r="C6067">
        <v>0.2</v>
      </c>
    </row>
    <row r="6068" spans="1:3" ht="15" customHeight="1" x14ac:dyDescent="0.25">
      <c r="A6068" t="s">
        <v>8290</v>
      </c>
      <c r="B6068">
        <v>7.7</v>
      </c>
    </row>
    <row r="6069" spans="1:3" ht="15" customHeight="1" x14ac:dyDescent="0.25">
      <c r="A6069" t="s">
        <v>8291</v>
      </c>
      <c r="B6069">
        <v>7.7</v>
      </c>
    </row>
    <row r="6070" spans="1:3" ht="15" customHeight="1" x14ac:dyDescent="0.25">
      <c r="A6070" t="s">
        <v>8292</v>
      </c>
      <c r="B6070">
        <v>7.7</v>
      </c>
      <c r="C6070">
        <v>0.35</v>
      </c>
    </row>
    <row r="6071" spans="1:3" ht="15" customHeight="1" x14ac:dyDescent="0.25">
      <c r="A6071" t="s">
        <v>8293</v>
      </c>
      <c r="B6071">
        <v>7.7</v>
      </c>
      <c r="C6071">
        <v>0.35</v>
      </c>
    </row>
    <row r="6072" spans="1:3" ht="15" customHeight="1" x14ac:dyDescent="0.25">
      <c r="A6072" t="s">
        <v>8294</v>
      </c>
      <c r="B6072">
        <v>7.7</v>
      </c>
    </row>
    <row r="6073" spans="1:3" ht="15" customHeight="1" x14ac:dyDescent="0.25">
      <c r="A6073" t="s">
        <v>8295</v>
      </c>
      <c r="B6073">
        <v>4.4000000000000004</v>
      </c>
    </row>
    <row r="6074" spans="1:3" ht="15" customHeight="1" x14ac:dyDescent="0.25">
      <c r="A6074" t="s">
        <v>8296</v>
      </c>
      <c r="B6074">
        <v>7.7</v>
      </c>
    </row>
    <row r="6075" spans="1:3" ht="15" customHeight="1" x14ac:dyDescent="0.25">
      <c r="A6075" t="s">
        <v>8297</v>
      </c>
      <c r="B6075">
        <v>7.7</v>
      </c>
    </row>
    <row r="6076" spans="1:3" ht="15" customHeight="1" x14ac:dyDescent="0.25">
      <c r="A6076" t="s">
        <v>8298</v>
      </c>
      <c r="B6076">
        <v>7.7</v>
      </c>
    </row>
    <row r="6077" spans="1:3" ht="15" customHeight="1" x14ac:dyDescent="0.25">
      <c r="A6077" t="s">
        <v>8299</v>
      </c>
      <c r="B6077">
        <v>7.7</v>
      </c>
    </row>
    <row r="6078" spans="1:3" ht="15" customHeight="1" x14ac:dyDescent="0.25">
      <c r="A6078" t="s">
        <v>8300</v>
      </c>
      <c r="B6078">
        <v>7.7</v>
      </c>
    </row>
    <row r="6079" spans="1:3" ht="15" customHeight="1" x14ac:dyDescent="0.25">
      <c r="A6079" t="s">
        <v>8301</v>
      </c>
      <c r="B6079">
        <v>4.4000000000000004</v>
      </c>
    </row>
    <row r="6080" spans="1:3" ht="15" customHeight="1" x14ac:dyDescent="0.25">
      <c r="A6080" t="s">
        <v>8302</v>
      </c>
      <c r="B6080">
        <v>7.7</v>
      </c>
    </row>
    <row r="6081" spans="1:3" ht="15" customHeight="1" x14ac:dyDescent="0.25">
      <c r="A6081" t="s">
        <v>8303</v>
      </c>
      <c r="B6081">
        <v>7.7</v>
      </c>
      <c r="C6081">
        <v>0.35</v>
      </c>
    </row>
    <row r="6082" spans="1:3" ht="15" customHeight="1" x14ac:dyDescent="0.25">
      <c r="A6082" t="s">
        <v>8304</v>
      </c>
      <c r="B6082">
        <v>7.7</v>
      </c>
      <c r="C6082">
        <v>0.35</v>
      </c>
    </row>
    <row r="6083" spans="1:3" ht="15" customHeight="1" x14ac:dyDescent="0.25">
      <c r="A6083" t="s">
        <v>8305</v>
      </c>
      <c r="B6083">
        <v>7.7</v>
      </c>
      <c r="C6083">
        <v>0.35</v>
      </c>
    </row>
    <row r="6084" spans="1:3" ht="15" customHeight="1" x14ac:dyDescent="0.25">
      <c r="A6084" t="s">
        <v>8306</v>
      </c>
      <c r="B6084">
        <v>18.399999999999999</v>
      </c>
      <c r="C6084">
        <v>0.2</v>
      </c>
    </row>
    <row r="6085" spans="1:3" ht="15" customHeight="1" x14ac:dyDescent="0.25">
      <c r="A6085" t="s">
        <v>8307</v>
      </c>
      <c r="B6085">
        <v>18.399999999999999</v>
      </c>
      <c r="C6085">
        <v>0.2</v>
      </c>
    </row>
    <row r="6086" spans="1:3" ht="15" customHeight="1" x14ac:dyDescent="0.25">
      <c r="A6086" t="s">
        <v>8308</v>
      </c>
      <c r="B6086">
        <v>18.399999999999999</v>
      </c>
      <c r="C6086">
        <v>0.2</v>
      </c>
    </row>
    <row r="6087" spans="1:3" ht="15" customHeight="1" x14ac:dyDescent="0.25">
      <c r="A6087" t="s">
        <v>8309</v>
      </c>
      <c r="B6087">
        <v>18.399999999999999</v>
      </c>
      <c r="C6087">
        <v>0.2</v>
      </c>
    </row>
    <row r="6088" spans="1:3" ht="15" customHeight="1" x14ac:dyDescent="0.25">
      <c r="A6088" t="s">
        <v>8310</v>
      </c>
      <c r="B6088">
        <v>18.399999999999999</v>
      </c>
      <c r="C6088">
        <v>0.2</v>
      </c>
    </row>
    <row r="6089" spans="1:3" ht="15" customHeight="1" x14ac:dyDescent="0.25">
      <c r="A6089" t="s">
        <v>8311</v>
      </c>
      <c r="B6089">
        <v>18.399999999999999</v>
      </c>
      <c r="C6089">
        <v>0.2</v>
      </c>
    </row>
    <row r="6090" spans="1:3" ht="15" customHeight="1" x14ac:dyDescent="0.25">
      <c r="A6090" t="s">
        <v>8312</v>
      </c>
      <c r="B6090">
        <v>18.399999999999999</v>
      </c>
      <c r="C6090">
        <v>0.2</v>
      </c>
    </row>
    <row r="6091" spans="1:3" ht="15" customHeight="1" x14ac:dyDescent="0.25">
      <c r="A6091" t="s">
        <v>8313</v>
      </c>
      <c r="B6091">
        <v>18.399999999999999</v>
      </c>
    </row>
    <row r="6092" spans="1:3" ht="15" customHeight="1" x14ac:dyDescent="0.25">
      <c r="A6092" t="s">
        <v>8314</v>
      </c>
      <c r="B6092">
        <v>18.399999999999999</v>
      </c>
      <c r="C6092">
        <v>0.2</v>
      </c>
    </row>
    <row r="6093" spans="1:3" ht="15" customHeight="1" x14ac:dyDescent="0.25">
      <c r="A6093" t="s">
        <v>8315</v>
      </c>
      <c r="B6093">
        <v>18.399999999999999</v>
      </c>
      <c r="C6093">
        <v>0.2</v>
      </c>
    </row>
    <row r="6094" spans="1:3" ht="15" customHeight="1" x14ac:dyDescent="0.25">
      <c r="A6094" t="s">
        <v>8316</v>
      </c>
      <c r="B6094">
        <v>18.399999999999999</v>
      </c>
      <c r="C6094">
        <v>0.2</v>
      </c>
    </row>
    <row r="6095" spans="1:3" ht="15" customHeight="1" x14ac:dyDescent="0.25">
      <c r="A6095" t="s">
        <v>8317</v>
      </c>
      <c r="B6095">
        <v>18.399999999999999</v>
      </c>
      <c r="C6095">
        <v>0.2</v>
      </c>
    </row>
    <row r="6096" spans="1:3" ht="15" customHeight="1" x14ac:dyDescent="0.25">
      <c r="A6096" t="s">
        <v>8318</v>
      </c>
      <c r="B6096">
        <v>18.399999999999999</v>
      </c>
      <c r="C6096">
        <v>0.2</v>
      </c>
    </row>
    <row r="6097" spans="1:3" ht="15" customHeight="1" x14ac:dyDescent="0.25">
      <c r="A6097" t="s">
        <v>8319</v>
      </c>
      <c r="B6097">
        <v>18.399999999999999</v>
      </c>
      <c r="C6097">
        <v>0.2</v>
      </c>
    </row>
    <row r="6098" spans="1:3" ht="15" customHeight="1" x14ac:dyDescent="0.25">
      <c r="A6098" t="s">
        <v>8320</v>
      </c>
      <c r="B6098">
        <v>18.399999999999999</v>
      </c>
      <c r="C6098">
        <v>0.2</v>
      </c>
    </row>
    <row r="6099" spans="1:3" ht="15" customHeight="1" x14ac:dyDescent="0.25">
      <c r="A6099" t="s">
        <v>8321</v>
      </c>
      <c r="B6099">
        <v>18.399999999999999</v>
      </c>
    </row>
    <row r="6100" spans="1:3" ht="15" customHeight="1" x14ac:dyDescent="0.25">
      <c r="A6100" t="s">
        <v>8322</v>
      </c>
      <c r="B6100">
        <v>18.399999999999999</v>
      </c>
      <c r="C6100">
        <v>0.2</v>
      </c>
    </row>
    <row r="6101" spans="1:3" ht="15" customHeight="1" x14ac:dyDescent="0.25">
      <c r="A6101" t="s">
        <v>8323</v>
      </c>
      <c r="B6101">
        <v>18.399999999999999</v>
      </c>
      <c r="C6101">
        <v>0.2</v>
      </c>
    </row>
    <row r="6102" spans="1:3" ht="15" customHeight="1" x14ac:dyDescent="0.25">
      <c r="A6102" t="s">
        <v>8324</v>
      </c>
      <c r="B6102">
        <v>18.399999999999999</v>
      </c>
      <c r="C6102">
        <v>0.2</v>
      </c>
    </row>
    <row r="6103" spans="1:3" ht="15" customHeight="1" x14ac:dyDescent="0.25">
      <c r="A6103" t="s">
        <v>8325</v>
      </c>
      <c r="B6103">
        <v>18.399999999999999</v>
      </c>
    </row>
    <row r="6104" spans="1:3" ht="15" customHeight="1" x14ac:dyDescent="0.25">
      <c r="A6104" t="s">
        <v>8326</v>
      </c>
      <c r="B6104">
        <v>18.399999999999999</v>
      </c>
      <c r="C6104">
        <v>0.2</v>
      </c>
    </row>
    <row r="6105" spans="1:3" ht="15" customHeight="1" x14ac:dyDescent="0.25">
      <c r="A6105" t="s">
        <v>8327</v>
      </c>
      <c r="B6105">
        <v>18.399999999999999</v>
      </c>
    </row>
    <row r="6106" spans="1:3" ht="15" customHeight="1" x14ac:dyDescent="0.25">
      <c r="A6106" t="s">
        <v>8328</v>
      </c>
      <c r="B6106">
        <v>15.9</v>
      </c>
      <c r="C6106">
        <v>0.25</v>
      </c>
    </row>
    <row r="6107" spans="1:3" ht="15" customHeight="1" x14ac:dyDescent="0.25">
      <c r="A6107" t="s">
        <v>8329</v>
      </c>
      <c r="B6107">
        <v>15.9</v>
      </c>
      <c r="C6107">
        <v>0.25</v>
      </c>
    </row>
    <row r="6108" spans="1:3" ht="15" customHeight="1" x14ac:dyDescent="0.25">
      <c r="A6108" t="s">
        <v>8330</v>
      </c>
      <c r="B6108">
        <v>15.9</v>
      </c>
      <c r="C6108">
        <v>0.25</v>
      </c>
    </row>
    <row r="6109" spans="1:3" ht="15" customHeight="1" x14ac:dyDescent="0.25">
      <c r="A6109" t="s">
        <v>8331</v>
      </c>
      <c r="B6109">
        <v>15.9</v>
      </c>
      <c r="C6109">
        <v>0.25</v>
      </c>
    </row>
    <row r="6110" spans="1:3" ht="15" customHeight="1" x14ac:dyDescent="0.25">
      <c r="A6110" t="s">
        <v>8332</v>
      </c>
      <c r="B6110">
        <v>15.9</v>
      </c>
      <c r="C6110">
        <v>0.25</v>
      </c>
    </row>
    <row r="6111" spans="1:3" ht="15" customHeight="1" x14ac:dyDescent="0.25">
      <c r="A6111" t="s">
        <v>8333</v>
      </c>
      <c r="B6111">
        <v>15.9</v>
      </c>
      <c r="C6111">
        <v>0.25</v>
      </c>
    </row>
    <row r="6112" spans="1:3" ht="15" customHeight="1" x14ac:dyDescent="0.25">
      <c r="A6112" t="s">
        <v>8334</v>
      </c>
      <c r="B6112">
        <v>15.9</v>
      </c>
      <c r="C6112">
        <v>0.25</v>
      </c>
    </row>
    <row r="6113" spans="1:3" ht="15" customHeight="1" x14ac:dyDescent="0.25">
      <c r="A6113" t="s">
        <v>8335</v>
      </c>
      <c r="B6113">
        <v>15.9</v>
      </c>
      <c r="C6113">
        <v>0.25</v>
      </c>
    </row>
    <row r="6114" spans="1:3" ht="15" customHeight="1" x14ac:dyDescent="0.25">
      <c r="A6114" t="s">
        <v>8336</v>
      </c>
      <c r="B6114">
        <v>15.9</v>
      </c>
      <c r="C6114">
        <v>0.25</v>
      </c>
    </row>
    <row r="6115" spans="1:3" ht="15" customHeight="1" x14ac:dyDescent="0.25">
      <c r="A6115" t="s">
        <v>8337</v>
      </c>
      <c r="B6115">
        <v>15.9</v>
      </c>
      <c r="C6115">
        <v>0.25</v>
      </c>
    </row>
    <row r="6116" spans="1:3" ht="15" customHeight="1" x14ac:dyDescent="0.25">
      <c r="A6116" t="s">
        <v>8338</v>
      </c>
      <c r="B6116">
        <v>15.9</v>
      </c>
      <c r="C6116">
        <v>0.25</v>
      </c>
    </row>
    <row r="6117" spans="1:3" ht="15" customHeight="1" x14ac:dyDescent="0.25">
      <c r="A6117" t="s">
        <v>8339</v>
      </c>
      <c r="B6117">
        <v>15.9</v>
      </c>
      <c r="C6117">
        <v>0.25</v>
      </c>
    </row>
    <row r="6118" spans="1:3" ht="15" customHeight="1" x14ac:dyDescent="0.25">
      <c r="A6118" t="s">
        <v>8340</v>
      </c>
      <c r="B6118">
        <v>15.9</v>
      </c>
      <c r="C6118">
        <v>0.25</v>
      </c>
    </row>
    <row r="6119" spans="1:3" ht="15" customHeight="1" x14ac:dyDescent="0.25">
      <c r="A6119" t="s">
        <v>8341</v>
      </c>
      <c r="B6119">
        <v>15.9</v>
      </c>
      <c r="C6119">
        <v>0.25</v>
      </c>
    </row>
    <row r="6120" spans="1:3" ht="15" customHeight="1" x14ac:dyDescent="0.25">
      <c r="A6120" t="s">
        <v>8342</v>
      </c>
      <c r="B6120">
        <v>15.9</v>
      </c>
      <c r="C6120">
        <v>0.25</v>
      </c>
    </row>
    <row r="6121" spans="1:3" ht="15" customHeight="1" x14ac:dyDescent="0.25">
      <c r="A6121" t="s">
        <v>8343</v>
      </c>
      <c r="B6121">
        <v>15.9</v>
      </c>
      <c r="C6121">
        <v>0.25</v>
      </c>
    </row>
    <row r="6122" spans="1:3" ht="15" customHeight="1" x14ac:dyDescent="0.25">
      <c r="A6122" t="s">
        <v>8344</v>
      </c>
      <c r="B6122">
        <v>15.9</v>
      </c>
      <c r="C6122">
        <v>0.25</v>
      </c>
    </row>
    <row r="6123" spans="1:3" ht="15" customHeight="1" x14ac:dyDescent="0.25">
      <c r="A6123" t="s">
        <v>8345</v>
      </c>
      <c r="B6123">
        <v>15.9</v>
      </c>
      <c r="C6123">
        <v>0.25</v>
      </c>
    </row>
    <row r="6124" spans="1:3" ht="15" customHeight="1" x14ac:dyDescent="0.25">
      <c r="A6124" t="s">
        <v>8346</v>
      </c>
      <c r="B6124">
        <v>15.9</v>
      </c>
      <c r="C6124">
        <v>0.25</v>
      </c>
    </row>
    <row r="6125" spans="1:3" ht="15" customHeight="1" x14ac:dyDescent="0.25">
      <c r="A6125" t="s">
        <v>8347</v>
      </c>
      <c r="B6125">
        <v>15.9</v>
      </c>
      <c r="C6125">
        <v>0.25</v>
      </c>
    </row>
    <row r="6126" spans="1:3" ht="15" customHeight="1" x14ac:dyDescent="0.25">
      <c r="A6126" t="s">
        <v>8348</v>
      </c>
      <c r="B6126">
        <v>15.9</v>
      </c>
      <c r="C6126">
        <v>0.25</v>
      </c>
    </row>
    <row r="6127" spans="1:3" ht="15" customHeight="1" x14ac:dyDescent="0.25">
      <c r="A6127" t="s">
        <v>8349</v>
      </c>
      <c r="B6127">
        <v>15.9</v>
      </c>
      <c r="C6127">
        <v>0.25</v>
      </c>
    </row>
    <row r="6128" spans="1:3" ht="15" customHeight="1" x14ac:dyDescent="0.25">
      <c r="A6128" t="s">
        <v>8350</v>
      </c>
      <c r="B6128">
        <v>27.2</v>
      </c>
      <c r="C6128">
        <v>0.25</v>
      </c>
    </row>
    <row r="6129" spans="1:3" ht="15" customHeight="1" x14ac:dyDescent="0.25">
      <c r="A6129" t="s">
        <v>8351</v>
      </c>
      <c r="B6129">
        <v>27.2</v>
      </c>
      <c r="C6129">
        <v>0.25</v>
      </c>
    </row>
    <row r="6130" spans="1:3" ht="15" customHeight="1" x14ac:dyDescent="0.25">
      <c r="A6130" t="s">
        <v>8352</v>
      </c>
      <c r="B6130">
        <v>27.2</v>
      </c>
      <c r="C6130">
        <v>0.25</v>
      </c>
    </row>
    <row r="6131" spans="1:3" ht="15" customHeight="1" x14ac:dyDescent="0.25">
      <c r="A6131" t="s">
        <v>8353</v>
      </c>
      <c r="B6131">
        <v>27.2</v>
      </c>
      <c r="C6131">
        <v>0.25</v>
      </c>
    </row>
    <row r="6132" spans="1:3" ht="15" customHeight="1" x14ac:dyDescent="0.25">
      <c r="A6132" t="s">
        <v>8354</v>
      </c>
      <c r="B6132">
        <v>27.2</v>
      </c>
      <c r="C6132">
        <v>0.25</v>
      </c>
    </row>
    <row r="6133" spans="1:3" ht="15" customHeight="1" x14ac:dyDescent="0.25">
      <c r="A6133" t="s">
        <v>8355</v>
      </c>
      <c r="B6133">
        <v>27.2</v>
      </c>
      <c r="C6133">
        <v>0.25</v>
      </c>
    </row>
    <row r="6134" spans="1:3" ht="15" customHeight="1" x14ac:dyDescent="0.25">
      <c r="A6134" t="s">
        <v>313</v>
      </c>
      <c r="B6134">
        <v>27.2</v>
      </c>
      <c r="C6134">
        <v>0.25</v>
      </c>
    </row>
    <row r="6135" spans="1:3" ht="15" customHeight="1" x14ac:dyDescent="0.25">
      <c r="A6135" t="s">
        <v>8356</v>
      </c>
      <c r="B6135">
        <v>27.2</v>
      </c>
      <c r="C6135">
        <v>0.25</v>
      </c>
    </row>
    <row r="6136" spans="1:3" ht="15" customHeight="1" x14ac:dyDescent="0.25">
      <c r="A6136" t="s">
        <v>8357</v>
      </c>
      <c r="B6136">
        <v>27.2</v>
      </c>
      <c r="C6136">
        <v>0.25</v>
      </c>
    </row>
    <row r="6137" spans="1:3" ht="15" customHeight="1" x14ac:dyDescent="0.25">
      <c r="A6137" t="s">
        <v>8358</v>
      </c>
      <c r="B6137">
        <v>27.2</v>
      </c>
      <c r="C6137">
        <v>0.25</v>
      </c>
    </row>
    <row r="6138" spans="1:3" ht="15" customHeight="1" x14ac:dyDescent="0.25">
      <c r="A6138" t="s">
        <v>8359</v>
      </c>
      <c r="B6138">
        <v>27.2</v>
      </c>
      <c r="C6138">
        <v>0.25</v>
      </c>
    </row>
    <row r="6139" spans="1:3" ht="15" customHeight="1" x14ac:dyDescent="0.25">
      <c r="A6139" t="s">
        <v>8360</v>
      </c>
      <c r="B6139">
        <v>27.2</v>
      </c>
      <c r="C6139">
        <v>0.25</v>
      </c>
    </row>
    <row r="6140" spans="1:3" ht="15" customHeight="1" x14ac:dyDescent="0.25">
      <c r="A6140" t="s">
        <v>8361</v>
      </c>
      <c r="B6140">
        <v>27.2</v>
      </c>
      <c r="C6140">
        <v>0.25</v>
      </c>
    </row>
    <row r="6141" spans="1:3" ht="15" customHeight="1" x14ac:dyDescent="0.25">
      <c r="A6141" t="s">
        <v>8362</v>
      </c>
      <c r="B6141">
        <v>27.2</v>
      </c>
      <c r="C6141">
        <v>0.25</v>
      </c>
    </row>
    <row r="6142" spans="1:3" ht="15" customHeight="1" x14ac:dyDescent="0.25">
      <c r="A6142" t="s">
        <v>8363</v>
      </c>
      <c r="B6142">
        <v>27.2</v>
      </c>
      <c r="C6142">
        <v>0.25</v>
      </c>
    </row>
    <row r="6143" spans="1:3" ht="15" customHeight="1" x14ac:dyDescent="0.25">
      <c r="A6143" t="s">
        <v>8364</v>
      </c>
      <c r="B6143">
        <v>27.2</v>
      </c>
      <c r="C6143">
        <v>0.25</v>
      </c>
    </row>
    <row r="6144" spans="1:3" ht="15" customHeight="1" x14ac:dyDescent="0.25">
      <c r="A6144" t="s">
        <v>8365</v>
      </c>
      <c r="B6144">
        <v>27.2</v>
      </c>
      <c r="C6144">
        <v>0.25</v>
      </c>
    </row>
    <row r="6145" spans="1:3" ht="15" customHeight="1" x14ac:dyDescent="0.25">
      <c r="A6145" t="s">
        <v>8366</v>
      </c>
      <c r="B6145">
        <v>27.2</v>
      </c>
      <c r="C6145">
        <v>0.25</v>
      </c>
    </row>
    <row r="6146" spans="1:3" ht="15" customHeight="1" x14ac:dyDescent="0.25">
      <c r="A6146" t="s">
        <v>8367</v>
      </c>
      <c r="B6146">
        <v>27.2</v>
      </c>
      <c r="C6146">
        <v>0.25</v>
      </c>
    </row>
    <row r="6147" spans="1:3" ht="15" customHeight="1" x14ac:dyDescent="0.25">
      <c r="A6147" t="s">
        <v>8368</v>
      </c>
      <c r="B6147">
        <v>27.2</v>
      </c>
      <c r="C6147">
        <v>0.25</v>
      </c>
    </row>
    <row r="6148" spans="1:3" ht="15" customHeight="1" x14ac:dyDescent="0.25">
      <c r="A6148" t="s">
        <v>8369</v>
      </c>
      <c r="B6148">
        <v>27.2</v>
      </c>
      <c r="C6148">
        <v>0.25</v>
      </c>
    </row>
    <row r="6149" spans="1:3" ht="15" customHeight="1" x14ac:dyDescent="0.25">
      <c r="A6149" t="s">
        <v>8370</v>
      </c>
      <c r="B6149">
        <v>27.2</v>
      </c>
      <c r="C6149">
        <v>0.25</v>
      </c>
    </row>
    <row r="6150" spans="1:3" ht="15" customHeight="1" x14ac:dyDescent="0.25">
      <c r="A6150" t="s">
        <v>8371</v>
      </c>
      <c r="B6150">
        <v>27.2</v>
      </c>
      <c r="C6150">
        <v>0.25</v>
      </c>
    </row>
    <row r="6151" spans="1:3" ht="15" customHeight="1" x14ac:dyDescent="0.25">
      <c r="A6151" t="s">
        <v>8372</v>
      </c>
      <c r="B6151">
        <v>27.2</v>
      </c>
      <c r="C6151">
        <v>0.25</v>
      </c>
    </row>
    <row r="6152" spans="1:3" ht="15" customHeight="1" x14ac:dyDescent="0.25">
      <c r="A6152" t="s">
        <v>8373</v>
      </c>
      <c r="B6152">
        <v>27.2</v>
      </c>
      <c r="C6152">
        <v>0.25</v>
      </c>
    </row>
    <row r="6153" spans="1:3" ht="15" customHeight="1" x14ac:dyDescent="0.25">
      <c r="A6153" t="s">
        <v>8374</v>
      </c>
      <c r="B6153">
        <v>27.2</v>
      </c>
      <c r="C6153">
        <v>0.25</v>
      </c>
    </row>
    <row r="6154" spans="1:3" ht="15" customHeight="1" x14ac:dyDescent="0.25">
      <c r="A6154" t="s">
        <v>8375</v>
      </c>
      <c r="B6154">
        <v>27.2</v>
      </c>
      <c r="C6154">
        <v>0.25</v>
      </c>
    </row>
    <row r="6155" spans="1:3" ht="15" customHeight="1" x14ac:dyDescent="0.25">
      <c r="A6155" t="s">
        <v>8376</v>
      </c>
      <c r="B6155">
        <v>27.2</v>
      </c>
      <c r="C6155">
        <v>0.25</v>
      </c>
    </row>
    <row r="6156" spans="1:3" ht="15" customHeight="1" x14ac:dyDescent="0.25">
      <c r="A6156" t="s">
        <v>8377</v>
      </c>
      <c r="B6156">
        <v>27.2</v>
      </c>
      <c r="C6156">
        <v>0.25</v>
      </c>
    </row>
    <row r="6157" spans="1:3" ht="15" customHeight="1" x14ac:dyDescent="0.25">
      <c r="A6157" t="s">
        <v>8378</v>
      </c>
      <c r="B6157">
        <v>27.2</v>
      </c>
      <c r="C6157">
        <v>0.25</v>
      </c>
    </row>
    <row r="6158" spans="1:3" ht="15" customHeight="1" x14ac:dyDescent="0.25">
      <c r="A6158" t="s">
        <v>8379</v>
      </c>
      <c r="B6158">
        <v>27.2</v>
      </c>
      <c r="C6158">
        <v>0.25</v>
      </c>
    </row>
    <row r="6159" spans="1:3" ht="15" customHeight="1" x14ac:dyDescent="0.25">
      <c r="A6159" t="s">
        <v>8380</v>
      </c>
      <c r="B6159">
        <v>27.2</v>
      </c>
      <c r="C6159">
        <v>0.25</v>
      </c>
    </row>
    <row r="6160" spans="1:3" ht="15" customHeight="1" x14ac:dyDescent="0.25">
      <c r="A6160" t="s">
        <v>8381</v>
      </c>
      <c r="B6160">
        <v>27.2</v>
      </c>
      <c r="C6160">
        <v>0.25</v>
      </c>
    </row>
    <row r="6161" spans="1:3" ht="15" customHeight="1" x14ac:dyDescent="0.25">
      <c r="A6161" t="s">
        <v>8382</v>
      </c>
      <c r="B6161">
        <v>27.2</v>
      </c>
      <c r="C6161">
        <v>0.25</v>
      </c>
    </row>
    <row r="6162" spans="1:3" ht="15" customHeight="1" x14ac:dyDescent="0.25">
      <c r="A6162" t="s">
        <v>8383</v>
      </c>
      <c r="B6162">
        <v>27.2</v>
      </c>
      <c r="C6162">
        <v>0.25</v>
      </c>
    </row>
    <row r="6163" spans="1:3" ht="15" customHeight="1" x14ac:dyDescent="0.25">
      <c r="A6163" t="s">
        <v>8384</v>
      </c>
      <c r="B6163">
        <v>16.8</v>
      </c>
      <c r="C6163">
        <v>0.25</v>
      </c>
    </row>
    <row r="6164" spans="1:3" ht="15" customHeight="1" x14ac:dyDescent="0.25">
      <c r="A6164" t="s">
        <v>8385</v>
      </c>
      <c r="B6164">
        <v>17.100000000000001</v>
      </c>
    </row>
    <row r="6165" spans="1:3" ht="15" customHeight="1" x14ac:dyDescent="0.25">
      <c r="A6165" t="s">
        <v>8386</v>
      </c>
      <c r="B6165">
        <v>17.100000000000001</v>
      </c>
      <c r="C6165">
        <v>0.25</v>
      </c>
    </row>
    <row r="6166" spans="1:3" ht="15" customHeight="1" x14ac:dyDescent="0.25">
      <c r="A6166" t="s">
        <v>8387</v>
      </c>
      <c r="B6166">
        <v>17.100000000000001</v>
      </c>
    </row>
    <row r="6167" spans="1:3" ht="15" customHeight="1" x14ac:dyDescent="0.25">
      <c r="A6167" t="s">
        <v>8388</v>
      </c>
      <c r="B6167">
        <v>17.399999999999999</v>
      </c>
      <c r="C6167">
        <v>0.25</v>
      </c>
    </row>
    <row r="6168" spans="1:3" ht="15" customHeight="1" x14ac:dyDescent="0.25">
      <c r="A6168" t="s">
        <v>8389</v>
      </c>
      <c r="B6168">
        <v>17.399999999999999</v>
      </c>
      <c r="C6168">
        <v>0.25</v>
      </c>
    </row>
    <row r="6169" spans="1:3" ht="15" customHeight="1" x14ac:dyDescent="0.25">
      <c r="A6169" t="s">
        <v>8390</v>
      </c>
      <c r="B6169">
        <v>13.3</v>
      </c>
      <c r="C6169">
        <v>0.25</v>
      </c>
    </row>
    <row r="6170" spans="1:3" ht="15" customHeight="1" x14ac:dyDescent="0.25">
      <c r="A6170" t="s">
        <v>8391</v>
      </c>
      <c r="B6170">
        <v>13.3</v>
      </c>
    </row>
    <row r="6171" spans="1:3" ht="15" customHeight="1" x14ac:dyDescent="0.25">
      <c r="A6171" t="s">
        <v>8392</v>
      </c>
      <c r="B6171">
        <v>13.3</v>
      </c>
    </row>
    <row r="6172" spans="1:3" ht="15" customHeight="1" x14ac:dyDescent="0.25">
      <c r="A6172" t="s">
        <v>8393</v>
      </c>
      <c r="B6172">
        <v>12.3</v>
      </c>
      <c r="C6172">
        <v>0.25</v>
      </c>
    </row>
    <row r="6173" spans="1:3" ht="15" customHeight="1" x14ac:dyDescent="0.25">
      <c r="A6173" t="s">
        <v>8394</v>
      </c>
      <c r="B6173">
        <v>9.8000000000000007</v>
      </c>
    </row>
    <row r="6174" spans="1:3" ht="15" customHeight="1" x14ac:dyDescent="0.25">
      <c r="A6174" t="s">
        <v>8395</v>
      </c>
      <c r="B6174">
        <v>17.399999999999999</v>
      </c>
      <c r="C6174">
        <v>0.25</v>
      </c>
    </row>
    <row r="6175" spans="1:3" ht="15" customHeight="1" x14ac:dyDescent="0.25">
      <c r="A6175" t="s">
        <v>8396</v>
      </c>
      <c r="B6175">
        <v>17.399999999999999</v>
      </c>
      <c r="C6175">
        <v>0.25</v>
      </c>
    </row>
    <row r="6176" spans="1:3" ht="15" customHeight="1" x14ac:dyDescent="0.25">
      <c r="A6176" t="s">
        <v>8397</v>
      </c>
      <c r="B6176">
        <v>17.399999999999999</v>
      </c>
      <c r="C6176">
        <v>0.25</v>
      </c>
    </row>
    <row r="6177" spans="1:3" ht="15" customHeight="1" x14ac:dyDescent="0.25">
      <c r="A6177" t="s">
        <v>8398</v>
      </c>
      <c r="B6177">
        <v>10.5</v>
      </c>
    </row>
    <row r="6178" spans="1:3" ht="15" customHeight="1" x14ac:dyDescent="0.25">
      <c r="A6178" t="s">
        <v>8399</v>
      </c>
      <c r="B6178">
        <v>13.9</v>
      </c>
    </row>
    <row r="6179" spans="1:3" ht="15" customHeight="1" x14ac:dyDescent="0.25">
      <c r="A6179" t="s">
        <v>8400</v>
      </c>
      <c r="B6179">
        <v>12.3</v>
      </c>
      <c r="C6179">
        <v>0.25</v>
      </c>
    </row>
    <row r="6180" spans="1:3" ht="15" customHeight="1" x14ac:dyDescent="0.25">
      <c r="A6180" t="s">
        <v>8401</v>
      </c>
      <c r="B6180">
        <v>20.3</v>
      </c>
      <c r="C6180">
        <v>0.08</v>
      </c>
    </row>
    <row r="6181" spans="1:3" ht="15" customHeight="1" x14ac:dyDescent="0.25">
      <c r="A6181" t="s">
        <v>8402</v>
      </c>
      <c r="B6181">
        <v>20.3</v>
      </c>
      <c r="C6181">
        <v>0.08</v>
      </c>
    </row>
    <row r="6182" spans="1:3" ht="15" customHeight="1" x14ac:dyDescent="0.25">
      <c r="A6182" t="s">
        <v>8403</v>
      </c>
      <c r="B6182">
        <v>27.6</v>
      </c>
      <c r="C6182">
        <v>0.08</v>
      </c>
    </row>
    <row r="6183" spans="1:3" ht="15" customHeight="1" x14ac:dyDescent="0.25">
      <c r="A6183" t="s">
        <v>8404</v>
      </c>
      <c r="B6183">
        <v>27.9</v>
      </c>
      <c r="C6183">
        <v>0.08</v>
      </c>
    </row>
    <row r="6184" spans="1:3" ht="15" customHeight="1" x14ac:dyDescent="0.25">
      <c r="A6184" t="s">
        <v>8405</v>
      </c>
      <c r="B6184">
        <v>27.6</v>
      </c>
      <c r="C6184">
        <v>0.08</v>
      </c>
    </row>
    <row r="6185" spans="1:3" ht="15" customHeight="1" x14ac:dyDescent="0.25">
      <c r="A6185" t="s">
        <v>1151</v>
      </c>
      <c r="B6185">
        <v>27.9</v>
      </c>
      <c r="C6185">
        <v>0.08</v>
      </c>
    </row>
    <row r="6186" spans="1:3" ht="15" customHeight="1" x14ac:dyDescent="0.25">
      <c r="A6186" t="s">
        <v>8406</v>
      </c>
      <c r="B6186">
        <v>27.9</v>
      </c>
      <c r="C6186">
        <v>0.2</v>
      </c>
    </row>
    <row r="6187" spans="1:3" ht="15" customHeight="1" x14ac:dyDescent="0.25">
      <c r="A6187" t="s">
        <v>8407</v>
      </c>
      <c r="B6187">
        <v>27.9</v>
      </c>
      <c r="C6187">
        <v>0.2</v>
      </c>
    </row>
    <row r="6188" spans="1:3" ht="15" customHeight="1" x14ac:dyDescent="0.25">
      <c r="A6188" t="s">
        <v>8408</v>
      </c>
      <c r="B6188">
        <v>28.6</v>
      </c>
      <c r="C6188">
        <v>0.08</v>
      </c>
    </row>
    <row r="6189" spans="1:3" ht="15" customHeight="1" x14ac:dyDescent="0.25">
      <c r="A6189" t="s">
        <v>1791</v>
      </c>
      <c r="B6189">
        <v>28.6</v>
      </c>
      <c r="C6189">
        <v>0.08</v>
      </c>
    </row>
    <row r="6190" spans="1:3" ht="15" customHeight="1" x14ac:dyDescent="0.25">
      <c r="A6190" t="s">
        <v>8409</v>
      </c>
      <c r="B6190">
        <v>28.6</v>
      </c>
      <c r="C6190">
        <v>0.08</v>
      </c>
    </row>
    <row r="6191" spans="1:3" ht="15" customHeight="1" x14ac:dyDescent="0.25">
      <c r="A6191" t="s">
        <v>1422</v>
      </c>
      <c r="B6191">
        <v>28.6</v>
      </c>
      <c r="C6191">
        <v>0.08</v>
      </c>
    </row>
    <row r="6192" spans="1:3" ht="15" customHeight="1" x14ac:dyDescent="0.25">
      <c r="A6192" t="s">
        <v>8410</v>
      </c>
      <c r="B6192">
        <v>28.6</v>
      </c>
      <c r="C6192">
        <v>0.08</v>
      </c>
    </row>
    <row r="6193" spans="1:3" ht="15" customHeight="1" x14ac:dyDescent="0.25">
      <c r="A6193" t="s">
        <v>8411</v>
      </c>
      <c r="B6193">
        <v>28.6</v>
      </c>
      <c r="C6193">
        <v>0.08</v>
      </c>
    </row>
    <row r="6194" spans="1:3" ht="15" customHeight="1" x14ac:dyDescent="0.25">
      <c r="A6194" t="s">
        <v>8412</v>
      </c>
      <c r="B6194">
        <v>28.6</v>
      </c>
      <c r="C6194">
        <v>0.08</v>
      </c>
    </row>
    <row r="6195" spans="1:3" ht="15" customHeight="1" x14ac:dyDescent="0.25">
      <c r="A6195" t="s">
        <v>8413</v>
      </c>
      <c r="B6195">
        <v>28.6</v>
      </c>
      <c r="C6195">
        <v>0.08</v>
      </c>
    </row>
    <row r="6196" spans="1:3" ht="15" customHeight="1" x14ac:dyDescent="0.25">
      <c r="A6196" t="s">
        <v>8414</v>
      </c>
      <c r="B6196">
        <v>28.6</v>
      </c>
      <c r="C6196">
        <v>0.08</v>
      </c>
    </row>
    <row r="6197" spans="1:3" ht="15" customHeight="1" x14ac:dyDescent="0.25">
      <c r="A6197" t="s">
        <v>8415</v>
      </c>
      <c r="B6197">
        <v>28.6</v>
      </c>
      <c r="C6197">
        <v>0.08</v>
      </c>
    </row>
    <row r="6198" spans="1:3" ht="15" customHeight="1" x14ac:dyDescent="0.25">
      <c r="A6198" t="s">
        <v>8416</v>
      </c>
      <c r="B6198">
        <v>28.6</v>
      </c>
      <c r="C6198">
        <v>0.08</v>
      </c>
    </row>
    <row r="6199" spans="1:3" ht="15" customHeight="1" x14ac:dyDescent="0.25">
      <c r="A6199" t="s">
        <v>8417</v>
      </c>
      <c r="B6199">
        <v>28.6</v>
      </c>
      <c r="C6199">
        <v>0.08</v>
      </c>
    </row>
    <row r="6200" spans="1:3" ht="15" customHeight="1" x14ac:dyDescent="0.25">
      <c r="A6200" t="s">
        <v>8418</v>
      </c>
      <c r="B6200">
        <v>27.8</v>
      </c>
      <c r="C6200">
        <v>0.08</v>
      </c>
    </row>
    <row r="6201" spans="1:3" ht="15" customHeight="1" x14ac:dyDescent="0.25">
      <c r="A6201" t="s">
        <v>8419</v>
      </c>
      <c r="B6201">
        <v>27.8</v>
      </c>
      <c r="C6201">
        <v>0.08</v>
      </c>
    </row>
    <row r="6202" spans="1:3" ht="15" customHeight="1" x14ac:dyDescent="0.25">
      <c r="A6202" t="s">
        <v>1458</v>
      </c>
      <c r="B6202">
        <v>27.8</v>
      </c>
      <c r="C6202">
        <v>0.08</v>
      </c>
    </row>
    <row r="6203" spans="1:3" ht="15" customHeight="1" x14ac:dyDescent="0.25">
      <c r="A6203" t="s">
        <v>715</v>
      </c>
      <c r="B6203">
        <v>27.8</v>
      </c>
      <c r="C6203">
        <v>0.08</v>
      </c>
    </row>
    <row r="6204" spans="1:3" ht="15" customHeight="1" x14ac:dyDescent="0.25">
      <c r="A6204" t="s">
        <v>8420</v>
      </c>
      <c r="B6204">
        <v>29.2</v>
      </c>
      <c r="C6204">
        <v>0.08</v>
      </c>
    </row>
    <row r="6205" spans="1:3" ht="15" customHeight="1" x14ac:dyDescent="0.25">
      <c r="A6205" t="s">
        <v>8421</v>
      </c>
      <c r="B6205">
        <v>29.2</v>
      </c>
      <c r="C6205">
        <v>0.08</v>
      </c>
    </row>
    <row r="6206" spans="1:3" ht="15" customHeight="1" x14ac:dyDescent="0.25">
      <c r="A6206" t="s">
        <v>8422</v>
      </c>
      <c r="B6206">
        <v>29.2</v>
      </c>
      <c r="C6206">
        <v>0.08</v>
      </c>
    </row>
    <row r="6207" spans="1:3" ht="15" customHeight="1" x14ac:dyDescent="0.25">
      <c r="A6207" t="s">
        <v>8423</v>
      </c>
      <c r="B6207">
        <v>29.2</v>
      </c>
      <c r="C6207">
        <v>0.08</v>
      </c>
    </row>
    <row r="6208" spans="1:3" ht="15" customHeight="1" x14ac:dyDescent="0.25">
      <c r="A6208" t="s">
        <v>8424</v>
      </c>
      <c r="B6208">
        <v>28.8</v>
      </c>
      <c r="C6208">
        <v>0.08</v>
      </c>
    </row>
    <row r="6209" spans="1:3" ht="15" customHeight="1" x14ac:dyDescent="0.25">
      <c r="A6209" t="s">
        <v>8425</v>
      </c>
      <c r="B6209">
        <v>29.4</v>
      </c>
      <c r="C6209">
        <v>0.08</v>
      </c>
    </row>
    <row r="6210" spans="1:3" ht="15" customHeight="1" x14ac:dyDescent="0.25">
      <c r="A6210" t="s">
        <v>8426</v>
      </c>
      <c r="B6210">
        <v>25.9</v>
      </c>
      <c r="C6210">
        <v>0.25</v>
      </c>
    </row>
    <row r="6211" spans="1:3" ht="15" customHeight="1" x14ac:dyDescent="0.25">
      <c r="A6211" t="s">
        <v>8427</v>
      </c>
      <c r="B6211">
        <v>23.1</v>
      </c>
      <c r="C6211">
        <v>0.2</v>
      </c>
    </row>
    <row r="6212" spans="1:3" ht="15" customHeight="1" x14ac:dyDescent="0.25">
      <c r="A6212" t="s">
        <v>8428</v>
      </c>
      <c r="B6212">
        <v>23.1</v>
      </c>
      <c r="C6212">
        <v>0.2</v>
      </c>
    </row>
    <row r="6213" spans="1:3" ht="15" customHeight="1" x14ac:dyDescent="0.25">
      <c r="A6213" t="s">
        <v>8429</v>
      </c>
      <c r="B6213">
        <v>23.1</v>
      </c>
      <c r="C6213">
        <v>0.2</v>
      </c>
    </row>
    <row r="6214" spans="1:3" ht="15" customHeight="1" x14ac:dyDescent="0.25">
      <c r="A6214" t="s">
        <v>8430</v>
      </c>
      <c r="B6214">
        <v>23.1</v>
      </c>
      <c r="C6214">
        <v>0.2</v>
      </c>
    </row>
    <row r="6215" spans="1:3" ht="15" customHeight="1" x14ac:dyDescent="0.25">
      <c r="A6215" t="s">
        <v>8431</v>
      </c>
      <c r="B6215">
        <v>23.1</v>
      </c>
      <c r="C6215">
        <v>0.2</v>
      </c>
    </row>
    <row r="6216" spans="1:3" ht="15" customHeight="1" x14ac:dyDescent="0.25">
      <c r="A6216" t="s">
        <v>8432</v>
      </c>
      <c r="B6216">
        <v>23.1</v>
      </c>
      <c r="C6216">
        <v>0.2</v>
      </c>
    </row>
    <row r="6217" spans="1:3" ht="15" customHeight="1" x14ac:dyDescent="0.25">
      <c r="A6217" t="s">
        <v>8433</v>
      </c>
      <c r="B6217">
        <v>23.1</v>
      </c>
      <c r="C6217">
        <v>0.2</v>
      </c>
    </row>
    <row r="6218" spans="1:3" ht="15" customHeight="1" x14ac:dyDescent="0.25">
      <c r="A6218" t="s">
        <v>8434</v>
      </c>
      <c r="B6218">
        <v>23.1</v>
      </c>
      <c r="C6218">
        <v>0.2</v>
      </c>
    </row>
    <row r="6219" spans="1:3" ht="15" customHeight="1" x14ac:dyDescent="0.25">
      <c r="A6219" t="s">
        <v>8435</v>
      </c>
      <c r="B6219">
        <v>37.700000000000003</v>
      </c>
      <c r="C6219">
        <v>0.2</v>
      </c>
    </row>
    <row r="6220" spans="1:3" ht="15" customHeight="1" x14ac:dyDescent="0.25">
      <c r="A6220" t="s">
        <v>8436</v>
      </c>
      <c r="B6220">
        <v>37.700000000000003</v>
      </c>
      <c r="C6220">
        <v>0.2</v>
      </c>
    </row>
    <row r="6221" spans="1:3" ht="15" customHeight="1" x14ac:dyDescent="0.25">
      <c r="A6221" t="s">
        <v>8437</v>
      </c>
      <c r="B6221">
        <v>37.700000000000003</v>
      </c>
      <c r="C6221">
        <v>0.2</v>
      </c>
    </row>
    <row r="6222" spans="1:3" ht="15" customHeight="1" x14ac:dyDescent="0.25">
      <c r="A6222" t="s">
        <v>8438</v>
      </c>
      <c r="B6222">
        <v>37.700000000000003</v>
      </c>
      <c r="C6222">
        <v>0.2</v>
      </c>
    </row>
    <row r="6223" spans="1:3" ht="15" customHeight="1" x14ac:dyDescent="0.25">
      <c r="A6223" t="s">
        <v>8439</v>
      </c>
      <c r="B6223">
        <v>45.7</v>
      </c>
      <c r="C6223">
        <v>0.2</v>
      </c>
    </row>
    <row r="6224" spans="1:3" ht="15" customHeight="1" x14ac:dyDescent="0.25">
      <c r="A6224" t="s">
        <v>8440</v>
      </c>
      <c r="B6224">
        <v>45.7</v>
      </c>
      <c r="C6224">
        <v>0.2</v>
      </c>
    </row>
    <row r="6225" spans="1:3" ht="15" customHeight="1" x14ac:dyDescent="0.25">
      <c r="A6225" t="s">
        <v>8441</v>
      </c>
      <c r="B6225">
        <v>45.7</v>
      </c>
      <c r="C6225">
        <v>0.2</v>
      </c>
    </row>
    <row r="6226" spans="1:3" ht="15" customHeight="1" x14ac:dyDescent="0.25">
      <c r="A6226" t="s">
        <v>8442</v>
      </c>
      <c r="B6226">
        <v>45.7</v>
      </c>
      <c r="C6226">
        <v>0.2</v>
      </c>
    </row>
    <row r="6227" spans="1:3" ht="15" customHeight="1" x14ac:dyDescent="0.25">
      <c r="A6227" t="s">
        <v>8443</v>
      </c>
      <c r="B6227">
        <v>29.9</v>
      </c>
      <c r="C6227">
        <v>0.2</v>
      </c>
    </row>
    <row r="6228" spans="1:3" ht="15" customHeight="1" x14ac:dyDescent="0.25">
      <c r="A6228" t="s">
        <v>8444</v>
      </c>
      <c r="B6228">
        <v>29.9</v>
      </c>
      <c r="C6228">
        <v>0.2</v>
      </c>
    </row>
    <row r="6229" spans="1:3" ht="15" customHeight="1" x14ac:dyDescent="0.25">
      <c r="A6229" t="s">
        <v>8445</v>
      </c>
      <c r="B6229">
        <v>29.9</v>
      </c>
      <c r="C6229">
        <v>0.2</v>
      </c>
    </row>
    <row r="6230" spans="1:3" ht="15" customHeight="1" x14ac:dyDescent="0.25">
      <c r="A6230" t="s">
        <v>8446</v>
      </c>
      <c r="B6230">
        <v>29.9</v>
      </c>
      <c r="C6230">
        <v>0.2</v>
      </c>
    </row>
    <row r="6231" spans="1:3" ht="15" customHeight="1" x14ac:dyDescent="0.25">
      <c r="A6231" t="s">
        <v>8447</v>
      </c>
      <c r="B6231">
        <v>35.6</v>
      </c>
      <c r="C6231">
        <v>0.2</v>
      </c>
    </row>
    <row r="6232" spans="1:3" ht="15" customHeight="1" x14ac:dyDescent="0.25">
      <c r="A6232" t="s">
        <v>8448</v>
      </c>
      <c r="B6232">
        <v>35.6</v>
      </c>
      <c r="C6232">
        <v>0.2</v>
      </c>
    </row>
    <row r="6233" spans="1:3" ht="15" customHeight="1" x14ac:dyDescent="0.25">
      <c r="A6233" t="s">
        <v>8449</v>
      </c>
      <c r="B6233">
        <v>35.6</v>
      </c>
      <c r="C6233">
        <v>0.2</v>
      </c>
    </row>
    <row r="6234" spans="1:3" ht="15" customHeight="1" x14ac:dyDescent="0.25">
      <c r="A6234" t="s">
        <v>8450</v>
      </c>
      <c r="B6234">
        <v>35.6</v>
      </c>
      <c r="C6234">
        <v>0.2</v>
      </c>
    </row>
    <row r="6235" spans="1:3" ht="15" customHeight="1" x14ac:dyDescent="0.25">
      <c r="A6235" t="s">
        <v>8451</v>
      </c>
      <c r="B6235">
        <v>49.1</v>
      </c>
      <c r="C6235">
        <v>0.2</v>
      </c>
    </row>
    <row r="6236" spans="1:3" ht="15" customHeight="1" x14ac:dyDescent="0.25">
      <c r="A6236" t="s">
        <v>8452</v>
      </c>
      <c r="B6236">
        <v>49.1</v>
      </c>
      <c r="C6236">
        <v>0.2</v>
      </c>
    </row>
    <row r="6237" spans="1:3" ht="15" customHeight="1" x14ac:dyDescent="0.25">
      <c r="A6237" t="s">
        <v>8453</v>
      </c>
      <c r="B6237">
        <v>49.1</v>
      </c>
      <c r="C6237">
        <v>0.2</v>
      </c>
    </row>
    <row r="6238" spans="1:3" ht="15" customHeight="1" x14ac:dyDescent="0.25">
      <c r="A6238" t="s">
        <v>8454</v>
      </c>
      <c r="B6238">
        <v>49.1</v>
      </c>
      <c r="C6238">
        <v>0.2</v>
      </c>
    </row>
    <row r="6239" spans="1:3" ht="15" customHeight="1" x14ac:dyDescent="0.25">
      <c r="A6239" t="s">
        <v>8455</v>
      </c>
      <c r="B6239">
        <v>8.3000000000000007</v>
      </c>
    </row>
    <row r="6240" spans="1:3" ht="15" customHeight="1" x14ac:dyDescent="0.25">
      <c r="A6240" t="s">
        <v>8456</v>
      </c>
      <c r="B6240">
        <v>8.3000000000000007</v>
      </c>
    </row>
    <row r="6241" spans="1:3" ht="15" customHeight="1" x14ac:dyDescent="0.25">
      <c r="A6241" t="s">
        <v>8457</v>
      </c>
      <c r="B6241">
        <v>8.3000000000000007</v>
      </c>
    </row>
    <row r="6242" spans="1:3" ht="15" customHeight="1" x14ac:dyDescent="0.25">
      <c r="A6242" t="s">
        <v>8458</v>
      </c>
      <c r="B6242">
        <v>8.3000000000000007</v>
      </c>
    </row>
    <row r="6243" spans="1:3" ht="15" customHeight="1" x14ac:dyDescent="0.25">
      <c r="A6243" t="s">
        <v>8459</v>
      </c>
      <c r="B6243">
        <v>8.3000000000000007</v>
      </c>
    </row>
    <row r="6244" spans="1:3" ht="15" customHeight="1" x14ac:dyDescent="0.25">
      <c r="A6244" t="s">
        <v>8460</v>
      </c>
      <c r="B6244">
        <v>8.3000000000000007</v>
      </c>
    </row>
    <row r="6245" spans="1:3" ht="15" customHeight="1" x14ac:dyDescent="0.25">
      <c r="A6245" t="s">
        <v>8461</v>
      </c>
      <c r="B6245">
        <v>8.3000000000000007</v>
      </c>
    </row>
    <row r="6246" spans="1:3" ht="15" customHeight="1" x14ac:dyDescent="0.25">
      <c r="A6246" t="s">
        <v>8462</v>
      </c>
      <c r="B6246">
        <v>9.3000000000000007</v>
      </c>
      <c r="C6246">
        <v>0.4</v>
      </c>
    </row>
    <row r="6247" spans="1:3" ht="15" customHeight="1" x14ac:dyDescent="0.25">
      <c r="A6247" t="s">
        <v>8463</v>
      </c>
      <c r="B6247">
        <v>9.3000000000000007</v>
      </c>
    </row>
    <row r="6248" spans="1:3" ht="15" customHeight="1" x14ac:dyDescent="0.25">
      <c r="A6248" t="s">
        <v>8464</v>
      </c>
      <c r="B6248">
        <v>9.3000000000000007</v>
      </c>
      <c r="C6248">
        <v>0.4</v>
      </c>
    </row>
    <row r="6249" spans="1:3" ht="15" customHeight="1" x14ac:dyDescent="0.25">
      <c r="A6249" t="s">
        <v>8465</v>
      </c>
      <c r="B6249">
        <v>9.3000000000000007</v>
      </c>
      <c r="C6249">
        <v>0.4</v>
      </c>
    </row>
    <row r="6250" spans="1:3" ht="15" customHeight="1" x14ac:dyDescent="0.25">
      <c r="A6250" t="s">
        <v>8466</v>
      </c>
      <c r="B6250">
        <v>9.3000000000000007</v>
      </c>
    </row>
    <row r="6251" spans="1:3" ht="15" customHeight="1" x14ac:dyDescent="0.25">
      <c r="A6251" t="s">
        <v>8467</v>
      </c>
      <c r="B6251">
        <v>9.3000000000000007</v>
      </c>
    </row>
    <row r="6252" spans="1:3" ht="15" customHeight="1" x14ac:dyDescent="0.25">
      <c r="A6252" t="s">
        <v>8468</v>
      </c>
      <c r="B6252">
        <v>9.3000000000000007</v>
      </c>
      <c r="C6252">
        <v>0.4</v>
      </c>
    </row>
    <row r="6253" spans="1:3" ht="15" customHeight="1" x14ac:dyDescent="0.25">
      <c r="A6253" t="s">
        <v>8469</v>
      </c>
      <c r="B6253">
        <v>9.3000000000000007</v>
      </c>
      <c r="C6253">
        <v>0.4</v>
      </c>
    </row>
    <row r="6254" spans="1:3" ht="15" customHeight="1" x14ac:dyDescent="0.25">
      <c r="A6254" t="s">
        <v>8470</v>
      </c>
      <c r="B6254">
        <v>9.3000000000000007</v>
      </c>
      <c r="C6254">
        <v>0.4</v>
      </c>
    </row>
    <row r="6255" spans="1:3" ht="15" customHeight="1" x14ac:dyDescent="0.25">
      <c r="A6255" t="s">
        <v>8471</v>
      </c>
      <c r="B6255">
        <v>9.3000000000000007</v>
      </c>
      <c r="C6255">
        <v>0.4</v>
      </c>
    </row>
    <row r="6256" spans="1:3" ht="15" customHeight="1" x14ac:dyDescent="0.25">
      <c r="A6256" t="s">
        <v>8472</v>
      </c>
      <c r="B6256">
        <v>9.3000000000000007</v>
      </c>
    </row>
    <row r="6257" spans="1:3" ht="15" customHeight="1" x14ac:dyDescent="0.25">
      <c r="A6257" t="s">
        <v>8473</v>
      </c>
      <c r="B6257">
        <v>9.8000000000000007</v>
      </c>
    </row>
    <row r="6258" spans="1:3" ht="15" customHeight="1" x14ac:dyDescent="0.25">
      <c r="A6258" t="s">
        <v>8474</v>
      </c>
      <c r="B6258">
        <v>9.8000000000000007</v>
      </c>
      <c r="C6258">
        <v>0.4</v>
      </c>
    </row>
    <row r="6259" spans="1:3" ht="15" customHeight="1" x14ac:dyDescent="0.25">
      <c r="A6259" t="s">
        <v>8475</v>
      </c>
      <c r="B6259">
        <v>9.8000000000000007</v>
      </c>
      <c r="C6259">
        <v>0.4</v>
      </c>
    </row>
    <row r="6260" spans="1:3" ht="15" customHeight="1" x14ac:dyDescent="0.25">
      <c r="A6260" t="s">
        <v>8476</v>
      </c>
      <c r="B6260">
        <v>9.8000000000000007</v>
      </c>
      <c r="C6260">
        <v>0.4</v>
      </c>
    </row>
    <row r="6261" spans="1:3" ht="15" customHeight="1" x14ac:dyDescent="0.25">
      <c r="A6261" t="s">
        <v>8477</v>
      </c>
      <c r="B6261">
        <v>9.8000000000000007</v>
      </c>
      <c r="C6261">
        <v>0.4</v>
      </c>
    </row>
    <row r="6262" spans="1:3" ht="15" customHeight="1" x14ac:dyDescent="0.25">
      <c r="A6262" t="s">
        <v>8478</v>
      </c>
      <c r="B6262">
        <v>9.8000000000000007</v>
      </c>
      <c r="C6262">
        <v>0.4</v>
      </c>
    </row>
    <row r="6263" spans="1:3" ht="15" customHeight="1" x14ac:dyDescent="0.25">
      <c r="A6263" t="s">
        <v>8479</v>
      </c>
      <c r="B6263">
        <v>9.8000000000000007</v>
      </c>
      <c r="C6263">
        <v>0.4</v>
      </c>
    </row>
    <row r="6264" spans="1:3" ht="15" customHeight="1" x14ac:dyDescent="0.25">
      <c r="A6264" t="s">
        <v>8480</v>
      </c>
      <c r="B6264">
        <v>9.3000000000000007</v>
      </c>
    </row>
    <row r="6265" spans="1:3" ht="15" customHeight="1" x14ac:dyDescent="0.25">
      <c r="A6265" t="s">
        <v>8481</v>
      </c>
      <c r="B6265">
        <v>9.3000000000000007</v>
      </c>
    </row>
    <row r="6266" spans="1:3" ht="15" customHeight="1" x14ac:dyDescent="0.25">
      <c r="A6266" t="s">
        <v>8482</v>
      </c>
      <c r="B6266">
        <v>9.3000000000000007</v>
      </c>
      <c r="C6266">
        <v>0.4</v>
      </c>
    </row>
    <row r="6267" spans="1:3" ht="15" customHeight="1" x14ac:dyDescent="0.25">
      <c r="A6267" t="s">
        <v>8483</v>
      </c>
      <c r="B6267">
        <v>9.3000000000000007</v>
      </c>
    </row>
    <row r="6268" spans="1:3" ht="15" customHeight="1" x14ac:dyDescent="0.25">
      <c r="A6268" t="s">
        <v>8484</v>
      </c>
      <c r="B6268">
        <v>9.3000000000000007</v>
      </c>
      <c r="C6268">
        <v>0.4</v>
      </c>
    </row>
    <row r="6269" spans="1:3" ht="15" customHeight="1" x14ac:dyDescent="0.25">
      <c r="A6269" t="s">
        <v>8485</v>
      </c>
      <c r="B6269">
        <v>9.3000000000000007</v>
      </c>
    </row>
    <row r="6270" spans="1:3" ht="15" customHeight="1" x14ac:dyDescent="0.25">
      <c r="A6270" t="s">
        <v>8486</v>
      </c>
      <c r="B6270">
        <v>9.3000000000000007</v>
      </c>
    </row>
    <row r="6271" spans="1:3" ht="15" customHeight="1" x14ac:dyDescent="0.25">
      <c r="A6271" t="s">
        <v>8487</v>
      </c>
      <c r="B6271">
        <v>9.3000000000000007</v>
      </c>
    </row>
    <row r="6272" spans="1:3" ht="15" customHeight="1" x14ac:dyDescent="0.25">
      <c r="A6272" t="s">
        <v>8488</v>
      </c>
      <c r="B6272">
        <v>9.3000000000000007</v>
      </c>
    </row>
    <row r="6273" spans="1:3" ht="15" customHeight="1" x14ac:dyDescent="0.25">
      <c r="A6273" t="s">
        <v>8489</v>
      </c>
      <c r="B6273">
        <v>9.3000000000000007</v>
      </c>
    </row>
    <row r="6274" spans="1:3" ht="15" customHeight="1" x14ac:dyDescent="0.25">
      <c r="A6274" t="s">
        <v>8490</v>
      </c>
      <c r="B6274">
        <v>9.3000000000000007</v>
      </c>
    </row>
    <row r="6275" spans="1:3" ht="15" customHeight="1" x14ac:dyDescent="0.25">
      <c r="A6275" t="s">
        <v>8491</v>
      </c>
      <c r="B6275">
        <v>9.6</v>
      </c>
    </row>
    <row r="6276" spans="1:3" ht="15" customHeight="1" x14ac:dyDescent="0.25">
      <c r="A6276" t="s">
        <v>8492</v>
      </c>
      <c r="B6276">
        <v>9.6</v>
      </c>
    </row>
    <row r="6277" spans="1:3" ht="15" customHeight="1" x14ac:dyDescent="0.25">
      <c r="A6277" t="s">
        <v>8493</v>
      </c>
      <c r="B6277">
        <v>9.6</v>
      </c>
    </row>
    <row r="6278" spans="1:3" ht="15" customHeight="1" x14ac:dyDescent="0.25">
      <c r="A6278" t="s">
        <v>8494</v>
      </c>
      <c r="B6278">
        <v>9.6</v>
      </c>
    </row>
    <row r="6279" spans="1:3" ht="15" customHeight="1" x14ac:dyDescent="0.25">
      <c r="A6279" t="s">
        <v>8495</v>
      </c>
      <c r="B6279">
        <v>9.6</v>
      </c>
    </row>
    <row r="6280" spans="1:3" ht="15" customHeight="1" x14ac:dyDescent="0.25">
      <c r="A6280" t="s">
        <v>8496</v>
      </c>
      <c r="B6280">
        <v>9.6</v>
      </c>
    </row>
    <row r="6281" spans="1:3" ht="15" customHeight="1" x14ac:dyDescent="0.25">
      <c r="A6281" t="s">
        <v>8497</v>
      </c>
      <c r="B6281">
        <v>9.6</v>
      </c>
      <c r="C6281">
        <v>0.4</v>
      </c>
    </row>
    <row r="6282" spans="1:3" ht="15" customHeight="1" x14ac:dyDescent="0.25">
      <c r="A6282" t="s">
        <v>8498</v>
      </c>
      <c r="B6282">
        <v>9.6</v>
      </c>
      <c r="C6282">
        <v>0.4</v>
      </c>
    </row>
    <row r="6283" spans="1:3" ht="15" customHeight="1" x14ac:dyDescent="0.25">
      <c r="A6283" t="s">
        <v>8499</v>
      </c>
      <c r="B6283">
        <v>9.6</v>
      </c>
    </row>
    <row r="6284" spans="1:3" ht="15" customHeight="1" x14ac:dyDescent="0.25">
      <c r="A6284" t="s">
        <v>8500</v>
      </c>
      <c r="B6284">
        <v>9.6</v>
      </c>
      <c r="C6284">
        <v>0.4</v>
      </c>
    </row>
    <row r="6285" spans="1:3" ht="15" customHeight="1" x14ac:dyDescent="0.25">
      <c r="A6285" t="s">
        <v>8501</v>
      </c>
      <c r="B6285">
        <v>9.6</v>
      </c>
      <c r="C6285">
        <v>0.4</v>
      </c>
    </row>
    <row r="6286" spans="1:3" ht="15" customHeight="1" x14ac:dyDescent="0.25">
      <c r="A6286" t="s">
        <v>8502</v>
      </c>
      <c r="B6286">
        <v>9.6</v>
      </c>
      <c r="C6286">
        <v>0.4</v>
      </c>
    </row>
    <row r="6287" spans="1:3" ht="15" customHeight="1" x14ac:dyDescent="0.25">
      <c r="A6287" t="s">
        <v>8503</v>
      </c>
      <c r="B6287">
        <v>9.6</v>
      </c>
      <c r="C6287">
        <v>0.4</v>
      </c>
    </row>
    <row r="6288" spans="1:3" ht="15" customHeight="1" x14ac:dyDescent="0.25">
      <c r="A6288" t="s">
        <v>8504</v>
      </c>
      <c r="B6288">
        <v>9.6</v>
      </c>
      <c r="C6288">
        <v>0.4</v>
      </c>
    </row>
    <row r="6289" spans="1:3" ht="15" customHeight="1" x14ac:dyDescent="0.25">
      <c r="A6289" t="s">
        <v>8505</v>
      </c>
      <c r="B6289">
        <v>9.6</v>
      </c>
    </row>
    <row r="6290" spans="1:3" ht="15" customHeight="1" x14ac:dyDescent="0.25">
      <c r="A6290" t="s">
        <v>8506</v>
      </c>
      <c r="B6290">
        <v>9.6</v>
      </c>
      <c r="C6290">
        <v>0.4</v>
      </c>
    </row>
    <row r="6291" spans="1:3" ht="15" customHeight="1" x14ac:dyDescent="0.25">
      <c r="A6291" t="s">
        <v>8507</v>
      </c>
      <c r="B6291">
        <v>9.6</v>
      </c>
      <c r="C6291">
        <v>0.4</v>
      </c>
    </row>
    <row r="6292" spans="1:3" ht="15" customHeight="1" x14ac:dyDescent="0.25">
      <c r="A6292" t="s">
        <v>8508</v>
      </c>
      <c r="B6292">
        <v>9.6</v>
      </c>
      <c r="C6292">
        <v>0.4</v>
      </c>
    </row>
    <row r="6293" spans="1:3" ht="15" customHeight="1" x14ac:dyDescent="0.25">
      <c r="A6293" t="s">
        <v>8509</v>
      </c>
      <c r="B6293">
        <v>9.6</v>
      </c>
      <c r="C6293">
        <v>0.4</v>
      </c>
    </row>
    <row r="6294" spans="1:3" ht="15" customHeight="1" x14ac:dyDescent="0.25">
      <c r="A6294" t="s">
        <v>8510</v>
      </c>
      <c r="B6294">
        <v>9.6</v>
      </c>
      <c r="C6294">
        <v>0.4</v>
      </c>
    </row>
    <row r="6295" spans="1:3" ht="15" customHeight="1" x14ac:dyDescent="0.25">
      <c r="A6295" t="s">
        <v>8511</v>
      </c>
      <c r="B6295">
        <v>9.6</v>
      </c>
      <c r="C6295">
        <v>0.4</v>
      </c>
    </row>
    <row r="6296" spans="1:3" ht="15" customHeight="1" x14ac:dyDescent="0.25">
      <c r="A6296" t="s">
        <v>8512</v>
      </c>
      <c r="B6296">
        <v>9.6</v>
      </c>
      <c r="C6296">
        <v>0.4</v>
      </c>
    </row>
    <row r="6297" spans="1:3" ht="15" customHeight="1" x14ac:dyDescent="0.25">
      <c r="A6297" t="s">
        <v>8513</v>
      </c>
      <c r="B6297">
        <v>9.6</v>
      </c>
    </row>
    <row r="6298" spans="1:3" ht="15" customHeight="1" x14ac:dyDescent="0.25">
      <c r="A6298" t="s">
        <v>8514</v>
      </c>
      <c r="B6298">
        <v>9.6</v>
      </c>
    </row>
    <row r="6299" spans="1:3" ht="15" customHeight="1" x14ac:dyDescent="0.25">
      <c r="A6299" t="s">
        <v>8515</v>
      </c>
      <c r="B6299">
        <v>9.6</v>
      </c>
      <c r="C6299">
        <v>0.4</v>
      </c>
    </row>
    <row r="6300" spans="1:3" ht="15" customHeight="1" x14ac:dyDescent="0.25">
      <c r="A6300" t="s">
        <v>8516</v>
      </c>
      <c r="B6300">
        <v>9.6</v>
      </c>
    </row>
    <row r="6301" spans="1:3" ht="15" customHeight="1" x14ac:dyDescent="0.25">
      <c r="A6301" t="s">
        <v>8517</v>
      </c>
      <c r="B6301">
        <v>9.6</v>
      </c>
    </row>
    <row r="6302" spans="1:3" ht="15" customHeight="1" x14ac:dyDescent="0.25">
      <c r="A6302" t="s">
        <v>8518</v>
      </c>
      <c r="B6302">
        <v>9.6</v>
      </c>
    </row>
    <row r="6303" spans="1:3" ht="15" customHeight="1" x14ac:dyDescent="0.25">
      <c r="A6303" t="s">
        <v>8519</v>
      </c>
      <c r="B6303">
        <v>9.6</v>
      </c>
    </row>
    <row r="6304" spans="1:3" ht="15" customHeight="1" x14ac:dyDescent="0.25">
      <c r="A6304" t="s">
        <v>8520</v>
      </c>
      <c r="B6304">
        <v>9.1</v>
      </c>
      <c r="C6304">
        <v>0.4</v>
      </c>
    </row>
    <row r="6305" spans="1:3" ht="15" customHeight="1" x14ac:dyDescent="0.25">
      <c r="A6305" t="s">
        <v>8521</v>
      </c>
      <c r="B6305">
        <v>10.1</v>
      </c>
    </row>
    <row r="6306" spans="1:3" ht="15" customHeight="1" x14ac:dyDescent="0.25">
      <c r="A6306" t="s">
        <v>8522</v>
      </c>
      <c r="B6306">
        <v>10.1</v>
      </c>
    </row>
    <row r="6307" spans="1:3" ht="15" customHeight="1" x14ac:dyDescent="0.25">
      <c r="A6307" t="s">
        <v>8523</v>
      </c>
      <c r="B6307">
        <v>17.399999999999999</v>
      </c>
    </row>
    <row r="6308" spans="1:3" ht="15" customHeight="1" x14ac:dyDescent="0.25">
      <c r="A6308" t="s">
        <v>8524</v>
      </c>
      <c r="B6308">
        <v>17.399999999999999</v>
      </c>
      <c r="C6308">
        <v>0.4</v>
      </c>
    </row>
    <row r="6309" spans="1:3" ht="15" customHeight="1" x14ac:dyDescent="0.25">
      <c r="A6309" t="s">
        <v>8525</v>
      </c>
      <c r="B6309">
        <v>17.399999999999999</v>
      </c>
      <c r="C6309">
        <v>0.4</v>
      </c>
    </row>
    <row r="6310" spans="1:3" ht="15" customHeight="1" x14ac:dyDescent="0.25">
      <c r="A6310" t="s">
        <v>8526</v>
      </c>
      <c r="B6310">
        <v>17.399999999999999</v>
      </c>
      <c r="C6310">
        <v>0.4</v>
      </c>
    </row>
    <row r="6311" spans="1:3" ht="15" customHeight="1" x14ac:dyDescent="0.25">
      <c r="A6311" t="s">
        <v>8527</v>
      </c>
      <c r="B6311">
        <v>17.399999999999999</v>
      </c>
      <c r="C6311">
        <v>0.4</v>
      </c>
    </row>
    <row r="6312" spans="1:3" ht="15" customHeight="1" x14ac:dyDescent="0.25">
      <c r="A6312" t="s">
        <v>8528</v>
      </c>
      <c r="B6312">
        <v>17.399999999999999</v>
      </c>
      <c r="C6312">
        <v>0.4</v>
      </c>
    </row>
    <row r="6313" spans="1:3" ht="15" customHeight="1" x14ac:dyDescent="0.25">
      <c r="A6313" t="s">
        <v>8529</v>
      </c>
      <c r="B6313">
        <v>9.5</v>
      </c>
    </row>
    <row r="6314" spans="1:3" ht="15" customHeight="1" x14ac:dyDescent="0.25">
      <c r="A6314" t="s">
        <v>8530</v>
      </c>
      <c r="B6314">
        <v>9.5</v>
      </c>
    </row>
    <row r="6315" spans="1:3" ht="15" customHeight="1" x14ac:dyDescent="0.25">
      <c r="A6315" t="s">
        <v>8531</v>
      </c>
      <c r="B6315">
        <v>9.5</v>
      </c>
    </row>
    <row r="6316" spans="1:3" ht="15" customHeight="1" x14ac:dyDescent="0.25">
      <c r="A6316" t="s">
        <v>8532</v>
      </c>
      <c r="B6316">
        <v>9.5</v>
      </c>
    </row>
    <row r="6317" spans="1:3" ht="15" customHeight="1" x14ac:dyDescent="0.25">
      <c r="A6317" t="s">
        <v>8533</v>
      </c>
      <c r="B6317">
        <v>9.5</v>
      </c>
      <c r="C6317">
        <v>0.4</v>
      </c>
    </row>
    <row r="6318" spans="1:3" ht="15" customHeight="1" x14ac:dyDescent="0.25">
      <c r="A6318" t="s">
        <v>8534</v>
      </c>
      <c r="B6318">
        <v>5.5</v>
      </c>
    </row>
    <row r="6319" spans="1:3" ht="15" customHeight="1" x14ac:dyDescent="0.25">
      <c r="A6319" t="s">
        <v>8535</v>
      </c>
      <c r="B6319">
        <v>5.5</v>
      </c>
    </row>
    <row r="6320" spans="1:3" ht="15" customHeight="1" x14ac:dyDescent="0.25">
      <c r="A6320" t="s">
        <v>8536</v>
      </c>
      <c r="B6320">
        <v>2.2000000000000002</v>
      </c>
    </row>
    <row r="6321" spans="1:3" ht="15" customHeight="1" x14ac:dyDescent="0.25">
      <c r="A6321" t="s">
        <v>8537</v>
      </c>
      <c r="B6321">
        <v>2.2000000000000002</v>
      </c>
    </row>
    <row r="6322" spans="1:3" ht="15" customHeight="1" x14ac:dyDescent="0.25">
      <c r="A6322" t="s">
        <v>8538</v>
      </c>
      <c r="B6322">
        <v>2.2000000000000002</v>
      </c>
    </row>
    <row r="6323" spans="1:3" ht="15" customHeight="1" x14ac:dyDescent="0.25">
      <c r="A6323" t="s">
        <v>8539</v>
      </c>
      <c r="B6323">
        <v>9.8000000000000007</v>
      </c>
    </row>
    <row r="6324" spans="1:3" ht="15" customHeight="1" x14ac:dyDescent="0.25">
      <c r="A6324" t="s">
        <v>8540</v>
      </c>
      <c r="B6324">
        <v>9.8000000000000007</v>
      </c>
      <c r="C6324">
        <v>0.4</v>
      </c>
    </row>
    <row r="6325" spans="1:3" ht="15" customHeight="1" x14ac:dyDescent="0.25">
      <c r="A6325" t="s">
        <v>8541</v>
      </c>
      <c r="B6325">
        <v>9.8000000000000007</v>
      </c>
      <c r="C6325">
        <v>0.4</v>
      </c>
    </row>
    <row r="6326" spans="1:3" ht="15" customHeight="1" x14ac:dyDescent="0.25">
      <c r="A6326" t="s">
        <v>8542</v>
      </c>
      <c r="B6326">
        <v>9.8000000000000007</v>
      </c>
      <c r="C6326">
        <v>0.4</v>
      </c>
    </row>
    <row r="6327" spans="1:3" ht="15" customHeight="1" x14ac:dyDescent="0.25">
      <c r="A6327" t="s">
        <v>8543</v>
      </c>
      <c r="B6327">
        <v>7.5</v>
      </c>
    </row>
    <row r="6328" spans="1:3" ht="15" customHeight="1" x14ac:dyDescent="0.25">
      <c r="A6328" t="s">
        <v>8544</v>
      </c>
      <c r="B6328">
        <v>7.5</v>
      </c>
    </row>
    <row r="6329" spans="1:3" ht="15" customHeight="1" x14ac:dyDescent="0.25">
      <c r="A6329" t="s">
        <v>8545</v>
      </c>
      <c r="B6329">
        <v>7.5</v>
      </c>
    </row>
    <row r="6330" spans="1:3" ht="15" customHeight="1" x14ac:dyDescent="0.25">
      <c r="A6330" t="s">
        <v>8546</v>
      </c>
      <c r="B6330">
        <v>7.5</v>
      </c>
    </row>
    <row r="6331" spans="1:3" ht="15" customHeight="1" x14ac:dyDescent="0.25">
      <c r="A6331" t="s">
        <v>8547</v>
      </c>
      <c r="B6331">
        <v>7.5</v>
      </c>
    </row>
    <row r="6332" spans="1:3" ht="15" customHeight="1" x14ac:dyDescent="0.25">
      <c r="A6332" t="s">
        <v>8548</v>
      </c>
      <c r="B6332">
        <v>7.5</v>
      </c>
    </row>
    <row r="6333" spans="1:3" ht="15" customHeight="1" x14ac:dyDescent="0.25">
      <c r="A6333" t="s">
        <v>8549</v>
      </c>
      <c r="B6333">
        <v>7.5</v>
      </c>
    </row>
    <row r="6334" spans="1:3" ht="15" customHeight="1" x14ac:dyDescent="0.25">
      <c r="A6334" t="s">
        <v>8550</v>
      </c>
      <c r="B6334">
        <v>7.1</v>
      </c>
      <c r="C6334">
        <v>0.4</v>
      </c>
    </row>
    <row r="6335" spans="1:3" ht="15" customHeight="1" x14ac:dyDescent="0.25">
      <c r="A6335" t="s">
        <v>8551</v>
      </c>
      <c r="B6335">
        <v>7.1</v>
      </c>
    </row>
    <row r="6336" spans="1:3" ht="15" customHeight="1" x14ac:dyDescent="0.25">
      <c r="A6336" t="s">
        <v>8552</v>
      </c>
      <c r="B6336">
        <v>7.1</v>
      </c>
      <c r="C6336">
        <v>0.4</v>
      </c>
    </row>
    <row r="6337" spans="1:3" ht="15" customHeight="1" x14ac:dyDescent="0.25">
      <c r="A6337" t="s">
        <v>8553</v>
      </c>
      <c r="B6337">
        <v>7.1</v>
      </c>
      <c r="C6337">
        <v>0.4</v>
      </c>
    </row>
    <row r="6338" spans="1:3" ht="15" customHeight="1" x14ac:dyDescent="0.25">
      <c r="A6338" t="s">
        <v>8554</v>
      </c>
      <c r="B6338">
        <v>7.1</v>
      </c>
      <c r="C6338">
        <v>0.4</v>
      </c>
    </row>
    <row r="6339" spans="1:3" ht="15" customHeight="1" x14ac:dyDescent="0.25">
      <c r="A6339" t="s">
        <v>8555</v>
      </c>
      <c r="B6339">
        <v>7.1</v>
      </c>
      <c r="C6339">
        <v>0.4</v>
      </c>
    </row>
    <row r="6340" spans="1:3" ht="15" customHeight="1" x14ac:dyDescent="0.25">
      <c r="A6340" t="s">
        <v>8556</v>
      </c>
      <c r="B6340">
        <v>7.1</v>
      </c>
      <c r="C6340">
        <v>0.4</v>
      </c>
    </row>
    <row r="6341" spans="1:3" ht="15" customHeight="1" x14ac:dyDescent="0.25">
      <c r="A6341" t="s">
        <v>8557</v>
      </c>
      <c r="B6341">
        <v>7.1</v>
      </c>
      <c r="C6341">
        <v>0.4</v>
      </c>
    </row>
    <row r="6342" spans="1:3" ht="15" customHeight="1" x14ac:dyDescent="0.25">
      <c r="A6342" t="s">
        <v>8558</v>
      </c>
      <c r="B6342">
        <v>7.1</v>
      </c>
      <c r="C6342">
        <v>0.4</v>
      </c>
    </row>
    <row r="6343" spans="1:3" ht="15" customHeight="1" x14ac:dyDescent="0.25">
      <c r="A6343" t="s">
        <v>8559</v>
      </c>
      <c r="B6343">
        <v>7.1</v>
      </c>
      <c r="C6343">
        <v>0.4</v>
      </c>
    </row>
    <row r="6344" spans="1:3" ht="15" customHeight="1" x14ac:dyDescent="0.25">
      <c r="A6344" t="s">
        <v>8560</v>
      </c>
      <c r="B6344">
        <v>7.1</v>
      </c>
      <c r="C6344">
        <v>0.4</v>
      </c>
    </row>
    <row r="6345" spans="1:3" ht="15" customHeight="1" x14ac:dyDescent="0.25">
      <c r="A6345" t="s">
        <v>8561</v>
      </c>
      <c r="B6345">
        <v>7.1</v>
      </c>
      <c r="C6345">
        <v>0.4</v>
      </c>
    </row>
    <row r="6346" spans="1:3" ht="15" customHeight="1" x14ac:dyDescent="0.25">
      <c r="A6346" t="s">
        <v>8562</v>
      </c>
      <c r="B6346">
        <v>7.1</v>
      </c>
      <c r="C6346">
        <v>0.4</v>
      </c>
    </row>
    <row r="6347" spans="1:3" ht="15" customHeight="1" x14ac:dyDescent="0.25">
      <c r="A6347" t="s">
        <v>8563</v>
      </c>
      <c r="B6347">
        <v>7.1</v>
      </c>
      <c r="C6347">
        <v>0.4</v>
      </c>
    </row>
    <row r="6348" spans="1:3" ht="15" customHeight="1" x14ac:dyDescent="0.25">
      <c r="A6348" t="s">
        <v>8564</v>
      </c>
      <c r="B6348">
        <v>7.1</v>
      </c>
      <c r="C6348">
        <v>0.4</v>
      </c>
    </row>
    <row r="6349" spans="1:3" ht="15" customHeight="1" x14ac:dyDescent="0.25">
      <c r="A6349" t="s">
        <v>8565</v>
      </c>
      <c r="B6349">
        <v>7.1</v>
      </c>
      <c r="C6349">
        <v>0.4</v>
      </c>
    </row>
    <row r="6350" spans="1:3" ht="15" customHeight="1" x14ac:dyDescent="0.25">
      <c r="A6350" t="s">
        <v>8566</v>
      </c>
      <c r="B6350">
        <v>7.1</v>
      </c>
      <c r="C6350">
        <v>0.4</v>
      </c>
    </row>
    <row r="6351" spans="1:3" ht="15" customHeight="1" x14ac:dyDescent="0.25">
      <c r="A6351" t="s">
        <v>8567</v>
      </c>
      <c r="B6351">
        <v>7.1</v>
      </c>
      <c r="C6351">
        <v>0.4</v>
      </c>
    </row>
    <row r="6352" spans="1:3" ht="15" customHeight="1" x14ac:dyDescent="0.25">
      <c r="A6352" t="s">
        <v>8568</v>
      </c>
      <c r="B6352">
        <v>7.1</v>
      </c>
      <c r="C6352">
        <v>0.4</v>
      </c>
    </row>
    <row r="6353" spans="1:3" ht="15" customHeight="1" x14ac:dyDescent="0.25">
      <c r="A6353" t="s">
        <v>1736</v>
      </c>
      <c r="B6353">
        <v>7.1</v>
      </c>
      <c r="C6353">
        <v>0.4</v>
      </c>
    </row>
    <row r="6354" spans="1:3" ht="15" customHeight="1" x14ac:dyDescent="0.25">
      <c r="A6354" t="s">
        <v>8569</v>
      </c>
      <c r="B6354">
        <v>7.1</v>
      </c>
      <c r="C6354">
        <v>0.4</v>
      </c>
    </row>
    <row r="6355" spans="1:3" ht="15" customHeight="1" x14ac:dyDescent="0.25">
      <c r="A6355" t="s">
        <v>8570</v>
      </c>
      <c r="B6355">
        <v>7.1</v>
      </c>
      <c r="C6355">
        <v>0.4</v>
      </c>
    </row>
    <row r="6356" spans="1:3" ht="15" customHeight="1" x14ac:dyDescent="0.25">
      <c r="A6356" t="s">
        <v>8571</v>
      </c>
      <c r="B6356">
        <v>7.1</v>
      </c>
      <c r="C6356">
        <v>0.4</v>
      </c>
    </row>
    <row r="6357" spans="1:3" ht="15" customHeight="1" x14ac:dyDescent="0.25">
      <c r="A6357" t="s">
        <v>8572</v>
      </c>
      <c r="B6357">
        <v>7.1</v>
      </c>
      <c r="C6357">
        <v>0.4</v>
      </c>
    </row>
    <row r="6358" spans="1:3" ht="15" customHeight="1" x14ac:dyDescent="0.25">
      <c r="A6358" t="s">
        <v>8573</v>
      </c>
      <c r="B6358">
        <v>7.1</v>
      </c>
      <c r="C6358">
        <v>0.4</v>
      </c>
    </row>
    <row r="6359" spans="1:3" ht="15" customHeight="1" x14ac:dyDescent="0.25">
      <c r="A6359" t="s">
        <v>8574</v>
      </c>
      <c r="B6359">
        <v>7.1</v>
      </c>
      <c r="C6359">
        <v>0.4</v>
      </c>
    </row>
    <row r="6360" spans="1:3" ht="15" customHeight="1" x14ac:dyDescent="0.25">
      <c r="A6360" t="s">
        <v>8575</v>
      </c>
      <c r="B6360">
        <v>11.8</v>
      </c>
      <c r="C6360">
        <v>0.4</v>
      </c>
    </row>
    <row r="6361" spans="1:3" ht="15" customHeight="1" x14ac:dyDescent="0.25">
      <c r="A6361" t="s">
        <v>8576</v>
      </c>
      <c r="B6361">
        <v>11.8</v>
      </c>
      <c r="C6361">
        <v>0.4</v>
      </c>
    </row>
    <row r="6362" spans="1:3" ht="15" customHeight="1" x14ac:dyDescent="0.25">
      <c r="A6362" t="s">
        <v>8577</v>
      </c>
      <c r="B6362">
        <v>11.8</v>
      </c>
      <c r="C6362">
        <v>0.4</v>
      </c>
    </row>
    <row r="6363" spans="1:3" ht="15" customHeight="1" x14ac:dyDescent="0.25">
      <c r="A6363" t="s">
        <v>8578</v>
      </c>
      <c r="B6363">
        <v>11.8</v>
      </c>
      <c r="C6363">
        <v>0.4</v>
      </c>
    </row>
    <row r="6364" spans="1:3" ht="15" customHeight="1" x14ac:dyDescent="0.25">
      <c r="A6364" t="s">
        <v>8579</v>
      </c>
      <c r="B6364">
        <v>12.3</v>
      </c>
    </row>
    <row r="6365" spans="1:3" ht="15" customHeight="1" x14ac:dyDescent="0.25">
      <c r="A6365" t="s">
        <v>8580</v>
      </c>
      <c r="B6365">
        <v>12.3</v>
      </c>
    </row>
    <row r="6366" spans="1:3" ht="15" customHeight="1" x14ac:dyDescent="0.25">
      <c r="A6366" t="s">
        <v>8581</v>
      </c>
      <c r="B6366">
        <v>12.3</v>
      </c>
    </row>
    <row r="6367" spans="1:3" ht="15" customHeight="1" x14ac:dyDescent="0.25">
      <c r="A6367" t="s">
        <v>8582</v>
      </c>
      <c r="B6367">
        <v>9.5</v>
      </c>
      <c r="C6367">
        <v>0.4</v>
      </c>
    </row>
    <row r="6368" spans="1:3" ht="15" customHeight="1" x14ac:dyDescent="0.25">
      <c r="A6368" t="s">
        <v>8583</v>
      </c>
      <c r="B6368">
        <v>9.5</v>
      </c>
      <c r="C6368">
        <v>0.4</v>
      </c>
    </row>
    <row r="6369" spans="1:3" ht="15" customHeight="1" x14ac:dyDescent="0.25">
      <c r="A6369" t="s">
        <v>8584</v>
      </c>
      <c r="B6369">
        <v>9.5</v>
      </c>
      <c r="C6369">
        <v>0.4</v>
      </c>
    </row>
    <row r="6370" spans="1:3" ht="15" customHeight="1" x14ac:dyDescent="0.25">
      <c r="A6370" t="s">
        <v>8585</v>
      </c>
      <c r="B6370">
        <v>9.5</v>
      </c>
    </row>
    <row r="6371" spans="1:3" ht="15" customHeight="1" x14ac:dyDescent="0.25">
      <c r="A6371" t="s">
        <v>8586</v>
      </c>
      <c r="B6371">
        <v>10.8</v>
      </c>
    </row>
    <row r="6372" spans="1:3" ht="15" customHeight="1" x14ac:dyDescent="0.25">
      <c r="A6372" t="s">
        <v>8587</v>
      </c>
      <c r="B6372">
        <v>10.8</v>
      </c>
    </row>
    <row r="6373" spans="1:3" ht="15" customHeight="1" x14ac:dyDescent="0.25">
      <c r="A6373" t="s">
        <v>8588</v>
      </c>
      <c r="B6373">
        <v>10.8</v>
      </c>
    </row>
    <row r="6374" spans="1:3" ht="15" customHeight="1" x14ac:dyDescent="0.25">
      <c r="A6374" t="s">
        <v>8589</v>
      </c>
      <c r="B6374">
        <v>10.8</v>
      </c>
    </row>
    <row r="6375" spans="1:3" ht="15" customHeight="1" x14ac:dyDescent="0.25">
      <c r="A6375" t="s">
        <v>8590</v>
      </c>
      <c r="B6375">
        <v>7</v>
      </c>
      <c r="C6375">
        <v>0.4</v>
      </c>
    </row>
    <row r="6376" spans="1:3" ht="15" customHeight="1" x14ac:dyDescent="0.25">
      <c r="A6376" t="s">
        <v>8591</v>
      </c>
      <c r="B6376">
        <v>7</v>
      </c>
      <c r="C6376">
        <v>0.4</v>
      </c>
    </row>
    <row r="6377" spans="1:3" ht="15" customHeight="1" x14ac:dyDescent="0.25">
      <c r="A6377" t="s">
        <v>8592</v>
      </c>
      <c r="B6377">
        <v>7</v>
      </c>
    </row>
    <row r="6378" spans="1:3" ht="15" customHeight="1" x14ac:dyDescent="0.25">
      <c r="A6378" t="s">
        <v>8593</v>
      </c>
      <c r="B6378">
        <v>7</v>
      </c>
      <c r="C6378">
        <v>0.4</v>
      </c>
    </row>
    <row r="6379" spans="1:3" ht="15" customHeight="1" x14ac:dyDescent="0.25">
      <c r="A6379" t="s">
        <v>8594</v>
      </c>
      <c r="B6379">
        <v>7</v>
      </c>
      <c r="C6379">
        <v>0.4</v>
      </c>
    </row>
    <row r="6380" spans="1:3" ht="15" customHeight="1" x14ac:dyDescent="0.25">
      <c r="A6380" t="s">
        <v>8595</v>
      </c>
      <c r="B6380">
        <v>7</v>
      </c>
      <c r="C6380">
        <v>0.4</v>
      </c>
    </row>
    <row r="6381" spans="1:3" ht="15" customHeight="1" x14ac:dyDescent="0.25">
      <c r="A6381" t="s">
        <v>8596</v>
      </c>
      <c r="B6381">
        <v>7</v>
      </c>
      <c r="C6381">
        <v>0.4</v>
      </c>
    </row>
    <row r="6382" spans="1:3" ht="15" customHeight="1" x14ac:dyDescent="0.25">
      <c r="A6382" t="s">
        <v>8597</v>
      </c>
      <c r="B6382">
        <v>7</v>
      </c>
      <c r="C6382">
        <v>0.4</v>
      </c>
    </row>
    <row r="6383" spans="1:3" ht="15" customHeight="1" x14ac:dyDescent="0.25">
      <c r="A6383" t="s">
        <v>8598</v>
      </c>
      <c r="B6383">
        <v>7</v>
      </c>
      <c r="C6383">
        <v>0.4</v>
      </c>
    </row>
    <row r="6384" spans="1:3" ht="15" customHeight="1" x14ac:dyDescent="0.25">
      <c r="A6384" t="s">
        <v>8599</v>
      </c>
      <c r="B6384">
        <v>7</v>
      </c>
      <c r="C6384">
        <v>0.4</v>
      </c>
    </row>
    <row r="6385" spans="1:3" ht="15" customHeight="1" x14ac:dyDescent="0.25">
      <c r="A6385" t="s">
        <v>8600</v>
      </c>
      <c r="B6385">
        <v>7</v>
      </c>
      <c r="C6385">
        <v>0.4</v>
      </c>
    </row>
    <row r="6386" spans="1:3" ht="15" customHeight="1" x14ac:dyDescent="0.25">
      <c r="A6386" t="s">
        <v>8601</v>
      </c>
      <c r="B6386">
        <v>7</v>
      </c>
      <c r="C6386">
        <v>0.4</v>
      </c>
    </row>
    <row r="6387" spans="1:3" ht="15" customHeight="1" x14ac:dyDescent="0.25">
      <c r="A6387" t="s">
        <v>8602</v>
      </c>
      <c r="B6387">
        <v>7</v>
      </c>
      <c r="C6387">
        <v>0.4</v>
      </c>
    </row>
    <row r="6388" spans="1:3" ht="15" customHeight="1" x14ac:dyDescent="0.25">
      <c r="A6388" t="s">
        <v>8603</v>
      </c>
      <c r="B6388">
        <v>7</v>
      </c>
      <c r="C6388">
        <v>0.4</v>
      </c>
    </row>
    <row r="6389" spans="1:3" ht="15" customHeight="1" x14ac:dyDescent="0.25">
      <c r="A6389" t="s">
        <v>8604</v>
      </c>
      <c r="B6389">
        <v>7</v>
      </c>
      <c r="C6389">
        <v>0.4</v>
      </c>
    </row>
    <row r="6390" spans="1:3" ht="15" customHeight="1" x14ac:dyDescent="0.25">
      <c r="A6390" t="s">
        <v>8605</v>
      </c>
      <c r="B6390">
        <v>7</v>
      </c>
      <c r="C6390">
        <v>0.4</v>
      </c>
    </row>
    <row r="6391" spans="1:3" ht="15" customHeight="1" x14ac:dyDescent="0.25">
      <c r="A6391" t="s">
        <v>8606</v>
      </c>
      <c r="B6391">
        <v>7</v>
      </c>
      <c r="C6391">
        <v>0.4</v>
      </c>
    </row>
    <row r="6392" spans="1:3" ht="15" customHeight="1" x14ac:dyDescent="0.25">
      <c r="A6392" t="s">
        <v>8607</v>
      </c>
      <c r="B6392">
        <v>7</v>
      </c>
      <c r="C6392">
        <v>0.4</v>
      </c>
    </row>
    <row r="6393" spans="1:3" ht="15" customHeight="1" x14ac:dyDescent="0.25">
      <c r="A6393" t="s">
        <v>8608</v>
      </c>
      <c r="B6393">
        <v>7</v>
      </c>
      <c r="C6393">
        <v>0.4</v>
      </c>
    </row>
    <row r="6394" spans="1:3" ht="15" customHeight="1" x14ac:dyDescent="0.25">
      <c r="A6394" t="s">
        <v>8609</v>
      </c>
      <c r="B6394">
        <v>7</v>
      </c>
      <c r="C6394">
        <v>0.4</v>
      </c>
    </row>
    <row r="6395" spans="1:3" ht="15" customHeight="1" x14ac:dyDescent="0.25">
      <c r="A6395" t="s">
        <v>8610</v>
      </c>
      <c r="B6395">
        <v>7</v>
      </c>
      <c r="C6395">
        <v>0.4</v>
      </c>
    </row>
    <row r="6396" spans="1:3" ht="15" customHeight="1" x14ac:dyDescent="0.25">
      <c r="A6396" t="s">
        <v>8611</v>
      </c>
      <c r="B6396">
        <v>7</v>
      </c>
    </row>
    <row r="6397" spans="1:3" ht="15" customHeight="1" x14ac:dyDescent="0.25">
      <c r="A6397" t="s">
        <v>8612</v>
      </c>
      <c r="B6397">
        <v>7</v>
      </c>
      <c r="C6397">
        <v>0.4</v>
      </c>
    </row>
    <row r="6398" spans="1:3" ht="15" customHeight="1" x14ac:dyDescent="0.25">
      <c r="A6398" t="s">
        <v>8613</v>
      </c>
      <c r="B6398">
        <v>7</v>
      </c>
      <c r="C6398">
        <v>0.4</v>
      </c>
    </row>
    <row r="6399" spans="1:3" ht="15" customHeight="1" x14ac:dyDescent="0.25">
      <c r="A6399" t="s">
        <v>8614</v>
      </c>
      <c r="B6399">
        <v>7</v>
      </c>
      <c r="C6399">
        <v>0.4</v>
      </c>
    </row>
    <row r="6400" spans="1:3" ht="15" customHeight="1" x14ac:dyDescent="0.25">
      <c r="A6400" t="s">
        <v>8615</v>
      </c>
      <c r="B6400">
        <v>7</v>
      </c>
      <c r="C6400">
        <v>0.4</v>
      </c>
    </row>
    <row r="6401" spans="1:3" ht="15" customHeight="1" x14ac:dyDescent="0.25">
      <c r="A6401" t="s">
        <v>8616</v>
      </c>
      <c r="B6401">
        <v>7</v>
      </c>
    </row>
    <row r="6402" spans="1:3" ht="15" customHeight="1" x14ac:dyDescent="0.25">
      <c r="A6402" t="s">
        <v>8617</v>
      </c>
      <c r="B6402">
        <v>7</v>
      </c>
    </row>
    <row r="6403" spans="1:3" ht="15" customHeight="1" x14ac:dyDescent="0.25">
      <c r="A6403" t="s">
        <v>8618</v>
      </c>
      <c r="B6403">
        <v>7</v>
      </c>
      <c r="C6403">
        <v>0.4</v>
      </c>
    </row>
    <row r="6404" spans="1:3" ht="15" customHeight="1" x14ac:dyDescent="0.25">
      <c r="A6404" t="s">
        <v>8619</v>
      </c>
      <c r="B6404">
        <v>7</v>
      </c>
    </row>
    <row r="6405" spans="1:3" ht="15" customHeight="1" x14ac:dyDescent="0.25">
      <c r="A6405" t="s">
        <v>8620</v>
      </c>
      <c r="B6405">
        <v>7</v>
      </c>
    </row>
    <row r="6406" spans="1:3" ht="15" customHeight="1" x14ac:dyDescent="0.25">
      <c r="A6406" t="s">
        <v>8621</v>
      </c>
      <c r="B6406">
        <v>7</v>
      </c>
    </row>
    <row r="6407" spans="1:3" ht="15" customHeight="1" x14ac:dyDescent="0.25">
      <c r="A6407" t="s">
        <v>8622</v>
      </c>
      <c r="B6407">
        <v>7</v>
      </c>
      <c r="C6407">
        <v>0.4</v>
      </c>
    </row>
    <row r="6408" spans="1:3" ht="15" customHeight="1" x14ac:dyDescent="0.25">
      <c r="A6408" t="s">
        <v>8623</v>
      </c>
      <c r="B6408">
        <v>7</v>
      </c>
    </row>
    <row r="6409" spans="1:3" ht="15" customHeight="1" x14ac:dyDescent="0.25">
      <c r="A6409" t="s">
        <v>8624</v>
      </c>
      <c r="B6409">
        <v>7</v>
      </c>
      <c r="C6409">
        <v>0.4</v>
      </c>
    </row>
    <row r="6410" spans="1:3" ht="15" customHeight="1" x14ac:dyDescent="0.25">
      <c r="A6410" t="s">
        <v>8625</v>
      </c>
      <c r="B6410">
        <v>7</v>
      </c>
    </row>
    <row r="6411" spans="1:3" ht="15" customHeight="1" x14ac:dyDescent="0.25">
      <c r="A6411" t="s">
        <v>8626</v>
      </c>
      <c r="B6411">
        <v>32.299999999999997</v>
      </c>
      <c r="C6411">
        <v>0.02</v>
      </c>
    </row>
    <row r="6412" spans="1:3" ht="15" customHeight="1" x14ac:dyDescent="0.25">
      <c r="A6412" t="s">
        <v>8627</v>
      </c>
      <c r="B6412">
        <v>32.299999999999997</v>
      </c>
      <c r="C6412">
        <v>0.02</v>
      </c>
    </row>
    <row r="6413" spans="1:3" ht="15" customHeight="1" x14ac:dyDescent="0.25">
      <c r="A6413" t="s">
        <v>8628</v>
      </c>
      <c r="B6413">
        <v>32.299999999999997</v>
      </c>
      <c r="C6413">
        <v>0.02</v>
      </c>
    </row>
    <row r="6414" spans="1:3" ht="15" customHeight="1" x14ac:dyDescent="0.25">
      <c r="A6414" t="s">
        <v>8629</v>
      </c>
      <c r="B6414">
        <v>32.299999999999997</v>
      </c>
      <c r="C6414">
        <v>0.02</v>
      </c>
    </row>
    <row r="6415" spans="1:3" ht="15" customHeight="1" x14ac:dyDescent="0.25">
      <c r="A6415" t="s">
        <v>8630</v>
      </c>
      <c r="B6415">
        <v>32.299999999999997</v>
      </c>
      <c r="C6415">
        <v>0.02</v>
      </c>
    </row>
    <row r="6416" spans="1:3" ht="15" customHeight="1" x14ac:dyDescent="0.25">
      <c r="A6416" t="s">
        <v>8631</v>
      </c>
      <c r="B6416">
        <v>32.299999999999997</v>
      </c>
      <c r="C6416">
        <v>0.02</v>
      </c>
    </row>
    <row r="6417" spans="1:3" ht="15" customHeight="1" x14ac:dyDescent="0.25">
      <c r="A6417" t="s">
        <v>8632</v>
      </c>
      <c r="B6417">
        <v>32.299999999999997</v>
      </c>
      <c r="C6417">
        <v>0.02</v>
      </c>
    </row>
    <row r="6418" spans="1:3" ht="15" customHeight="1" x14ac:dyDescent="0.25">
      <c r="A6418" t="s">
        <v>8633</v>
      </c>
      <c r="B6418">
        <v>32.299999999999997</v>
      </c>
      <c r="C6418">
        <v>0.02</v>
      </c>
    </row>
    <row r="6419" spans="1:3" ht="15" customHeight="1" x14ac:dyDescent="0.25">
      <c r="A6419" t="s">
        <v>8634</v>
      </c>
      <c r="B6419">
        <v>17.3</v>
      </c>
      <c r="C6419">
        <v>0.25</v>
      </c>
    </row>
    <row r="6420" spans="1:3" ht="15" customHeight="1" x14ac:dyDescent="0.25">
      <c r="A6420" t="s">
        <v>8635</v>
      </c>
      <c r="B6420">
        <v>17.3</v>
      </c>
      <c r="C6420">
        <v>0.25</v>
      </c>
    </row>
    <row r="6421" spans="1:3" ht="15" customHeight="1" x14ac:dyDescent="0.25">
      <c r="A6421" t="s">
        <v>8636</v>
      </c>
      <c r="B6421">
        <v>17.3</v>
      </c>
    </row>
    <row r="6422" spans="1:3" ht="15" customHeight="1" x14ac:dyDescent="0.25">
      <c r="A6422" t="s">
        <v>8637</v>
      </c>
      <c r="B6422">
        <v>17.3</v>
      </c>
    </row>
    <row r="6423" spans="1:3" ht="15" customHeight="1" x14ac:dyDescent="0.25">
      <c r="A6423" t="s">
        <v>8638</v>
      </c>
      <c r="B6423">
        <v>17.3</v>
      </c>
    </row>
    <row r="6424" spans="1:3" ht="15" customHeight="1" x14ac:dyDescent="0.25">
      <c r="A6424" t="s">
        <v>1095</v>
      </c>
      <c r="B6424">
        <v>17.3</v>
      </c>
      <c r="C6424">
        <v>0.25</v>
      </c>
    </row>
    <row r="6425" spans="1:3" ht="15" customHeight="1" x14ac:dyDescent="0.25">
      <c r="A6425" t="s">
        <v>8639</v>
      </c>
      <c r="B6425">
        <v>17.3</v>
      </c>
    </row>
    <row r="6426" spans="1:3" ht="15" customHeight="1" x14ac:dyDescent="0.25">
      <c r="A6426" t="s">
        <v>8640</v>
      </c>
      <c r="B6426">
        <v>17.3</v>
      </c>
    </row>
    <row r="6427" spans="1:3" ht="15" customHeight="1" x14ac:dyDescent="0.25">
      <c r="A6427" t="s">
        <v>8641</v>
      </c>
      <c r="B6427">
        <v>17.3</v>
      </c>
      <c r="C6427">
        <v>0.25</v>
      </c>
    </row>
    <row r="6428" spans="1:3" ht="15" customHeight="1" x14ac:dyDescent="0.25">
      <c r="A6428" t="s">
        <v>8642</v>
      </c>
      <c r="B6428">
        <v>17.3</v>
      </c>
    </row>
    <row r="6429" spans="1:3" ht="15" customHeight="1" x14ac:dyDescent="0.25">
      <c r="A6429" t="s">
        <v>8643</v>
      </c>
      <c r="B6429">
        <v>17.3</v>
      </c>
      <c r="C6429">
        <v>0.25</v>
      </c>
    </row>
    <row r="6430" spans="1:3" ht="15" customHeight="1" x14ac:dyDescent="0.25">
      <c r="A6430" t="s">
        <v>8644</v>
      </c>
      <c r="B6430">
        <v>17.3</v>
      </c>
      <c r="C6430">
        <v>0.25</v>
      </c>
    </row>
    <row r="6431" spans="1:3" ht="15" customHeight="1" x14ac:dyDescent="0.25">
      <c r="A6431" t="s">
        <v>8645</v>
      </c>
      <c r="B6431">
        <v>17.3</v>
      </c>
      <c r="C6431">
        <v>0.25</v>
      </c>
    </row>
    <row r="6432" spans="1:3" ht="15" customHeight="1" x14ac:dyDescent="0.25">
      <c r="A6432" t="s">
        <v>8646</v>
      </c>
      <c r="B6432">
        <v>17.3</v>
      </c>
    </row>
    <row r="6433" spans="1:3" ht="15" customHeight="1" x14ac:dyDescent="0.25">
      <c r="A6433" t="s">
        <v>1109</v>
      </c>
      <c r="B6433">
        <v>17.3</v>
      </c>
      <c r="C6433">
        <v>0.25</v>
      </c>
    </row>
    <row r="6434" spans="1:3" ht="15" customHeight="1" x14ac:dyDescent="0.25">
      <c r="A6434" t="s">
        <v>8647</v>
      </c>
      <c r="B6434">
        <v>17.3</v>
      </c>
    </row>
    <row r="6435" spans="1:3" ht="15" customHeight="1" x14ac:dyDescent="0.25">
      <c r="A6435" t="s">
        <v>1914</v>
      </c>
      <c r="B6435">
        <v>17.3</v>
      </c>
      <c r="C6435">
        <v>0.25</v>
      </c>
    </row>
    <row r="6436" spans="1:3" ht="15" customHeight="1" x14ac:dyDescent="0.25">
      <c r="A6436" t="s">
        <v>8648</v>
      </c>
      <c r="B6436">
        <v>17.3</v>
      </c>
      <c r="C6436">
        <v>0.25</v>
      </c>
    </row>
    <row r="6437" spans="1:3" ht="15" customHeight="1" x14ac:dyDescent="0.25">
      <c r="A6437" t="s">
        <v>8649</v>
      </c>
      <c r="B6437">
        <v>17.3</v>
      </c>
      <c r="C6437">
        <v>0.25</v>
      </c>
    </row>
    <row r="6438" spans="1:3" ht="15" customHeight="1" x14ac:dyDescent="0.25">
      <c r="A6438" t="s">
        <v>8650</v>
      </c>
      <c r="B6438">
        <v>17.3</v>
      </c>
      <c r="C6438">
        <v>0.25</v>
      </c>
    </row>
    <row r="6439" spans="1:3" ht="15" customHeight="1" x14ac:dyDescent="0.25">
      <c r="A6439" t="s">
        <v>8651</v>
      </c>
      <c r="B6439">
        <v>17.3</v>
      </c>
      <c r="C6439">
        <v>0.25</v>
      </c>
    </row>
    <row r="6440" spans="1:3" ht="15" customHeight="1" x14ac:dyDescent="0.25">
      <c r="A6440" t="s">
        <v>8652</v>
      </c>
      <c r="B6440">
        <v>17.3</v>
      </c>
    </row>
    <row r="6441" spans="1:3" ht="15" customHeight="1" x14ac:dyDescent="0.25">
      <c r="A6441" t="s">
        <v>8653</v>
      </c>
      <c r="B6441">
        <v>17.3</v>
      </c>
      <c r="C6441">
        <v>0.25</v>
      </c>
    </row>
    <row r="6442" spans="1:3" ht="15" customHeight="1" x14ac:dyDescent="0.25">
      <c r="A6442" t="s">
        <v>8654</v>
      </c>
      <c r="B6442">
        <v>17.3</v>
      </c>
    </row>
    <row r="6443" spans="1:3" ht="15" customHeight="1" x14ac:dyDescent="0.25">
      <c r="A6443" t="s">
        <v>8655</v>
      </c>
      <c r="B6443">
        <v>17.3</v>
      </c>
    </row>
    <row r="6444" spans="1:3" ht="15" customHeight="1" x14ac:dyDescent="0.25">
      <c r="A6444" t="s">
        <v>8656</v>
      </c>
      <c r="B6444">
        <v>17.3</v>
      </c>
      <c r="C6444">
        <v>0.25</v>
      </c>
    </row>
    <row r="6445" spans="1:3" ht="15" customHeight="1" x14ac:dyDescent="0.25">
      <c r="A6445" t="s">
        <v>8657</v>
      </c>
      <c r="B6445">
        <v>17.3</v>
      </c>
    </row>
    <row r="6446" spans="1:3" ht="15" customHeight="1" x14ac:dyDescent="0.25">
      <c r="A6446" t="s">
        <v>8658</v>
      </c>
      <c r="B6446">
        <v>17.3</v>
      </c>
    </row>
    <row r="6447" spans="1:3" ht="15" customHeight="1" x14ac:dyDescent="0.25">
      <c r="A6447" t="s">
        <v>8659</v>
      </c>
      <c r="B6447">
        <v>19.8</v>
      </c>
    </row>
    <row r="6448" spans="1:3" ht="15" customHeight="1" x14ac:dyDescent="0.25">
      <c r="A6448" t="s">
        <v>8660</v>
      </c>
      <c r="B6448">
        <v>19.8</v>
      </c>
    </row>
    <row r="6449" spans="1:3" ht="15" customHeight="1" x14ac:dyDescent="0.25">
      <c r="A6449" t="s">
        <v>8661</v>
      </c>
      <c r="B6449">
        <v>19.8</v>
      </c>
    </row>
    <row r="6450" spans="1:3" ht="15" customHeight="1" x14ac:dyDescent="0.25">
      <c r="A6450" t="s">
        <v>8662</v>
      </c>
      <c r="B6450">
        <v>19.8</v>
      </c>
    </row>
    <row r="6451" spans="1:3" ht="15" customHeight="1" x14ac:dyDescent="0.25">
      <c r="A6451" t="s">
        <v>8663</v>
      </c>
      <c r="B6451">
        <v>19.8</v>
      </c>
      <c r="C6451">
        <v>0.3</v>
      </c>
    </row>
    <row r="6452" spans="1:3" ht="15" customHeight="1" x14ac:dyDescent="0.25">
      <c r="A6452" t="s">
        <v>8664</v>
      </c>
      <c r="B6452">
        <v>19.8</v>
      </c>
      <c r="C6452">
        <v>0.3</v>
      </c>
    </row>
    <row r="6453" spans="1:3" ht="15" customHeight="1" x14ac:dyDescent="0.25">
      <c r="A6453" t="s">
        <v>8665</v>
      </c>
      <c r="B6453">
        <v>19.8</v>
      </c>
    </row>
    <row r="6454" spans="1:3" ht="15" customHeight="1" x14ac:dyDescent="0.25">
      <c r="A6454" t="s">
        <v>8666</v>
      </c>
      <c r="B6454">
        <v>19.8</v>
      </c>
    </row>
    <row r="6455" spans="1:3" ht="15" customHeight="1" x14ac:dyDescent="0.25">
      <c r="A6455" t="s">
        <v>8667</v>
      </c>
      <c r="B6455">
        <v>19.8</v>
      </c>
      <c r="C6455">
        <v>0.3</v>
      </c>
    </row>
    <row r="6456" spans="1:3" ht="15" customHeight="1" x14ac:dyDescent="0.25">
      <c r="A6456" t="s">
        <v>8668</v>
      </c>
      <c r="B6456">
        <v>19.8</v>
      </c>
      <c r="C6456">
        <v>0.3</v>
      </c>
    </row>
    <row r="6457" spans="1:3" ht="15" customHeight="1" x14ac:dyDescent="0.25">
      <c r="A6457" t="s">
        <v>8669</v>
      </c>
      <c r="B6457">
        <v>19.8</v>
      </c>
      <c r="C6457">
        <v>0.3</v>
      </c>
    </row>
    <row r="6458" spans="1:3" ht="15" customHeight="1" x14ac:dyDescent="0.25">
      <c r="A6458" t="s">
        <v>8670</v>
      </c>
      <c r="B6458">
        <v>19.8</v>
      </c>
    </row>
    <row r="6459" spans="1:3" ht="15" customHeight="1" x14ac:dyDescent="0.25">
      <c r="A6459" t="s">
        <v>8671</v>
      </c>
      <c r="B6459">
        <v>19.8</v>
      </c>
    </row>
    <row r="6460" spans="1:3" ht="15" customHeight="1" x14ac:dyDescent="0.25">
      <c r="A6460" t="s">
        <v>8672</v>
      </c>
      <c r="B6460">
        <v>19.8</v>
      </c>
    </row>
    <row r="6461" spans="1:3" ht="15" customHeight="1" x14ac:dyDescent="0.25">
      <c r="A6461" t="s">
        <v>8673</v>
      </c>
      <c r="B6461">
        <v>19.8</v>
      </c>
    </row>
    <row r="6462" spans="1:3" ht="15" customHeight="1" x14ac:dyDescent="0.25">
      <c r="A6462" t="s">
        <v>8674</v>
      </c>
      <c r="B6462">
        <v>19.8</v>
      </c>
    </row>
    <row r="6463" spans="1:3" ht="15" customHeight="1" x14ac:dyDescent="0.25">
      <c r="A6463" t="s">
        <v>8675</v>
      </c>
      <c r="B6463">
        <v>19.8</v>
      </c>
      <c r="C6463">
        <v>0.3</v>
      </c>
    </row>
    <row r="6464" spans="1:3" ht="15" customHeight="1" x14ac:dyDescent="0.25">
      <c r="A6464" t="s">
        <v>8676</v>
      </c>
      <c r="B6464">
        <v>19.8</v>
      </c>
      <c r="C6464">
        <v>0.3</v>
      </c>
    </row>
    <row r="6465" spans="1:3" ht="15" customHeight="1" x14ac:dyDescent="0.25">
      <c r="A6465" t="s">
        <v>8677</v>
      </c>
      <c r="B6465">
        <v>19.8</v>
      </c>
    </row>
    <row r="6466" spans="1:3" ht="15" customHeight="1" x14ac:dyDescent="0.25">
      <c r="A6466" t="s">
        <v>8678</v>
      </c>
      <c r="B6466">
        <v>19.8</v>
      </c>
      <c r="C6466">
        <v>0.3</v>
      </c>
    </row>
    <row r="6467" spans="1:3" ht="15" customHeight="1" x14ac:dyDescent="0.25">
      <c r="A6467" t="s">
        <v>8679</v>
      </c>
      <c r="B6467">
        <v>19.8</v>
      </c>
      <c r="C6467">
        <v>0.3</v>
      </c>
    </row>
    <row r="6468" spans="1:3" ht="15" customHeight="1" x14ac:dyDescent="0.25">
      <c r="A6468" t="s">
        <v>8680</v>
      </c>
      <c r="B6468">
        <v>19.8</v>
      </c>
      <c r="C6468">
        <v>0.3</v>
      </c>
    </row>
    <row r="6469" spans="1:3" ht="15" customHeight="1" x14ac:dyDescent="0.25">
      <c r="A6469" t="s">
        <v>8681</v>
      </c>
      <c r="B6469">
        <v>19.8</v>
      </c>
    </row>
    <row r="6470" spans="1:3" ht="15" customHeight="1" x14ac:dyDescent="0.25">
      <c r="A6470" t="s">
        <v>8682</v>
      </c>
      <c r="B6470">
        <v>19.8</v>
      </c>
      <c r="C6470">
        <v>0.3</v>
      </c>
    </row>
    <row r="6471" spans="1:3" ht="15" customHeight="1" x14ac:dyDescent="0.25">
      <c r="A6471" t="s">
        <v>8683</v>
      </c>
      <c r="B6471">
        <v>19.8</v>
      </c>
      <c r="C6471">
        <v>0.3</v>
      </c>
    </row>
    <row r="6472" spans="1:3" ht="15" customHeight="1" x14ac:dyDescent="0.25">
      <c r="A6472" t="s">
        <v>8684</v>
      </c>
      <c r="B6472">
        <v>19.8</v>
      </c>
      <c r="C6472">
        <v>0.3</v>
      </c>
    </row>
    <row r="6473" spans="1:3" ht="15" customHeight="1" x14ac:dyDescent="0.25">
      <c r="A6473" t="s">
        <v>8685</v>
      </c>
      <c r="B6473">
        <v>19.8</v>
      </c>
    </row>
    <row r="6474" spans="1:3" ht="15" customHeight="1" x14ac:dyDescent="0.25">
      <c r="A6474" t="s">
        <v>8686</v>
      </c>
      <c r="B6474">
        <v>19.8</v>
      </c>
      <c r="C6474">
        <v>0.3</v>
      </c>
    </row>
    <row r="6475" spans="1:3" ht="15" customHeight="1" x14ac:dyDescent="0.25">
      <c r="A6475" t="s">
        <v>8687</v>
      </c>
      <c r="B6475">
        <v>19.8</v>
      </c>
    </row>
    <row r="6476" spans="1:3" ht="15" customHeight="1" x14ac:dyDescent="0.25">
      <c r="A6476" t="s">
        <v>8688</v>
      </c>
      <c r="B6476">
        <v>19.8</v>
      </c>
    </row>
    <row r="6477" spans="1:3" ht="15" customHeight="1" x14ac:dyDescent="0.25">
      <c r="A6477" t="s">
        <v>8689</v>
      </c>
      <c r="B6477">
        <v>19.8</v>
      </c>
    </row>
    <row r="6478" spans="1:3" ht="15" customHeight="1" x14ac:dyDescent="0.25">
      <c r="A6478" t="s">
        <v>8690</v>
      </c>
      <c r="B6478">
        <v>19.8</v>
      </c>
      <c r="C6478">
        <v>0.3</v>
      </c>
    </row>
    <row r="6479" spans="1:3" ht="15" customHeight="1" x14ac:dyDescent="0.25">
      <c r="A6479" t="s">
        <v>8691</v>
      </c>
      <c r="B6479">
        <v>19.8</v>
      </c>
    </row>
    <row r="6480" spans="1:3" ht="15" customHeight="1" x14ac:dyDescent="0.25">
      <c r="A6480" t="s">
        <v>8692</v>
      </c>
      <c r="B6480">
        <v>19.8</v>
      </c>
    </row>
    <row r="6481" spans="1:3" ht="15" customHeight="1" x14ac:dyDescent="0.25">
      <c r="A6481" t="s">
        <v>8693</v>
      </c>
      <c r="B6481">
        <v>19.8</v>
      </c>
      <c r="C6481">
        <v>0.3</v>
      </c>
    </row>
    <row r="6482" spans="1:3" ht="15" customHeight="1" x14ac:dyDescent="0.25">
      <c r="A6482" t="s">
        <v>8694</v>
      </c>
      <c r="B6482">
        <v>19.8</v>
      </c>
    </row>
    <row r="6483" spans="1:3" ht="15" customHeight="1" x14ac:dyDescent="0.25">
      <c r="A6483" t="s">
        <v>8695</v>
      </c>
      <c r="B6483">
        <v>19.8</v>
      </c>
      <c r="C6483">
        <v>0.3</v>
      </c>
    </row>
    <row r="6484" spans="1:3" ht="15" customHeight="1" x14ac:dyDescent="0.25">
      <c r="A6484" t="s">
        <v>8696</v>
      </c>
      <c r="B6484">
        <v>19.8</v>
      </c>
      <c r="C6484">
        <v>0.3</v>
      </c>
    </row>
    <row r="6485" spans="1:3" ht="15" customHeight="1" x14ac:dyDescent="0.25">
      <c r="A6485" t="s">
        <v>8697</v>
      </c>
      <c r="B6485">
        <v>19.8</v>
      </c>
    </row>
    <row r="6486" spans="1:3" ht="15" customHeight="1" x14ac:dyDescent="0.25">
      <c r="A6486" t="s">
        <v>8698</v>
      </c>
      <c r="B6486">
        <v>18.8</v>
      </c>
      <c r="C6486">
        <v>0.01</v>
      </c>
    </row>
    <row r="6487" spans="1:3" ht="15" customHeight="1" x14ac:dyDescent="0.25">
      <c r="A6487" t="s">
        <v>421</v>
      </c>
      <c r="B6487">
        <v>18.8</v>
      </c>
      <c r="C6487">
        <v>0.01</v>
      </c>
    </row>
    <row r="6488" spans="1:3" ht="15" customHeight="1" x14ac:dyDescent="0.25">
      <c r="A6488" t="s">
        <v>229</v>
      </c>
      <c r="B6488">
        <v>18.8</v>
      </c>
      <c r="C6488">
        <v>0.01</v>
      </c>
    </row>
    <row r="6489" spans="1:3" ht="15" customHeight="1" x14ac:dyDescent="0.25">
      <c r="A6489" t="s">
        <v>8699</v>
      </c>
      <c r="B6489">
        <v>18.8</v>
      </c>
      <c r="C6489">
        <v>0.01</v>
      </c>
    </row>
    <row r="6490" spans="1:3" ht="15" customHeight="1" x14ac:dyDescent="0.25">
      <c r="A6490" t="s">
        <v>224</v>
      </c>
      <c r="B6490">
        <v>18.8</v>
      </c>
      <c r="C6490">
        <v>0.01</v>
      </c>
    </row>
    <row r="6491" spans="1:3" ht="15" customHeight="1" x14ac:dyDescent="0.25">
      <c r="A6491" t="s">
        <v>227</v>
      </c>
      <c r="B6491">
        <v>18.8</v>
      </c>
      <c r="C6491">
        <v>0.01</v>
      </c>
    </row>
    <row r="6492" spans="1:3" ht="15" customHeight="1" x14ac:dyDescent="0.25">
      <c r="A6492" t="s">
        <v>228</v>
      </c>
      <c r="B6492">
        <v>18.8</v>
      </c>
      <c r="C6492">
        <v>0.01</v>
      </c>
    </row>
    <row r="6493" spans="1:3" ht="15" customHeight="1" x14ac:dyDescent="0.25">
      <c r="A6493" t="s">
        <v>727</v>
      </c>
      <c r="B6493">
        <v>18.8</v>
      </c>
      <c r="C6493">
        <v>0.01</v>
      </c>
    </row>
    <row r="6494" spans="1:3" ht="15" customHeight="1" x14ac:dyDescent="0.25">
      <c r="A6494" t="s">
        <v>8700</v>
      </c>
      <c r="B6494">
        <v>18.8</v>
      </c>
      <c r="C6494">
        <v>0.05</v>
      </c>
    </row>
    <row r="6495" spans="1:3" ht="15" customHeight="1" x14ac:dyDescent="0.25">
      <c r="A6495" t="s">
        <v>480</v>
      </c>
      <c r="B6495">
        <v>18.8</v>
      </c>
      <c r="C6495">
        <v>0.01</v>
      </c>
    </row>
    <row r="6496" spans="1:3" ht="15" customHeight="1" x14ac:dyDescent="0.25">
      <c r="A6496" t="s">
        <v>747</v>
      </c>
      <c r="B6496">
        <v>18.8</v>
      </c>
      <c r="C6496">
        <v>0.05</v>
      </c>
    </row>
    <row r="6497" spans="1:3" ht="15" customHeight="1" x14ac:dyDescent="0.25">
      <c r="A6497" t="s">
        <v>8701</v>
      </c>
      <c r="B6497">
        <v>18.8</v>
      </c>
      <c r="C6497">
        <v>0.05</v>
      </c>
    </row>
    <row r="6498" spans="1:3" ht="15" customHeight="1" x14ac:dyDescent="0.25">
      <c r="A6498" t="s">
        <v>8702</v>
      </c>
      <c r="B6498">
        <v>18.8</v>
      </c>
      <c r="C6498">
        <v>0.01</v>
      </c>
    </row>
    <row r="6499" spans="1:3" ht="15" customHeight="1" x14ac:dyDescent="0.25">
      <c r="A6499" t="s">
        <v>883</v>
      </c>
      <c r="B6499">
        <v>16.3</v>
      </c>
      <c r="C6499">
        <v>0.05</v>
      </c>
    </row>
    <row r="6500" spans="1:3" ht="15" customHeight="1" x14ac:dyDescent="0.25">
      <c r="A6500" t="s">
        <v>1433</v>
      </c>
      <c r="B6500">
        <v>16.3</v>
      </c>
      <c r="C6500">
        <v>0.01</v>
      </c>
    </row>
    <row r="6501" spans="1:3" ht="15" customHeight="1" x14ac:dyDescent="0.25">
      <c r="A6501" t="s">
        <v>8703</v>
      </c>
      <c r="B6501">
        <v>16.3</v>
      </c>
      <c r="C6501">
        <v>0.01</v>
      </c>
    </row>
    <row r="6502" spans="1:3" ht="15" customHeight="1" x14ac:dyDescent="0.25">
      <c r="A6502" t="s">
        <v>8704</v>
      </c>
      <c r="B6502">
        <v>16.3</v>
      </c>
      <c r="C6502">
        <v>0.05</v>
      </c>
    </row>
    <row r="6503" spans="1:3" ht="15" customHeight="1" x14ac:dyDescent="0.25">
      <c r="A6503" t="s">
        <v>598</v>
      </c>
      <c r="B6503">
        <v>16.3</v>
      </c>
      <c r="C6503">
        <v>0.05</v>
      </c>
    </row>
    <row r="6504" spans="1:3" ht="15" customHeight="1" x14ac:dyDescent="0.25">
      <c r="A6504" t="s">
        <v>8705</v>
      </c>
      <c r="B6504">
        <v>16.3</v>
      </c>
      <c r="C6504">
        <v>0.01</v>
      </c>
    </row>
    <row r="6505" spans="1:3" ht="15" customHeight="1" x14ac:dyDescent="0.25">
      <c r="A6505" t="s">
        <v>8706</v>
      </c>
      <c r="B6505">
        <v>16.3</v>
      </c>
      <c r="C6505">
        <v>0.05</v>
      </c>
    </row>
    <row r="6506" spans="1:3" ht="15" customHeight="1" x14ac:dyDescent="0.25">
      <c r="A6506" t="s">
        <v>448</v>
      </c>
      <c r="B6506">
        <v>16.3</v>
      </c>
      <c r="C6506">
        <v>0.01</v>
      </c>
    </row>
    <row r="6507" spans="1:3" ht="15" customHeight="1" x14ac:dyDescent="0.25">
      <c r="A6507" t="s">
        <v>8707</v>
      </c>
      <c r="B6507">
        <v>16.3</v>
      </c>
      <c r="C6507">
        <v>0.05</v>
      </c>
    </row>
    <row r="6508" spans="1:3" ht="15" customHeight="1" x14ac:dyDescent="0.25">
      <c r="A6508" t="s">
        <v>2071</v>
      </c>
      <c r="B6508">
        <v>16.3</v>
      </c>
      <c r="C6508">
        <v>0.01</v>
      </c>
    </row>
    <row r="6509" spans="1:3" ht="15" customHeight="1" x14ac:dyDescent="0.25">
      <c r="A6509" t="s">
        <v>2070</v>
      </c>
      <c r="B6509">
        <v>16.3</v>
      </c>
      <c r="C6509">
        <v>0.05</v>
      </c>
    </row>
    <row r="6510" spans="1:3" ht="15" customHeight="1" x14ac:dyDescent="0.25">
      <c r="A6510" t="s">
        <v>8708</v>
      </c>
      <c r="B6510">
        <v>16.3</v>
      </c>
      <c r="C6510">
        <v>0.05</v>
      </c>
    </row>
    <row r="6511" spans="1:3" ht="15" customHeight="1" x14ac:dyDescent="0.25">
      <c r="A6511" t="s">
        <v>8709</v>
      </c>
      <c r="B6511">
        <v>16.3</v>
      </c>
      <c r="C6511">
        <v>0.05</v>
      </c>
    </row>
    <row r="6512" spans="1:3" ht="15" customHeight="1" x14ac:dyDescent="0.25">
      <c r="A6512" t="s">
        <v>8710</v>
      </c>
      <c r="B6512">
        <v>13.6</v>
      </c>
      <c r="C6512">
        <v>0.05</v>
      </c>
    </row>
    <row r="6513" spans="1:3" ht="15" customHeight="1" x14ac:dyDescent="0.25">
      <c r="A6513" t="s">
        <v>8711</v>
      </c>
      <c r="B6513">
        <v>13.6</v>
      </c>
      <c r="C6513">
        <v>0.01</v>
      </c>
    </row>
    <row r="6514" spans="1:3" ht="15" customHeight="1" x14ac:dyDescent="0.25">
      <c r="A6514" t="s">
        <v>1638</v>
      </c>
      <c r="B6514">
        <v>13.6</v>
      </c>
      <c r="C6514">
        <v>0.01</v>
      </c>
    </row>
    <row r="6515" spans="1:3" ht="15" customHeight="1" x14ac:dyDescent="0.25">
      <c r="A6515" t="s">
        <v>8712</v>
      </c>
      <c r="B6515">
        <v>13.6</v>
      </c>
      <c r="C6515">
        <v>0.01</v>
      </c>
    </row>
    <row r="6516" spans="1:3" ht="15" customHeight="1" x14ac:dyDescent="0.25">
      <c r="A6516" t="s">
        <v>8713</v>
      </c>
      <c r="B6516">
        <v>13.6</v>
      </c>
      <c r="C6516">
        <v>0.05</v>
      </c>
    </row>
    <row r="6517" spans="1:3" ht="15" customHeight="1" x14ac:dyDescent="0.25">
      <c r="A6517" t="s">
        <v>8714</v>
      </c>
      <c r="B6517">
        <v>13.6</v>
      </c>
      <c r="C6517">
        <v>0.05</v>
      </c>
    </row>
    <row r="6518" spans="1:3" ht="15" customHeight="1" x14ac:dyDescent="0.25">
      <c r="A6518" t="s">
        <v>8715</v>
      </c>
      <c r="B6518">
        <v>13.6</v>
      </c>
      <c r="C6518">
        <v>0.05</v>
      </c>
    </row>
    <row r="6519" spans="1:3" ht="15" customHeight="1" x14ac:dyDescent="0.25">
      <c r="A6519" t="s">
        <v>8716</v>
      </c>
      <c r="B6519">
        <v>13.6</v>
      </c>
      <c r="C6519">
        <v>0.01</v>
      </c>
    </row>
    <row r="6520" spans="1:3" ht="15" customHeight="1" x14ac:dyDescent="0.25">
      <c r="A6520" t="s">
        <v>8717</v>
      </c>
      <c r="B6520">
        <v>13.6</v>
      </c>
      <c r="C6520">
        <v>0.05</v>
      </c>
    </row>
    <row r="6521" spans="1:3" ht="15" customHeight="1" x14ac:dyDescent="0.25">
      <c r="A6521" t="s">
        <v>8718</v>
      </c>
      <c r="B6521">
        <v>13.6</v>
      </c>
      <c r="C6521">
        <v>0.01</v>
      </c>
    </row>
    <row r="6522" spans="1:3" ht="15" customHeight="1" x14ac:dyDescent="0.25">
      <c r="A6522" t="s">
        <v>8719</v>
      </c>
      <c r="B6522">
        <v>13.6</v>
      </c>
      <c r="C6522">
        <v>0.05</v>
      </c>
    </row>
    <row r="6523" spans="1:3" ht="15" customHeight="1" x14ac:dyDescent="0.25">
      <c r="A6523" t="s">
        <v>8720</v>
      </c>
      <c r="B6523">
        <v>13.6</v>
      </c>
      <c r="C6523">
        <v>0.05</v>
      </c>
    </row>
    <row r="6524" spans="1:3" ht="15" customHeight="1" x14ac:dyDescent="0.25">
      <c r="A6524" t="s">
        <v>8721</v>
      </c>
      <c r="B6524">
        <v>13.6</v>
      </c>
      <c r="C6524">
        <v>0.01</v>
      </c>
    </row>
    <row r="6525" spans="1:3" ht="15" customHeight="1" x14ac:dyDescent="0.25">
      <c r="A6525" t="s">
        <v>8722</v>
      </c>
      <c r="B6525">
        <v>14.9</v>
      </c>
      <c r="C6525">
        <v>0.05</v>
      </c>
    </row>
    <row r="6526" spans="1:3" ht="15" customHeight="1" x14ac:dyDescent="0.25">
      <c r="A6526" t="s">
        <v>8723</v>
      </c>
      <c r="B6526">
        <v>14.9</v>
      </c>
      <c r="C6526">
        <v>0.01</v>
      </c>
    </row>
    <row r="6527" spans="1:3" ht="15" customHeight="1" x14ac:dyDescent="0.25">
      <c r="A6527" t="s">
        <v>1563</v>
      </c>
      <c r="B6527">
        <v>14.9</v>
      </c>
      <c r="C6527">
        <v>0.01</v>
      </c>
    </row>
    <row r="6528" spans="1:3" ht="15" customHeight="1" x14ac:dyDescent="0.25">
      <c r="A6528" t="s">
        <v>8724</v>
      </c>
      <c r="B6528">
        <v>14.9</v>
      </c>
      <c r="C6528">
        <v>0.05</v>
      </c>
    </row>
    <row r="6529" spans="1:3" ht="15" customHeight="1" x14ac:dyDescent="0.25">
      <c r="A6529" t="s">
        <v>8725</v>
      </c>
      <c r="B6529">
        <v>14.9</v>
      </c>
      <c r="C6529">
        <v>0.05</v>
      </c>
    </row>
    <row r="6530" spans="1:3" ht="15" customHeight="1" x14ac:dyDescent="0.25">
      <c r="A6530" t="s">
        <v>1045</v>
      </c>
      <c r="B6530">
        <v>14.9</v>
      </c>
      <c r="C6530">
        <v>0.05</v>
      </c>
    </row>
    <row r="6531" spans="1:3" ht="15" customHeight="1" x14ac:dyDescent="0.25">
      <c r="A6531" t="s">
        <v>8726</v>
      </c>
      <c r="B6531">
        <v>14.9</v>
      </c>
      <c r="C6531">
        <v>0.05</v>
      </c>
    </row>
    <row r="6532" spans="1:3" ht="15" customHeight="1" x14ac:dyDescent="0.25">
      <c r="A6532" t="s">
        <v>365</v>
      </c>
      <c r="B6532">
        <v>14.9</v>
      </c>
      <c r="C6532">
        <v>0.01</v>
      </c>
    </row>
    <row r="6533" spans="1:3" ht="15" customHeight="1" x14ac:dyDescent="0.25">
      <c r="A6533" t="s">
        <v>8727</v>
      </c>
      <c r="B6533">
        <v>14.9</v>
      </c>
      <c r="C6533">
        <v>0.05</v>
      </c>
    </row>
    <row r="6534" spans="1:3" ht="15" customHeight="1" x14ac:dyDescent="0.25">
      <c r="A6534" t="s">
        <v>8728</v>
      </c>
      <c r="B6534">
        <v>14.9</v>
      </c>
      <c r="C6534">
        <v>0.01</v>
      </c>
    </row>
    <row r="6535" spans="1:3" ht="15" customHeight="1" x14ac:dyDescent="0.25">
      <c r="A6535" t="s">
        <v>8729</v>
      </c>
      <c r="B6535">
        <v>14.9</v>
      </c>
      <c r="C6535">
        <v>0.05</v>
      </c>
    </row>
    <row r="6536" spans="1:3" ht="15" customHeight="1" x14ac:dyDescent="0.25">
      <c r="A6536" t="s">
        <v>8730</v>
      </c>
      <c r="B6536">
        <v>14.9</v>
      </c>
      <c r="C6536">
        <v>0.05</v>
      </c>
    </row>
    <row r="6537" spans="1:3" ht="15" customHeight="1" x14ac:dyDescent="0.25">
      <c r="A6537" t="s">
        <v>8731</v>
      </c>
      <c r="B6537">
        <v>14.9</v>
      </c>
      <c r="C6537">
        <v>0.05</v>
      </c>
    </row>
    <row r="6538" spans="1:3" ht="15" customHeight="1" x14ac:dyDescent="0.25">
      <c r="A6538" t="s">
        <v>8732</v>
      </c>
      <c r="B6538">
        <v>40</v>
      </c>
      <c r="C6538">
        <v>0.25</v>
      </c>
    </row>
    <row r="6539" spans="1:3" ht="15" customHeight="1" x14ac:dyDescent="0.25">
      <c r="A6539" t="s">
        <v>8733</v>
      </c>
      <c r="B6539">
        <v>40</v>
      </c>
      <c r="C6539">
        <v>0.25</v>
      </c>
    </row>
    <row r="6540" spans="1:3" ht="15" customHeight="1" x14ac:dyDescent="0.25">
      <c r="A6540" t="s">
        <v>8734</v>
      </c>
      <c r="B6540">
        <v>40</v>
      </c>
      <c r="C6540">
        <v>0.25</v>
      </c>
    </row>
    <row r="6541" spans="1:3" ht="15" customHeight="1" x14ac:dyDescent="0.25">
      <c r="A6541" t="s">
        <v>8735</v>
      </c>
      <c r="B6541">
        <v>34.9</v>
      </c>
      <c r="C6541">
        <v>0.25</v>
      </c>
    </row>
    <row r="6542" spans="1:3" ht="15" customHeight="1" x14ac:dyDescent="0.25">
      <c r="A6542" t="s">
        <v>8736</v>
      </c>
      <c r="B6542">
        <v>34.9</v>
      </c>
      <c r="C6542">
        <v>0.25</v>
      </c>
    </row>
    <row r="6543" spans="1:3" ht="15" customHeight="1" x14ac:dyDescent="0.25">
      <c r="A6543" t="s">
        <v>8737</v>
      </c>
      <c r="B6543">
        <v>34.9</v>
      </c>
      <c r="C6543">
        <v>0.25</v>
      </c>
    </row>
    <row r="6544" spans="1:3" ht="15" customHeight="1" x14ac:dyDescent="0.25">
      <c r="A6544" t="s">
        <v>8738</v>
      </c>
      <c r="B6544">
        <v>31.7</v>
      </c>
      <c r="C6544">
        <v>0.25</v>
      </c>
    </row>
    <row r="6545" spans="1:3" ht="15" customHeight="1" x14ac:dyDescent="0.25">
      <c r="A6545" t="s">
        <v>8739</v>
      </c>
      <c r="B6545">
        <v>31.7</v>
      </c>
      <c r="C6545">
        <v>0.25</v>
      </c>
    </row>
    <row r="6546" spans="1:3" ht="15" customHeight="1" x14ac:dyDescent="0.25">
      <c r="A6546" t="s">
        <v>8740</v>
      </c>
      <c r="B6546">
        <v>31.7</v>
      </c>
      <c r="C6546">
        <v>0.25</v>
      </c>
    </row>
    <row r="6547" spans="1:3" ht="15" customHeight="1" x14ac:dyDescent="0.25">
      <c r="A6547" t="s">
        <v>8741</v>
      </c>
      <c r="B6547">
        <v>15.9</v>
      </c>
      <c r="C6547">
        <v>0.25</v>
      </c>
    </row>
    <row r="6548" spans="1:3" ht="15" customHeight="1" x14ac:dyDescent="0.25">
      <c r="A6548" t="s">
        <v>8742</v>
      </c>
      <c r="B6548">
        <v>15.9</v>
      </c>
      <c r="C6548">
        <v>0.25</v>
      </c>
    </row>
    <row r="6549" spans="1:3" ht="15" customHeight="1" x14ac:dyDescent="0.25">
      <c r="A6549" t="s">
        <v>8743</v>
      </c>
      <c r="B6549">
        <v>15.9</v>
      </c>
    </row>
    <row r="6550" spans="1:3" ht="15" customHeight="1" x14ac:dyDescent="0.25">
      <c r="A6550" t="s">
        <v>8744</v>
      </c>
      <c r="B6550">
        <v>15.9</v>
      </c>
    </row>
    <row r="6551" spans="1:3" ht="15" customHeight="1" x14ac:dyDescent="0.25">
      <c r="A6551" t="s">
        <v>8745</v>
      </c>
      <c r="B6551">
        <v>15.9</v>
      </c>
    </row>
    <row r="6552" spans="1:3" ht="15" customHeight="1" x14ac:dyDescent="0.25">
      <c r="A6552" t="s">
        <v>8746</v>
      </c>
      <c r="B6552">
        <v>15.9</v>
      </c>
    </row>
    <row r="6553" spans="1:3" ht="15" customHeight="1" x14ac:dyDescent="0.25">
      <c r="A6553" t="s">
        <v>8747</v>
      </c>
      <c r="B6553">
        <v>16.3</v>
      </c>
    </row>
    <row r="6554" spans="1:3" ht="15" customHeight="1" x14ac:dyDescent="0.25">
      <c r="A6554" t="s">
        <v>8748</v>
      </c>
      <c r="B6554">
        <v>16.3</v>
      </c>
    </row>
    <row r="6555" spans="1:3" ht="15" customHeight="1" x14ac:dyDescent="0.25">
      <c r="A6555" t="s">
        <v>8749</v>
      </c>
      <c r="B6555">
        <v>27.9</v>
      </c>
      <c r="C6555">
        <v>0.05</v>
      </c>
    </row>
    <row r="6556" spans="1:3" ht="15" customHeight="1" x14ac:dyDescent="0.25">
      <c r="A6556" t="s">
        <v>8750</v>
      </c>
      <c r="B6556">
        <v>27.9</v>
      </c>
      <c r="C6556">
        <v>0.05</v>
      </c>
    </row>
    <row r="6557" spans="1:3" ht="15" customHeight="1" x14ac:dyDescent="0.25">
      <c r="A6557" t="s">
        <v>8751</v>
      </c>
      <c r="B6557">
        <v>27.9</v>
      </c>
      <c r="C6557">
        <v>0.05</v>
      </c>
    </row>
    <row r="6558" spans="1:3" ht="15" customHeight="1" x14ac:dyDescent="0.25">
      <c r="A6558" t="s">
        <v>8752</v>
      </c>
      <c r="B6558">
        <v>27.9</v>
      </c>
      <c r="C6558">
        <v>0.05</v>
      </c>
    </row>
    <row r="6559" spans="1:3" ht="15" customHeight="1" x14ac:dyDescent="0.25">
      <c r="A6559" t="s">
        <v>8753</v>
      </c>
      <c r="B6559">
        <v>27.9</v>
      </c>
      <c r="C6559">
        <v>0.05</v>
      </c>
    </row>
    <row r="6560" spans="1:3" ht="15" customHeight="1" x14ac:dyDescent="0.25">
      <c r="A6560" t="s">
        <v>8754</v>
      </c>
      <c r="B6560">
        <v>24.4</v>
      </c>
      <c r="C6560">
        <v>0.05</v>
      </c>
    </row>
    <row r="6561" spans="1:3" ht="15" customHeight="1" x14ac:dyDescent="0.25">
      <c r="A6561" t="s">
        <v>8755</v>
      </c>
      <c r="B6561">
        <v>24.4</v>
      </c>
      <c r="C6561">
        <v>0.05</v>
      </c>
    </row>
    <row r="6562" spans="1:3" ht="15" customHeight="1" x14ac:dyDescent="0.25">
      <c r="A6562" t="s">
        <v>8756</v>
      </c>
      <c r="B6562">
        <v>24.4</v>
      </c>
      <c r="C6562">
        <v>0.05</v>
      </c>
    </row>
    <row r="6563" spans="1:3" ht="15" customHeight="1" x14ac:dyDescent="0.25">
      <c r="A6563" t="s">
        <v>8757</v>
      </c>
      <c r="B6563">
        <v>24.4</v>
      </c>
      <c r="C6563">
        <v>0.05</v>
      </c>
    </row>
    <row r="6564" spans="1:3" ht="15" customHeight="1" x14ac:dyDescent="0.25">
      <c r="A6564" t="s">
        <v>8758</v>
      </c>
      <c r="B6564">
        <v>24.4</v>
      </c>
      <c r="C6564">
        <v>0.05</v>
      </c>
    </row>
    <row r="6565" spans="1:3" ht="15" customHeight="1" x14ac:dyDescent="0.25">
      <c r="A6565" t="s">
        <v>8759</v>
      </c>
      <c r="B6565">
        <v>19.600000000000001</v>
      </c>
      <c r="C6565">
        <v>0.05</v>
      </c>
    </row>
    <row r="6566" spans="1:3" ht="15" customHeight="1" x14ac:dyDescent="0.25">
      <c r="A6566" t="s">
        <v>8760</v>
      </c>
      <c r="B6566">
        <v>19.600000000000001</v>
      </c>
      <c r="C6566">
        <v>0.05</v>
      </c>
    </row>
    <row r="6567" spans="1:3" ht="15" customHeight="1" x14ac:dyDescent="0.25">
      <c r="A6567" t="s">
        <v>8761</v>
      </c>
      <c r="B6567">
        <v>19.600000000000001</v>
      </c>
      <c r="C6567">
        <v>0.05</v>
      </c>
    </row>
    <row r="6568" spans="1:3" ht="15" customHeight="1" x14ac:dyDescent="0.25">
      <c r="A6568" t="s">
        <v>8762</v>
      </c>
      <c r="B6568">
        <v>19.600000000000001</v>
      </c>
      <c r="C6568">
        <v>0.05</v>
      </c>
    </row>
    <row r="6569" spans="1:3" ht="15" customHeight="1" x14ac:dyDescent="0.25">
      <c r="A6569" t="s">
        <v>8763</v>
      </c>
      <c r="B6569">
        <v>19.600000000000001</v>
      </c>
      <c r="C6569">
        <v>0.05</v>
      </c>
    </row>
    <row r="6570" spans="1:3" ht="15" customHeight="1" x14ac:dyDescent="0.25">
      <c r="A6570" t="s">
        <v>1925</v>
      </c>
      <c r="B6570">
        <v>14.6</v>
      </c>
      <c r="C6570">
        <v>0.3</v>
      </c>
    </row>
    <row r="6571" spans="1:3" ht="15" customHeight="1" x14ac:dyDescent="0.25">
      <c r="A6571" t="s">
        <v>8764</v>
      </c>
      <c r="B6571">
        <v>14.6</v>
      </c>
      <c r="C6571">
        <v>0.3</v>
      </c>
    </row>
    <row r="6572" spans="1:3" ht="15" customHeight="1" x14ac:dyDescent="0.25">
      <c r="A6572" t="s">
        <v>8765</v>
      </c>
      <c r="B6572">
        <v>14.6</v>
      </c>
      <c r="C6572">
        <v>0.3</v>
      </c>
    </row>
    <row r="6573" spans="1:3" ht="15" customHeight="1" x14ac:dyDescent="0.25">
      <c r="A6573" t="s">
        <v>8766</v>
      </c>
      <c r="B6573">
        <v>14.6</v>
      </c>
      <c r="C6573">
        <v>0.3</v>
      </c>
    </row>
    <row r="6574" spans="1:3" ht="15" customHeight="1" x14ac:dyDescent="0.25">
      <c r="A6574" t="s">
        <v>8767</v>
      </c>
      <c r="B6574">
        <v>14.6</v>
      </c>
      <c r="C6574">
        <v>0.3</v>
      </c>
    </row>
    <row r="6575" spans="1:3" ht="15" customHeight="1" x14ac:dyDescent="0.25">
      <c r="A6575" t="s">
        <v>8768</v>
      </c>
      <c r="B6575">
        <v>14.6</v>
      </c>
      <c r="C6575">
        <v>0.3</v>
      </c>
    </row>
    <row r="6576" spans="1:3" ht="15" customHeight="1" x14ac:dyDescent="0.25">
      <c r="A6576" t="s">
        <v>8769</v>
      </c>
      <c r="B6576">
        <v>14.6</v>
      </c>
      <c r="C6576">
        <v>0.3</v>
      </c>
    </row>
    <row r="6577" spans="1:3" ht="15" customHeight="1" x14ac:dyDescent="0.25">
      <c r="A6577" t="s">
        <v>8770</v>
      </c>
      <c r="B6577">
        <v>14.6</v>
      </c>
      <c r="C6577">
        <v>0.3</v>
      </c>
    </row>
    <row r="6578" spans="1:3" ht="15" customHeight="1" x14ac:dyDescent="0.25">
      <c r="A6578" t="s">
        <v>8771</v>
      </c>
      <c r="B6578">
        <v>14.6</v>
      </c>
      <c r="C6578">
        <v>0.3</v>
      </c>
    </row>
    <row r="6579" spans="1:3" ht="15" customHeight="1" x14ac:dyDescent="0.25">
      <c r="A6579" t="s">
        <v>8772</v>
      </c>
      <c r="B6579">
        <v>14.6</v>
      </c>
      <c r="C6579">
        <v>0.3</v>
      </c>
    </row>
    <row r="6580" spans="1:3" ht="15" customHeight="1" x14ac:dyDescent="0.25">
      <c r="A6580" t="s">
        <v>8773</v>
      </c>
      <c r="B6580">
        <v>8.8000000000000007</v>
      </c>
      <c r="C6580">
        <v>0.01</v>
      </c>
    </row>
    <row r="6581" spans="1:3" ht="15" customHeight="1" x14ac:dyDescent="0.25">
      <c r="A6581" t="s">
        <v>8774</v>
      </c>
      <c r="B6581">
        <v>8.8000000000000007</v>
      </c>
      <c r="C6581">
        <v>0.01</v>
      </c>
    </row>
    <row r="6582" spans="1:3" ht="15" customHeight="1" x14ac:dyDescent="0.25">
      <c r="A6582" t="s">
        <v>8775</v>
      </c>
      <c r="B6582">
        <v>8.8000000000000007</v>
      </c>
      <c r="C6582">
        <v>0.01</v>
      </c>
    </row>
    <row r="6583" spans="1:3" ht="15" customHeight="1" x14ac:dyDescent="0.25">
      <c r="A6583" t="s">
        <v>8776</v>
      </c>
      <c r="B6583">
        <v>8.8000000000000007</v>
      </c>
      <c r="C6583">
        <v>0.01</v>
      </c>
    </row>
    <row r="6584" spans="1:3" ht="15" customHeight="1" x14ac:dyDescent="0.25">
      <c r="A6584" t="s">
        <v>8777</v>
      </c>
      <c r="B6584">
        <v>8.8000000000000007</v>
      </c>
      <c r="C6584">
        <v>0.01</v>
      </c>
    </row>
    <row r="6585" spans="1:3" ht="15" customHeight="1" x14ac:dyDescent="0.25">
      <c r="A6585" t="s">
        <v>8778</v>
      </c>
      <c r="B6585">
        <v>8.8000000000000007</v>
      </c>
      <c r="C6585">
        <v>0.01</v>
      </c>
    </row>
    <row r="6586" spans="1:3" ht="15" customHeight="1" x14ac:dyDescent="0.25">
      <c r="A6586" t="s">
        <v>8779</v>
      </c>
      <c r="B6586">
        <v>8.8000000000000007</v>
      </c>
      <c r="C6586">
        <v>0.01</v>
      </c>
    </row>
    <row r="6587" spans="1:3" ht="15" customHeight="1" x14ac:dyDescent="0.25">
      <c r="A6587" t="s">
        <v>8780</v>
      </c>
      <c r="B6587">
        <v>8.8000000000000007</v>
      </c>
      <c r="C6587">
        <v>0.01</v>
      </c>
    </row>
    <row r="6588" spans="1:3" ht="15" customHeight="1" x14ac:dyDescent="0.25">
      <c r="A6588" t="s">
        <v>8781</v>
      </c>
      <c r="B6588">
        <v>8.8000000000000007</v>
      </c>
      <c r="C6588">
        <v>0.01</v>
      </c>
    </row>
    <row r="6589" spans="1:3" ht="15" customHeight="1" x14ac:dyDescent="0.25">
      <c r="A6589" t="s">
        <v>8782</v>
      </c>
      <c r="B6589">
        <v>8.8000000000000007</v>
      </c>
      <c r="C6589">
        <v>0.01</v>
      </c>
    </row>
    <row r="6590" spans="1:3" ht="15" customHeight="1" x14ac:dyDescent="0.25">
      <c r="A6590" t="s">
        <v>8783</v>
      </c>
      <c r="B6590">
        <v>8.8000000000000007</v>
      </c>
      <c r="C6590">
        <v>0.01</v>
      </c>
    </row>
    <row r="6591" spans="1:3" ht="15" customHeight="1" x14ac:dyDescent="0.25">
      <c r="A6591" t="s">
        <v>8784</v>
      </c>
      <c r="B6591">
        <v>8.8000000000000007</v>
      </c>
      <c r="C6591">
        <v>0.01</v>
      </c>
    </row>
    <row r="6592" spans="1:3" ht="15" customHeight="1" x14ac:dyDescent="0.25">
      <c r="A6592" t="s">
        <v>8785</v>
      </c>
      <c r="B6592">
        <v>8.8000000000000007</v>
      </c>
      <c r="C6592">
        <v>0.01</v>
      </c>
    </row>
    <row r="6593" spans="1:3" ht="15" customHeight="1" x14ac:dyDescent="0.25">
      <c r="A6593" t="s">
        <v>8786</v>
      </c>
      <c r="B6593">
        <v>8.8000000000000007</v>
      </c>
      <c r="C6593">
        <v>0.01</v>
      </c>
    </row>
    <row r="6594" spans="1:3" ht="15" customHeight="1" x14ac:dyDescent="0.25">
      <c r="A6594" t="s">
        <v>8787</v>
      </c>
      <c r="B6594">
        <v>8.8000000000000007</v>
      </c>
      <c r="C6594">
        <v>0.01</v>
      </c>
    </row>
    <row r="6595" spans="1:3" ht="15" customHeight="1" x14ac:dyDescent="0.25">
      <c r="A6595" t="s">
        <v>8788</v>
      </c>
      <c r="B6595">
        <v>8.8000000000000007</v>
      </c>
      <c r="C6595">
        <v>0.01</v>
      </c>
    </row>
    <row r="6596" spans="1:3" ht="15" customHeight="1" x14ac:dyDescent="0.25">
      <c r="A6596" t="s">
        <v>8789</v>
      </c>
      <c r="B6596">
        <v>8.8000000000000007</v>
      </c>
      <c r="C6596">
        <v>0.01</v>
      </c>
    </row>
    <row r="6597" spans="1:3" ht="15" customHeight="1" x14ac:dyDescent="0.25">
      <c r="A6597" t="s">
        <v>8790</v>
      </c>
      <c r="B6597">
        <v>8.8000000000000007</v>
      </c>
      <c r="C6597">
        <v>0.01</v>
      </c>
    </row>
    <row r="6598" spans="1:3" ht="15" customHeight="1" x14ac:dyDescent="0.25">
      <c r="A6598" t="s">
        <v>8791</v>
      </c>
      <c r="B6598">
        <v>8.8000000000000007</v>
      </c>
      <c r="C6598">
        <v>0.01</v>
      </c>
    </row>
    <row r="6599" spans="1:3" ht="15" customHeight="1" x14ac:dyDescent="0.25">
      <c r="A6599" t="s">
        <v>8792</v>
      </c>
      <c r="B6599">
        <v>8.8000000000000007</v>
      </c>
      <c r="C6599">
        <v>0.01</v>
      </c>
    </row>
    <row r="6600" spans="1:3" ht="15" customHeight="1" x14ac:dyDescent="0.25">
      <c r="A6600" t="s">
        <v>8793</v>
      </c>
      <c r="B6600">
        <v>8.8000000000000007</v>
      </c>
      <c r="C6600">
        <v>0.01</v>
      </c>
    </row>
    <row r="6601" spans="1:3" ht="15" customHeight="1" x14ac:dyDescent="0.25">
      <c r="A6601" t="s">
        <v>8794</v>
      </c>
      <c r="B6601">
        <v>8.8000000000000007</v>
      </c>
      <c r="C6601">
        <v>0.01</v>
      </c>
    </row>
    <row r="6602" spans="1:3" ht="15" customHeight="1" x14ac:dyDescent="0.25">
      <c r="A6602" t="s">
        <v>8795</v>
      </c>
      <c r="B6602">
        <v>8.8000000000000007</v>
      </c>
      <c r="C6602">
        <v>0.01</v>
      </c>
    </row>
    <row r="6603" spans="1:3" ht="15" customHeight="1" x14ac:dyDescent="0.25">
      <c r="A6603" t="s">
        <v>8796</v>
      </c>
      <c r="B6603">
        <v>8.8000000000000007</v>
      </c>
      <c r="C6603">
        <v>0.01</v>
      </c>
    </row>
    <row r="6604" spans="1:3" ht="15" customHeight="1" x14ac:dyDescent="0.25">
      <c r="A6604" t="s">
        <v>8797</v>
      </c>
      <c r="B6604">
        <v>8.8000000000000007</v>
      </c>
      <c r="C6604">
        <v>0.01</v>
      </c>
    </row>
    <row r="6605" spans="1:3" ht="15" customHeight="1" x14ac:dyDescent="0.25">
      <c r="A6605" t="s">
        <v>8798</v>
      </c>
      <c r="B6605">
        <v>8.8000000000000007</v>
      </c>
      <c r="C6605">
        <v>0.01</v>
      </c>
    </row>
    <row r="6606" spans="1:3" ht="15" customHeight="1" x14ac:dyDescent="0.25">
      <c r="A6606" t="s">
        <v>8799</v>
      </c>
      <c r="B6606">
        <v>8.8000000000000007</v>
      </c>
      <c r="C6606">
        <v>0.01</v>
      </c>
    </row>
    <row r="6607" spans="1:3" ht="15" customHeight="1" x14ac:dyDescent="0.25">
      <c r="A6607" t="s">
        <v>8800</v>
      </c>
      <c r="B6607">
        <v>8.8000000000000007</v>
      </c>
      <c r="C6607">
        <v>0.01</v>
      </c>
    </row>
    <row r="6608" spans="1:3" ht="15" customHeight="1" x14ac:dyDescent="0.25">
      <c r="A6608" t="s">
        <v>8801</v>
      </c>
      <c r="B6608">
        <v>8.8000000000000007</v>
      </c>
      <c r="C6608">
        <v>0.01</v>
      </c>
    </row>
    <row r="6609" spans="1:3" ht="15" customHeight="1" x14ac:dyDescent="0.25">
      <c r="A6609" t="s">
        <v>8802</v>
      </c>
      <c r="B6609">
        <v>8.8000000000000007</v>
      </c>
      <c r="C6609">
        <v>0.01</v>
      </c>
    </row>
    <row r="6610" spans="1:3" ht="15" customHeight="1" x14ac:dyDescent="0.25">
      <c r="A6610" t="s">
        <v>8803</v>
      </c>
      <c r="B6610">
        <v>8.8000000000000007</v>
      </c>
      <c r="C6610">
        <v>0.01</v>
      </c>
    </row>
    <row r="6611" spans="1:3" ht="15" customHeight="1" x14ac:dyDescent="0.25">
      <c r="A6611" t="s">
        <v>8804</v>
      </c>
      <c r="B6611">
        <v>8.8000000000000007</v>
      </c>
      <c r="C6611">
        <v>0.01</v>
      </c>
    </row>
    <row r="6612" spans="1:3" ht="15" customHeight="1" x14ac:dyDescent="0.25">
      <c r="A6612" t="s">
        <v>8805</v>
      </c>
      <c r="B6612">
        <v>6.9</v>
      </c>
      <c r="C6612">
        <v>0.01</v>
      </c>
    </row>
    <row r="6613" spans="1:3" ht="15" customHeight="1" x14ac:dyDescent="0.25">
      <c r="A6613" t="s">
        <v>8806</v>
      </c>
      <c r="B6613">
        <v>6.9</v>
      </c>
      <c r="C6613">
        <v>0.01</v>
      </c>
    </row>
    <row r="6614" spans="1:3" ht="15" customHeight="1" x14ac:dyDescent="0.25">
      <c r="A6614" t="s">
        <v>8807</v>
      </c>
      <c r="B6614">
        <v>6.9</v>
      </c>
      <c r="C6614">
        <v>0.01</v>
      </c>
    </row>
    <row r="6615" spans="1:3" ht="15" customHeight="1" x14ac:dyDescent="0.25">
      <c r="A6615" t="s">
        <v>8808</v>
      </c>
      <c r="B6615">
        <v>6.9</v>
      </c>
      <c r="C6615">
        <v>0.01</v>
      </c>
    </row>
    <row r="6616" spans="1:3" ht="15" customHeight="1" x14ac:dyDescent="0.25">
      <c r="A6616" t="s">
        <v>8809</v>
      </c>
      <c r="B6616">
        <v>6.9</v>
      </c>
      <c r="C6616">
        <v>0.01</v>
      </c>
    </row>
    <row r="6617" spans="1:3" ht="15" customHeight="1" x14ac:dyDescent="0.25">
      <c r="A6617" t="s">
        <v>8810</v>
      </c>
      <c r="B6617">
        <v>6.9</v>
      </c>
      <c r="C6617">
        <v>0.01</v>
      </c>
    </row>
    <row r="6618" spans="1:3" ht="15" customHeight="1" x14ac:dyDescent="0.25">
      <c r="A6618" t="s">
        <v>8811</v>
      </c>
      <c r="B6618">
        <v>6.9</v>
      </c>
      <c r="C6618">
        <v>0.01</v>
      </c>
    </row>
    <row r="6619" spans="1:3" ht="15" customHeight="1" x14ac:dyDescent="0.25">
      <c r="A6619" t="s">
        <v>8812</v>
      </c>
      <c r="B6619">
        <v>6.9</v>
      </c>
      <c r="C6619">
        <v>0.01</v>
      </c>
    </row>
    <row r="6620" spans="1:3" ht="15" customHeight="1" x14ac:dyDescent="0.25">
      <c r="A6620" t="s">
        <v>8813</v>
      </c>
      <c r="B6620">
        <v>6.9</v>
      </c>
      <c r="C6620">
        <v>0.01</v>
      </c>
    </row>
    <row r="6621" spans="1:3" ht="15" customHeight="1" x14ac:dyDescent="0.25">
      <c r="A6621" t="s">
        <v>8814</v>
      </c>
      <c r="B6621">
        <v>6.9</v>
      </c>
      <c r="C6621">
        <v>0.01</v>
      </c>
    </row>
    <row r="6622" spans="1:3" ht="15" customHeight="1" x14ac:dyDescent="0.25">
      <c r="A6622" t="s">
        <v>8815</v>
      </c>
      <c r="B6622">
        <v>6.9</v>
      </c>
      <c r="C6622">
        <v>0.01</v>
      </c>
    </row>
    <row r="6623" spans="1:3" ht="15" customHeight="1" x14ac:dyDescent="0.25">
      <c r="A6623" t="s">
        <v>8816</v>
      </c>
      <c r="B6623">
        <v>6.9</v>
      </c>
      <c r="C6623">
        <v>0.01</v>
      </c>
    </row>
    <row r="6624" spans="1:3" ht="15" customHeight="1" x14ac:dyDescent="0.25">
      <c r="A6624" t="s">
        <v>8817</v>
      </c>
      <c r="B6624">
        <v>6.9</v>
      </c>
      <c r="C6624">
        <v>0.01</v>
      </c>
    </row>
    <row r="6625" spans="1:3" ht="15" customHeight="1" x14ac:dyDescent="0.25">
      <c r="A6625" t="s">
        <v>8818</v>
      </c>
      <c r="B6625">
        <v>6.9</v>
      </c>
      <c r="C6625">
        <v>0.01</v>
      </c>
    </row>
    <row r="6626" spans="1:3" ht="15" customHeight="1" x14ac:dyDescent="0.25">
      <c r="A6626" t="s">
        <v>8819</v>
      </c>
      <c r="B6626">
        <v>6.9</v>
      </c>
      <c r="C6626">
        <v>0.01</v>
      </c>
    </row>
    <row r="6627" spans="1:3" ht="15" customHeight="1" x14ac:dyDescent="0.25">
      <c r="A6627" t="s">
        <v>8820</v>
      </c>
      <c r="B6627">
        <v>6.9</v>
      </c>
      <c r="C6627">
        <v>0.01</v>
      </c>
    </row>
    <row r="6628" spans="1:3" ht="15" customHeight="1" x14ac:dyDescent="0.25">
      <c r="A6628" t="s">
        <v>8821</v>
      </c>
      <c r="B6628">
        <v>11.6</v>
      </c>
    </row>
    <row r="6629" spans="1:3" ht="15" customHeight="1" x14ac:dyDescent="0.25">
      <c r="A6629" t="s">
        <v>8822</v>
      </c>
      <c r="B6629">
        <v>11.6</v>
      </c>
      <c r="C6629">
        <v>0.3</v>
      </c>
    </row>
    <row r="6630" spans="1:3" ht="15" customHeight="1" x14ac:dyDescent="0.25">
      <c r="A6630" t="s">
        <v>8823</v>
      </c>
      <c r="B6630">
        <v>11.6</v>
      </c>
      <c r="C6630">
        <v>0.3</v>
      </c>
    </row>
    <row r="6631" spans="1:3" ht="15" customHeight="1" x14ac:dyDescent="0.25">
      <c r="A6631" t="s">
        <v>8824</v>
      </c>
      <c r="B6631">
        <v>11.6</v>
      </c>
      <c r="C6631">
        <v>0.3</v>
      </c>
    </row>
    <row r="6632" spans="1:3" ht="15" customHeight="1" x14ac:dyDescent="0.25">
      <c r="A6632" t="s">
        <v>8825</v>
      </c>
      <c r="B6632">
        <v>12</v>
      </c>
      <c r="C6632">
        <v>0.3</v>
      </c>
    </row>
    <row r="6633" spans="1:3" ht="15" customHeight="1" x14ac:dyDescent="0.25">
      <c r="A6633" t="s">
        <v>8826</v>
      </c>
      <c r="B6633">
        <v>12</v>
      </c>
      <c r="C6633">
        <v>0.3</v>
      </c>
    </row>
    <row r="6634" spans="1:3" ht="15" customHeight="1" x14ac:dyDescent="0.25">
      <c r="A6634" t="s">
        <v>8827</v>
      </c>
      <c r="B6634">
        <v>12</v>
      </c>
      <c r="C6634">
        <v>0.3</v>
      </c>
    </row>
    <row r="6635" spans="1:3" ht="15" customHeight="1" x14ac:dyDescent="0.25">
      <c r="A6635" t="s">
        <v>8828</v>
      </c>
      <c r="B6635">
        <v>12</v>
      </c>
      <c r="C6635">
        <v>0.3</v>
      </c>
    </row>
    <row r="6636" spans="1:3" ht="15" customHeight="1" x14ac:dyDescent="0.25">
      <c r="A6636" t="s">
        <v>8829</v>
      </c>
      <c r="B6636">
        <v>12</v>
      </c>
      <c r="C6636">
        <v>0.3</v>
      </c>
    </row>
    <row r="6637" spans="1:3" ht="15" customHeight="1" x14ac:dyDescent="0.25">
      <c r="A6637" t="s">
        <v>8830</v>
      </c>
      <c r="B6637">
        <v>12</v>
      </c>
      <c r="C6637">
        <v>0.3</v>
      </c>
    </row>
    <row r="6638" spans="1:3" ht="15" customHeight="1" x14ac:dyDescent="0.25">
      <c r="A6638" t="s">
        <v>8831</v>
      </c>
      <c r="B6638">
        <v>12</v>
      </c>
      <c r="C6638">
        <v>0.3</v>
      </c>
    </row>
    <row r="6639" spans="1:3" ht="15" customHeight="1" x14ac:dyDescent="0.25">
      <c r="A6639" t="s">
        <v>8832</v>
      </c>
      <c r="B6639">
        <v>12</v>
      </c>
      <c r="C6639">
        <v>0.3</v>
      </c>
    </row>
    <row r="6640" spans="1:3" ht="15" customHeight="1" x14ac:dyDescent="0.25">
      <c r="A6640" t="s">
        <v>8833</v>
      </c>
      <c r="B6640">
        <v>12</v>
      </c>
      <c r="C6640">
        <v>0.3</v>
      </c>
    </row>
    <row r="6641" spans="1:3" ht="15" customHeight="1" x14ac:dyDescent="0.25">
      <c r="A6641" t="s">
        <v>8834</v>
      </c>
      <c r="B6641">
        <v>12</v>
      </c>
      <c r="C6641">
        <v>0.3</v>
      </c>
    </row>
    <row r="6642" spans="1:3" ht="15" customHeight="1" x14ac:dyDescent="0.25">
      <c r="A6642" t="s">
        <v>8835</v>
      </c>
      <c r="B6642">
        <v>13.3</v>
      </c>
      <c r="C6642">
        <v>0.3</v>
      </c>
    </row>
    <row r="6643" spans="1:3" ht="15" customHeight="1" x14ac:dyDescent="0.25">
      <c r="A6643" t="s">
        <v>8836</v>
      </c>
      <c r="B6643">
        <v>13.3</v>
      </c>
      <c r="C6643">
        <v>0.3</v>
      </c>
    </row>
    <row r="6644" spans="1:3" ht="15" customHeight="1" x14ac:dyDescent="0.25">
      <c r="A6644" t="s">
        <v>8837</v>
      </c>
      <c r="B6644">
        <v>13.3</v>
      </c>
      <c r="C6644">
        <v>0.3</v>
      </c>
    </row>
    <row r="6645" spans="1:3" ht="15" customHeight="1" x14ac:dyDescent="0.25">
      <c r="A6645" t="s">
        <v>8838</v>
      </c>
      <c r="B6645">
        <v>13.3</v>
      </c>
      <c r="C6645">
        <v>0.3</v>
      </c>
    </row>
    <row r="6646" spans="1:3" ht="15" customHeight="1" x14ac:dyDescent="0.25">
      <c r="A6646" t="s">
        <v>8839</v>
      </c>
      <c r="B6646">
        <v>13.3</v>
      </c>
      <c r="C6646">
        <v>0.3</v>
      </c>
    </row>
    <row r="6647" spans="1:3" ht="15" customHeight="1" x14ac:dyDescent="0.25">
      <c r="A6647" t="s">
        <v>8840</v>
      </c>
      <c r="B6647">
        <v>13.3</v>
      </c>
      <c r="C6647">
        <v>0.3</v>
      </c>
    </row>
    <row r="6648" spans="1:3" ht="15" customHeight="1" x14ac:dyDescent="0.25">
      <c r="A6648" t="s">
        <v>8841</v>
      </c>
      <c r="B6648">
        <v>13.3</v>
      </c>
      <c r="C6648">
        <v>0.3</v>
      </c>
    </row>
    <row r="6649" spans="1:3" ht="15" customHeight="1" x14ac:dyDescent="0.25">
      <c r="A6649" t="s">
        <v>8842</v>
      </c>
      <c r="B6649">
        <v>13.3</v>
      </c>
      <c r="C6649">
        <v>0.3</v>
      </c>
    </row>
    <row r="6650" spans="1:3" ht="15" customHeight="1" x14ac:dyDescent="0.25">
      <c r="A6650" t="s">
        <v>8843</v>
      </c>
      <c r="B6650">
        <v>13.3</v>
      </c>
      <c r="C6650">
        <v>0.3</v>
      </c>
    </row>
    <row r="6651" spans="1:3" ht="15" customHeight="1" x14ac:dyDescent="0.25">
      <c r="A6651" t="s">
        <v>8844</v>
      </c>
      <c r="B6651">
        <v>13.3</v>
      </c>
      <c r="C6651">
        <v>0.3</v>
      </c>
    </row>
    <row r="6652" spans="1:3" ht="15" customHeight="1" x14ac:dyDescent="0.25">
      <c r="A6652" t="s">
        <v>8845</v>
      </c>
      <c r="B6652">
        <v>8.1</v>
      </c>
      <c r="C6652">
        <v>0.01</v>
      </c>
    </row>
    <row r="6653" spans="1:3" ht="15" customHeight="1" x14ac:dyDescent="0.25">
      <c r="A6653" t="s">
        <v>8846</v>
      </c>
      <c r="B6653">
        <v>8.1</v>
      </c>
      <c r="C6653">
        <v>0.01</v>
      </c>
    </row>
    <row r="6654" spans="1:3" ht="15" customHeight="1" x14ac:dyDescent="0.25">
      <c r="A6654" t="s">
        <v>221</v>
      </c>
      <c r="B6654">
        <v>8.1</v>
      </c>
      <c r="C6654">
        <v>0.01</v>
      </c>
    </row>
    <row r="6655" spans="1:3" ht="15" customHeight="1" x14ac:dyDescent="0.25">
      <c r="A6655" t="s">
        <v>8847</v>
      </c>
      <c r="B6655">
        <v>8.1</v>
      </c>
      <c r="C6655">
        <v>0.01</v>
      </c>
    </row>
    <row r="6656" spans="1:3" ht="15" customHeight="1" x14ac:dyDescent="0.25">
      <c r="A6656" t="s">
        <v>8848</v>
      </c>
      <c r="B6656">
        <v>8.1</v>
      </c>
      <c r="C6656">
        <v>0.01</v>
      </c>
    </row>
    <row r="6657" spans="1:3" ht="15" customHeight="1" x14ac:dyDescent="0.25">
      <c r="A6657" t="s">
        <v>8849</v>
      </c>
      <c r="B6657">
        <v>8.1</v>
      </c>
      <c r="C6657">
        <v>0.01</v>
      </c>
    </row>
    <row r="6658" spans="1:3" ht="15" customHeight="1" x14ac:dyDescent="0.25">
      <c r="A6658" t="s">
        <v>176</v>
      </c>
      <c r="B6658">
        <v>5.4</v>
      </c>
      <c r="C6658">
        <v>0.01</v>
      </c>
    </row>
    <row r="6659" spans="1:3" ht="15" customHeight="1" x14ac:dyDescent="0.25">
      <c r="A6659" t="s">
        <v>173</v>
      </c>
      <c r="B6659">
        <v>5.4</v>
      </c>
      <c r="C6659">
        <v>0.01</v>
      </c>
    </row>
    <row r="6660" spans="1:3" ht="15" customHeight="1" x14ac:dyDescent="0.25">
      <c r="A6660" t="s">
        <v>8850</v>
      </c>
      <c r="B6660">
        <v>5.4</v>
      </c>
      <c r="C6660">
        <v>0.01</v>
      </c>
    </row>
    <row r="6661" spans="1:3" ht="15" customHeight="1" x14ac:dyDescent="0.25">
      <c r="A6661" t="s">
        <v>1513</v>
      </c>
      <c r="B6661">
        <v>5.2</v>
      </c>
      <c r="C6661">
        <v>0.01</v>
      </c>
    </row>
    <row r="6662" spans="1:3" ht="15" customHeight="1" x14ac:dyDescent="0.25">
      <c r="A6662" t="s">
        <v>8851</v>
      </c>
      <c r="B6662">
        <v>5.2</v>
      </c>
      <c r="C6662">
        <v>0.01</v>
      </c>
    </row>
    <row r="6663" spans="1:3" ht="15" customHeight="1" x14ac:dyDescent="0.25">
      <c r="A6663" t="s">
        <v>8852</v>
      </c>
      <c r="B6663">
        <v>5.2</v>
      </c>
      <c r="C6663">
        <v>0.01</v>
      </c>
    </row>
    <row r="6664" spans="1:3" ht="15" customHeight="1" x14ac:dyDescent="0.25">
      <c r="A6664" t="s">
        <v>1134</v>
      </c>
      <c r="B6664">
        <v>5.2</v>
      </c>
      <c r="C6664">
        <v>0.01</v>
      </c>
    </row>
    <row r="6665" spans="1:3" ht="15" customHeight="1" x14ac:dyDescent="0.25">
      <c r="A6665" t="s">
        <v>8853</v>
      </c>
      <c r="B6665">
        <v>5.2</v>
      </c>
      <c r="C6665">
        <v>0.01</v>
      </c>
    </row>
    <row r="6666" spans="1:3" ht="15" customHeight="1" x14ac:dyDescent="0.25">
      <c r="A6666" t="s">
        <v>1514</v>
      </c>
      <c r="B6666">
        <v>5.2</v>
      </c>
      <c r="C6666">
        <v>0.01</v>
      </c>
    </row>
    <row r="6667" spans="1:3" ht="15" customHeight="1" x14ac:dyDescent="0.25">
      <c r="A6667" t="s">
        <v>8854</v>
      </c>
      <c r="B6667">
        <v>8.6</v>
      </c>
      <c r="C6667">
        <v>0.01</v>
      </c>
    </row>
    <row r="6668" spans="1:3" ht="15" customHeight="1" x14ac:dyDescent="0.25">
      <c r="A6668" t="s">
        <v>8855</v>
      </c>
      <c r="B6668">
        <v>8.6</v>
      </c>
      <c r="C6668">
        <v>0.01</v>
      </c>
    </row>
    <row r="6669" spans="1:3" ht="15" customHeight="1" x14ac:dyDescent="0.25">
      <c r="A6669" t="s">
        <v>8856</v>
      </c>
      <c r="B6669">
        <v>8.6</v>
      </c>
      <c r="C6669">
        <v>0.01</v>
      </c>
    </row>
    <row r="6670" spans="1:3" ht="15" customHeight="1" x14ac:dyDescent="0.25">
      <c r="A6670" t="s">
        <v>8857</v>
      </c>
      <c r="B6670">
        <v>5.9</v>
      </c>
      <c r="C6670">
        <v>0.01</v>
      </c>
    </row>
    <row r="6671" spans="1:3" ht="15" customHeight="1" x14ac:dyDescent="0.25">
      <c r="A6671" t="s">
        <v>8858</v>
      </c>
      <c r="B6671">
        <v>5.9</v>
      </c>
      <c r="C6671">
        <v>0.01</v>
      </c>
    </row>
    <row r="6672" spans="1:3" ht="15" customHeight="1" x14ac:dyDescent="0.25">
      <c r="A6672" t="s">
        <v>8859</v>
      </c>
      <c r="B6672">
        <v>5.9</v>
      </c>
    </row>
    <row r="6673" spans="1:3" ht="15" customHeight="1" x14ac:dyDescent="0.25">
      <c r="A6673" t="s">
        <v>585</v>
      </c>
      <c r="B6673">
        <v>9.6</v>
      </c>
      <c r="C6673">
        <v>0.01</v>
      </c>
    </row>
    <row r="6674" spans="1:3" ht="15" customHeight="1" x14ac:dyDescent="0.25">
      <c r="A6674" t="s">
        <v>8860</v>
      </c>
      <c r="B6674">
        <v>9.6</v>
      </c>
      <c r="C6674">
        <v>0.01</v>
      </c>
    </row>
    <row r="6675" spans="1:3" ht="15" customHeight="1" x14ac:dyDescent="0.25">
      <c r="A6675" t="s">
        <v>8861</v>
      </c>
      <c r="B6675">
        <v>9.6</v>
      </c>
      <c r="C6675">
        <v>0.01</v>
      </c>
    </row>
    <row r="6676" spans="1:3" ht="15" customHeight="1" x14ac:dyDescent="0.25">
      <c r="A6676" t="s">
        <v>8862</v>
      </c>
      <c r="B6676">
        <v>12.6</v>
      </c>
      <c r="C6676">
        <v>0.3</v>
      </c>
    </row>
    <row r="6677" spans="1:3" ht="15" customHeight="1" x14ac:dyDescent="0.25">
      <c r="A6677" t="s">
        <v>8863</v>
      </c>
      <c r="B6677">
        <v>12.6</v>
      </c>
      <c r="C6677">
        <v>0.3</v>
      </c>
    </row>
    <row r="6678" spans="1:3" ht="15" customHeight="1" x14ac:dyDescent="0.25">
      <c r="A6678" t="s">
        <v>8864</v>
      </c>
      <c r="B6678">
        <v>12.6</v>
      </c>
      <c r="C6678">
        <v>0.3</v>
      </c>
    </row>
    <row r="6679" spans="1:3" ht="15" customHeight="1" x14ac:dyDescent="0.25">
      <c r="A6679" t="s">
        <v>8865</v>
      </c>
      <c r="B6679">
        <v>12.6</v>
      </c>
      <c r="C6679">
        <v>0.3</v>
      </c>
    </row>
    <row r="6680" spans="1:3" ht="15" customHeight="1" x14ac:dyDescent="0.25">
      <c r="A6680" t="s">
        <v>8866</v>
      </c>
      <c r="B6680">
        <v>34.200000000000003</v>
      </c>
      <c r="C6680">
        <v>0.3</v>
      </c>
    </row>
    <row r="6681" spans="1:3" ht="15" customHeight="1" x14ac:dyDescent="0.25">
      <c r="A6681" t="s">
        <v>8867</v>
      </c>
      <c r="B6681">
        <v>34.200000000000003</v>
      </c>
      <c r="C6681">
        <v>0.3</v>
      </c>
    </row>
    <row r="6682" spans="1:3" ht="15" customHeight="1" x14ac:dyDescent="0.25">
      <c r="A6682" t="s">
        <v>8868</v>
      </c>
      <c r="B6682">
        <v>34.200000000000003</v>
      </c>
      <c r="C6682">
        <v>0.3</v>
      </c>
    </row>
    <row r="6683" spans="1:3" ht="15" customHeight="1" x14ac:dyDescent="0.25">
      <c r="A6683" t="s">
        <v>8869</v>
      </c>
      <c r="B6683">
        <v>34.200000000000003</v>
      </c>
    </row>
    <row r="6684" spans="1:3" ht="15" customHeight="1" x14ac:dyDescent="0.25">
      <c r="A6684" t="s">
        <v>8870</v>
      </c>
      <c r="B6684">
        <v>34.200000000000003</v>
      </c>
    </row>
    <row r="6685" spans="1:3" ht="15" customHeight="1" x14ac:dyDescent="0.25">
      <c r="A6685" t="s">
        <v>8871</v>
      </c>
      <c r="B6685">
        <v>34.200000000000003</v>
      </c>
    </row>
    <row r="6686" spans="1:3" ht="15" customHeight="1" x14ac:dyDescent="0.25">
      <c r="A6686" t="s">
        <v>8872</v>
      </c>
      <c r="B6686">
        <v>31.7</v>
      </c>
      <c r="C6686">
        <v>0.3</v>
      </c>
    </row>
    <row r="6687" spans="1:3" ht="15" customHeight="1" x14ac:dyDescent="0.25">
      <c r="A6687" t="s">
        <v>8873</v>
      </c>
      <c r="B6687">
        <v>31.7</v>
      </c>
      <c r="C6687">
        <v>0.3</v>
      </c>
    </row>
    <row r="6688" spans="1:3" ht="15" customHeight="1" x14ac:dyDescent="0.25">
      <c r="A6688" t="s">
        <v>8874</v>
      </c>
      <c r="B6688">
        <v>31.7</v>
      </c>
      <c r="C6688">
        <v>0.3</v>
      </c>
    </row>
    <row r="6689" spans="1:3" ht="15" customHeight="1" x14ac:dyDescent="0.25">
      <c r="A6689" t="s">
        <v>8875</v>
      </c>
      <c r="B6689">
        <v>31.7</v>
      </c>
      <c r="C6689">
        <v>0.3</v>
      </c>
    </row>
    <row r="6690" spans="1:3" ht="15" customHeight="1" x14ac:dyDescent="0.25">
      <c r="A6690" t="s">
        <v>8876</v>
      </c>
      <c r="B6690">
        <v>31.7</v>
      </c>
      <c r="C6690">
        <v>0.3</v>
      </c>
    </row>
    <row r="6691" spans="1:3" ht="15" customHeight="1" x14ac:dyDescent="0.25">
      <c r="A6691" t="s">
        <v>8877</v>
      </c>
      <c r="B6691">
        <v>31.7</v>
      </c>
      <c r="C6691">
        <v>0.3</v>
      </c>
    </row>
    <row r="6692" spans="1:3" ht="15" customHeight="1" x14ac:dyDescent="0.25">
      <c r="A6692" t="s">
        <v>8878</v>
      </c>
      <c r="B6692">
        <v>31.7</v>
      </c>
      <c r="C6692">
        <v>0.3</v>
      </c>
    </row>
    <row r="6693" spans="1:3" ht="15" customHeight="1" x14ac:dyDescent="0.25">
      <c r="A6693" t="s">
        <v>8879</v>
      </c>
      <c r="B6693">
        <v>31.7</v>
      </c>
      <c r="C6693">
        <v>0.3</v>
      </c>
    </row>
    <row r="6694" spans="1:3" ht="15" customHeight="1" x14ac:dyDescent="0.25">
      <c r="A6694" t="s">
        <v>8880</v>
      </c>
      <c r="B6694">
        <v>15.1</v>
      </c>
    </row>
    <row r="6695" spans="1:3" ht="15" customHeight="1" x14ac:dyDescent="0.25">
      <c r="A6695" t="s">
        <v>8881</v>
      </c>
      <c r="B6695">
        <v>15.1</v>
      </c>
    </row>
    <row r="6696" spans="1:3" ht="15" customHeight="1" x14ac:dyDescent="0.25">
      <c r="A6696" t="s">
        <v>8882</v>
      </c>
      <c r="B6696">
        <v>15.1</v>
      </c>
      <c r="C6696">
        <v>0.3</v>
      </c>
    </row>
    <row r="6697" spans="1:3" ht="15" customHeight="1" x14ac:dyDescent="0.25">
      <c r="A6697" t="s">
        <v>8883</v>
      </c>
      <c r="B6697">
        <v>8.8000000000000007</v>
      </c>
    </row>
    <row r="6698" spans="1:3" ht="15" customHeight="1" x14ac:dyDescent="0.25">
      <c r="A6698" t="s">
        <v>8884</v>
      </c>
      <c r="B6698">
        <v>8.8000000000000007</v>
      </c>
    </row>
    <row r="6699" spans="1:3" ht="15" customHeight="1" x14ac:dyDescent="0.25">
      <c r="A6699" t="s">
        <v>8885</v>
      </c>
      <c r="B6699">
        <v>8.8000000000000007</v>
      </c>
    </row>
    <row r="6700" spans="1:3" ht="15" customHeight="1" x14ac:dyDescent="0.25">
      <c r="A6700" t="s">
        <v>8886</v>
      </c>
      <c r="B6700">
        <v>8.8000000000000007</v>
      </c>
    </row>
    <row r="6701" spans="1:3" ht="15" customHeight="1" x14ac:dyDescent="0.25">
      <c r="A6701" t="s">
        <v>8887</v>
      </c>
      <c r="B6701">
        <v>8.8000000000000007</v>
      </c>
    </row>
    <row r="6702" spans="1:3" ht="15" customHeight="1" x14ac:dyDescent="0.25">
      <c r="A6702" t="s">
        <v>8888</v>
      </c>
      <c r="B6702">
        <v>8.8000000000000007</v>
      </c>
    </row>
    <row r="6703" spans="1:3" ht="15" customHeight="1" x14ac:dyDescent="0.25">
      <c r="A6703" t="s">
        <v>8889</v>
      </c>
      <c r="B6703">
        <v>8.8000000000000007</v>
      </c>
    </row>
    <row r="6704" spans="1:3" ht="15" customHeight="1" x14ac:dyDescent="0.25">
      <c r="A6704" t="s">
        <v>8890</v>
      </c>
      <c r="B6704">
        <v>8.8000000000000007</v>
      </c>
    </row>
    <row r="6705" spans="1:3" ht="15" customHeight="1" x14ac:dyDescent="0.25">
      <c r="A6705" t="s">
        <v>8891</v>
      </c>
      <c r="B6705">
        <v>8.8000000000000007</v>
      </c>
    </row>
    <row r="6706" spans="1:3" ht="15" customHeight="1" x14ac:dyDescent="0.25">
      <c r="A6706" t="s">
        <v>8892</v>
      </c>
      <c r="B6706">
        <v>8.8000000000000007</v>
      </c>
      <c r="C6706">
        <v>0.3</v>
      </c>
    </row>
    <row r="6707" spans="1:3" ht="15" customHeight="1" x14ac:dyDescent="0.25">
      <c r="A6707" t="s">
        <v>8893</v>
      </c>
      <c r="B6707">
        <v>8.8000000000000007</v>
      </c>
    </row>
    <row r="6708" spans="1:3" ht="15" customHeight="1" x14ac:dyDescent="0.25">
      <c r="A6708" t="s">
        <v>8894</v>
      </c>
      <c r="B6708">
        <v>8.6</v>
      </c>
      <c r="C6708">
        <v>0.15</v>
      </c>
    </row>
    <row r="6709" spans="1:3" ht="15" customHeight="1" x14ac:dyDescent="0.25">
      <c r="A6709" t="s">
        <v>8895</v>
      </c>
      <c r="B6709">
        <v>8.6</v>
      </c>
    </row>
    <row r="6710" spans="1:3" ht="15" customHeight="1" x14ac:dyDescent="0.25">
      <c r="A6710" t="s">
        <v>8896</v>
      </c>
      <c r="B6710">
        <v>8.6</v>
      </c>
      <c r="C6710">
        <v>0.15</v>
      </c>
    </row>
    <row r="6711" spans="1:3" ht="15" customHeight="1" x14ac:dyDescent="0.25">
      <c r="A6711" t="s">
        <v>8897</v>
      </c>
      <c r="B6711">
        <v>8.6</v>
      </c>
    </row>
    <row r="6712" spans="1:3" ht="15" customHeight="1" x14ac:dyDescent="0.25">
      <c r="A6712" t="s">
        <v>8898</v>
      </c>
      <c r="B6712">
        <v>8.6</v>
      </c>
      <c r="C6712">
        <v>0.15</v>
      </c>
    </row>
    <row r="6713" spans="1:3" ht="15" customHeight="1" x14ac:dyDescent="0.25">
      <c r="A6713" t="s">
        <v>8899</v>
      </c>
      <c r="B6713">
        <v>8.6</v>
      </c>
    </row>
    <row r="6714" spans="1:3" ht="15" customHeight="1" x14ac:dyDescent="0.25">
      <c r="A6714" t="s">
        <v>8900</v>
      </c>
      <c r="B6714">
        <v>8.6</v>
      </c>
      <c r="C6714">
        <v>0.15</v>
      </c>
    </row>
    <row r="6715" spans="1:3" ht="15" customHeight="1" x14ac:dyDescent="0.25">
      <c r="A6715" t="s">
        <v>8901</v>
      </c>
      <c r="B6715">
        <v>8.6</v>
      </c>
    </row>
    <row r="6716" spans="1:3" ht="15" customHeight="1" x14ac:dyDescent="0.25">
      <c r="A6716" t="s">
        <v>8902</v>
      </c>
      <c r="B6716">
        <v>8.6</v>
      </c>
    </row>
    <row r="6717" spans="1:3" ht="15" customHeight="1" x14ac:dyDescent="0.25">
      <c r="A6717" t="s">
        <v>8903</v>
      </c>
      <c r="B6717">
        <v>8.6</v>
      </c>
      <c r="C6717">
        <v>0.15</v>
      </c>
    </row>
    <row r="6718" spans="1:3" ht="15" customHeight="1" x14ac:dyDescent="0.25">
      <c r="A6718" t="s">
        <v>8904</v>
      </c>
      <c r="B6718">
        <v>8.6</v>
      </c>
    </row>
    <row r="6719" spans="1:3" ht="15" customHeight="1" x14ac:dyDescent="0.25">
      <c r="A6719" t="s">
        <v>8905</v>
      </c>
      <c r="B6719">
        <v>8.6</v>
      </c>
      <c r="C6719">
        <v>0.15</v>
      </c>
    </row>
    <row r="6720" spans="1:3" ht="15" customHeight="1" x14ac:dyDescent="0.25">
      <c r="A6720" t="s">
        <v>8906</v>
      </c>
      <c r="B6720">
        <v>8.6</v>
      </c>
    </row>
    <row r="6721" spans="1:3" ht="15" customHeight="1" x14ac:dyDescent="0.25">
      <c r="A6721" t="s">
        <v>8907</v>
      </c>
      <c r="B6721">
        <v>8.6</v>
      </c>
    </row>
    <row r="6722" spans="1:3" ht="15" customHeight="1" x14ac:dyDescent="0.25">
      <c r="A6722" t="s">
        <v>8908</v>
      </c>
      <c r="B6722">
        <v>8.6</v>
      </c>
    </row>
    <row r="6723" spans="1:3" ht="15" customHeight="1" x14ac:dyDescent="0.25">
      <c r="A6723" t="s">
        <v>8909</v>
      </c>
      <c r="B6723">
        <v>8.6</v>
      </c>
      <c r="C6723">
        <v>0.15</v>
      </c>
    </row>
    <row r="6724" spans="1:3" ht="15" customHeight="1" x14ac:dyDescent="0.25">
      <c r="A6724" t="s">
        <v>8910</v>
      </c>
      <c r="B6724">
        <v>8.6</v>
      </c>
      <c r="C6724">
        <v>0.3</v>
      </c>
    </row>
    <row r="6725" spans="1:3" ht="15" customHeight="1" x14ac:dyDescent="0.25">
      <c r="A6725" t="s">
        <v>8911</v>
      </c>
      <c r="B6725">
        <v>8.6</v>
      </c>
      <c r="C6725">
        <v>0.15</v>
      </c>
    </row>
    <row r="6726" spans="1:3" ht="15" customHeight="1" x14ac:dyDescent="0.25">
      <c r="A6726" t="s">
        <v>8912</v>
      </c>
      <c r="B6726">
        <v>8.6</v>
      </c>
    </row>
    <row r="6727" spans="1:3" ht="15" customHeight="1" x14ac:dyDescent="0.25">
      <c r="A6727" t="s">
        <v>8913</v>
      </c>
      <c r="B6727">
        <v>8.6</v>
      </c>
      <c r="C6727">
        <v>0.15</v>
      </c>
    </row>
    <row r="6728" spans="1:3" ht="15" customHeight="1" x14ac:dyDescent="0.25">
      <c r="A6728" t="s">
        <v>8914</v>
      </c>
      <c r="B6728">
        <v>8.6</v>
      </c>
      <c r="C6728">
        <v>0.15</v>
      </c>
    </row>
    <row r="6729" spans="1:3" ht="15" customHeight="1" x14ac:dyDescent="0.25">
      <c r="A6729" t="s">
        <v>8915</v>
      </c>
      <c r="B6729">
        <v>8.6</v>
      </c>
      <c r="C6729">
        <v>0.15</v>
      </c>
    </row>
    <row r="6730" spans="1:3" ht="15" customHeight="1" x14ac:dyDescent="0.25">
      <c r="A6730" t="s">
        <v>8916</v>
      </c>
      <c r="B6730">
        <v>8.6</v>
      </c>
      <c r="C6730">
        <v>0.15</v>
      </c>
    </row>
    <row r="6731" spans="1:3" ht="15" customHeight="1" x14ac:dyDescent="0.25">
      <c r="A6731" t="s">
        <v>8917</v>
      </c>
      <c r="B6731">
        <v>8.6</v>
      </c>
      <c r="C6731">
        <v>0.15</v>
      </c>
    </row>
    <row r="6732" spans="1:3" ht="15" customHeight="1" x14ac:dyDescent="0.25">
      <c r="A6732" t="s">
        <v>8918</v>
      </c>
      <c r="B6732">
        <v>8.6</v>
      </c>
      <c r="C6732">
        <v>0.15</v>
      </c>
    </row>
    <row r="6733" spans="1:3" ht="15" customHeight="1" x14ac:dyDescent="0.25">
      <c r="A6733" t="s">
        <v>8919</v>
      </c>
      <c r="B6733">
        <v>8.6</v>
      </c>
      <c r="C6733">
        <v>0.15</v>
      </c>
    </row>
    <row r="6734" spans="1:3" ht="15" customHeight="1" x14ac:dyDescent="0.25">
      <c r="A6734" t="s">
        <v>8920</v>
      </c>
      <c r="B6734">
        <v>8.6</v>
      </c>
      <c r="C6734">
        <v>0.15</v>
      </c>
    </row>
    <row r="6735" spans="1:3" ht="15" customHeight="1" x14ac:dyDescent="0.25">
      <c r="A6735" t="s">
        <v>8921</v>
      </c>
      <c r="B6735">
        <v>8.6</v>
      </c>
      <c r="C6735">
        <v>0.15</v>
      </c>
    </row>
    <row r="6736" spans="1:3" ht="15" customHeight="1" x14ac:dyDescent="0.25">
      <c r="A6736" t="s">
        <v>8922</v>
      </c>
      <c r="B6736">
        <v>8.6</v>
      </c>
      <c r="C6736">
        <v>0.15</v>
      </c>
    </row>
    <row r="6737" spans="1:3" ht="15" customHeight="1" x14ac:dyDescent="0.25">
      <c r="A6737" t="s">
        <v>8923</v>
      </c>
      <c r="B6737">
        <v>8.6</v>
      </c>
      <c r="C6737">
        <v>0.15</v>
      </c>
    </row>
    <row r="6738" spans="1:3" ht="15" customHeight="1" x14ac:dyDescent="0.25">
      <c r="A6738" t="s">
        <v>8924</v>
      </c>
      <c r="B6738">
        <v>8.6</v>
      </c>
      <c r="C6738">
        <v>0.15</v>
      </c>
    </row>
    <row r="6739" spans="1:3" ht="15" customHeight="1" x14ac:dyDescent="0.25">
      <c r="A6739" t="s">
        <v>8925</v>
      </c>
      <c r="B6739">
        <v>8.6</v>
      </c>
      <c r="C6739">
        <v>0.15</v>
      </c>
    </row>
    <row r="6740" spans="1:3" ht="15" customHeight="1" x14ac:dyDescent="0.25">
      <c r="A6740" t="s">
        <v>305</v>
      </c>
      <c r="B6740">
        <v>8.6</v>
      </c>
      <c r="C6740">
        <v>0.15</v>
      </c>
    </row>
    <row r="6741" spans="1:3" ht="15" customHeight="1" x14ac:dyDescent="0.25">
      <c r="A6741" t="s">
        <v>8926</v>
      </c>
      <c r="B6741">
        <v>8.6</v>
      </c>
      <c r="C6741">
        <v>0.15</v>
      </c>
    </row>
    <row r="6742" spans="1:3" ht="15" customHeight="1" x14ac:dyDescent="0.25">
      <c r="A6742" t="s">
        <v>8927</v>
      </c>
      <c r="B6742">
        <v>8.6</v>
      </c>
      <c r="C6742">
        <v>0.05</v>
      </c>
    </row>
    <row r="6743" spans="1:3" ht="15" customHeight="1" x14ac:dyDescent="0.25">
      <c r="A6743" t="s">
        <v>8928</v>
      </c>
      <c r="B6743">
        <v>8.6</v>
      </c>
      <c r="C6743">
        <v>0.05</v>
      </c>
    </row>
    <row r="6744" spans="1:3" ht="15" customHeight="1" x14ac:dyDescent="0.25">
      <c r="A6744" t="s">
        <v>8929</v>
      </c>
      <c r="B6744">
        <v>8.6</v>
      </c>
      <c r="C6744">
        <v>0.15</v>
      </c>
    </row>
    <row r="6745" spans="1:3" ht="15" customHeight="1" x14ac:dyDescent="0.25">
      <c r="A6745" t="s">
        <v>8930</v>
      </c>
      <c r="B6745">
        <v>8.6</v>
      </c>
      <c r="C6745">
        <v>0.15</v>
      </c>
    </row>
    <row r="6746" spans="1:3" ht="15" customHeight="1" x14ac:dyDescent="0.25">
      <c r="A6746" t="s">
        <v>8931</v>
      </c>
      <c r="B6746">
        <v>8.6</v>
      </c>
      <c r="C6746">
        <v>0.05</v>
      </c>
    </row>
    <row r="6747" spans="1:3" ht="15" customHeight="1" x14ac:dyDescent="0.25">
      <c r="A6747" t="s">
        <v>8932</v>
      </c>
      <c r="B6747">
        <v>8.6</v>
      </c>
    </row>
    <row r="6748" spans="1:3" ht="15" customHeight="1" x14ac:dyDescent="0.25">
      <c r="A6748" t="s">
        <v>8933</v>
      </c>
      <c r="B6748">
        <v>8.5</v>
      </c>
      <c r="C6748">
        <v>0.05</v>
      </c>
    </row>
    <row r="6749" spans="1:3" ht="15" customHeight="1" x14ac:dyDescent="0.25">
      <c r="A6749" t="s">
        <v>8934</v>
      </c>
      <c r="B6749">
        <v>8.5</v>
      </c>
      <c r="C6749">
        <v>0.05</v>
      </c>
    </row>
    <row r="6750" spans="1:3" ht="15" customHeight="1" x14ac:dyDescent="0.25">
      <c r="A6750" t="s">
        <v>8935</v>
      </c>
      <c r="B6750">
        <v>8.5</v>
      </c>
      <c r="C6750">
        <v>0.05</v>
      </c>
    </row>
    <row r="6751" spans="1:3" ht="15" customHeight="1" x14ac:dyDescent="0.25">
      <c r="A6751" t="s">
        <v>8936</v>
      </c>
      <c r="B6751">
        <v>8.5</v>
      </c>
      <c r="C6751">
        <v>0.05</v>
      </c>
    </row>
    <row r="6752" spans="1:3" ht="15" customHeight="1" x14ac:dyDescent="0.25">
      <c r="A6752" t="s">
        <v>8937</v>
      </c>
      <c r="B6752">
        <v>8.6</v>
      </c>
    </row>
    <row r="6753" spans="1:3" ht="15" customHeight="1" x14ac:dyDescent="0.25">
      <c r="A6753" t="s">
        <v>8938</v>
      </c>
      <c r="B6753">
        <v>8.6</v>
      </c>
    </row>
    <row r="6754" spans="1:3" ht="15" customHeight="1" x14ac:dyDescent="0.25">
      <c r="A6754" t="s">
        <v>8939</v>
      </c>
      <c r="B6754">
        <v>8.6</v>
      </c>
    </row>
    <row r="6755" spans="1:3" ht="15" customHeight="1" x14ac:dyDescent="0.25">
      <c r="A6755" t="s">
        <v>8940</v>
      </c>
      <c r="B6755">
        <v>8.6</v>
      </c>
    </row>
    <row r="6756" spans="1:3" ht="15" customHeight="1" x14ac:dyDescent="0.25">
      <c r="A6756" t="s">
        <v>8941</v>
      </c>
      <c r="B6756">
        <v>8.6</v>
      </c>
    </row>
    <row r="6757" spans="1:3" ht="15" customHeight="1" x14ac:dyDescent="0.25">
      <c r="A6757" t="s">
        <v>8942</v>
      </c>
      <c r="B6757">
        <v>8.6</v>
      </c>
    </row>
    <row r="6758" spans="1:3" ht="15" customHeight="1" x14ac:dyDescent="0.25">
      <c r="A6758" t="s">
        <v>8943</v>
      </c>
      <c r="B6758">
        <v>8.6</v>
      </c>
    </row>
    <row r="6759" spans="1:3" ht="15" customHeight="1" x14ac:dyDescent="0.25">
      <c r="A6759" t="s">
        <v>8944</v>
      </c>
      <c r="B6759">
        <v>8.6</v>
      </c>
    </row>
    <row r="6760" spans="1:3" ht="15" customHeight="1" x14ac:dyDescent="0.25">
      <c r="A6760" t="s">
        <v>8945</v>
      </c>
      <c r="B6760">
        <v>8.6</v>
      </c>
    </row>
    <row r="6761" spans="1:3" ht="15" customHeight="1" x14ac:dyDescent="0.25">
      <c r="A6761" t="s">
        <v>8946</v>
      </c>
      <c r="B6761">
        <v>15.1</v>
      </c>
    </row>
    <row r="6762" spans="1:3" ht="15" customHeight="1" x14ac:dyDescent="0.25">
      <c r="A6762" t="s">
        <v>8947</v>
      </c>
      <c r="B6762">
        <v>15.1</v>
      </c>
    </row>
    <row r="6763" spans="1:3" ht="15" customHeight="1" x14ac:dyDescent="0.25">
      <c r="A6763" t="s">
        <v>8948</v>
      </c>
      <c r="B6763">
        <v>15.1</v>
      </c>
    </row>
    <row r="6764" spans="1:3" ht="15" customHeight="1" x14ac:dyDescent="0.25">
      <c r="A6764" t="s">
        <v>8949</v>
      </c>
      <c r="B6764">
        <v>15.1</v>
      </c>
    </row>
    <row r="6765" spans="1:3" ht="15" customHeight="1" x14ac:dyDescent="0.25">
      <c r="A6765" t="s">
        <v>8950</v>
      </c>
      <c r="B6765">
        <v>15.1</v>
      </c>
    </row>
    <row r="6766" spans="1:3" ht="15" customHeight="1" x14ac:dyDescent="0.25">
      <c r="A6766" t="s">
        <v>8951</v>
      </c>
      <c r="B6766">
        <v>15.1</v>
      </c>
    </row>
    <row r="6767" spans="1:3" ht="15" customHeight="1" x14ac:dyDescent="0.25">
      <c r="A6767" t="s">
        <v>8952</v>
      </c>
      <c r="B6767">
        <v>15.1</v>
      </c>
    </row>
    <row r="6768" spans="1:3" ht="15" customHeight="1" x14ac:dyDescent="0.25">
      <c r="A6768" t="s">
        <v>8953</v>
      </c>
      <c r="B6768">
        <v>12.3</v>
      </c>
      <c r="C6768">
        <v>0.3</v>
      </c>
    </row>
    <row r="6769" spans="1:3" ht="15" customHeight="1" x14ac:dyDescent="0.25">
      <c r="A6769" t="s">
        <v>8954</v>
      </c>
      <c r="B6769">
        <v>12.3</v>
      </c>
      <c r="C6769">
        <v>0.3</v>
      </c>
    </row>
    <row r="6770" spans="1:3" ht="15" customHeight="1" x14ac:dyDescent="0.25">
      <c r="A6770" t="s">
        <v>8955</v>
      </c>
      <c r="B6770">
        <v>12.3</v>
      </c>
    </row>
    <row r="6771" spans="1:3" ht="15" customHeight="1" x14ac:dyDescent="0.25">
      <c r="A6771" t="s">
        <v>8956</v>
      </c>
      <c r="B6771">
        <v>15.6</v>
      </c>
      <c r="C6771">
        <v>0.15</v>
      </c>
    </row>
    <row r="6772" spans="1:3" ht="15" customHeight="1" x14ac:dyDescent="0.25">
      <c r="A6772" t="s">
        <v>8957</v>
      </c>
      <c r="B6772">
        <v>15.6</v>
      </c>
    </row>
    <row r="6773" spans="1:3" ht="15" customHeight="1" x14ac:dyDescent="0.25">
      <c r="A6773" t="s">
        <v>8958</v>
      </c>
      <c r="B6773">
        <v>15.6</v>
      </c>
    </row>
    <row r="6774" spans="1:3" ht="15" customHeight="1" x14ac:dyDescent="0.25">
      <c r="A6774" t="s">
        <v>8959</v>
      </c>
      <c r="B6774">
        <v>15.6</v>
      </c>
    </row>
    <row r="6775" spans="1:3" ht="15" customHeight="1" x14ac:dyDescent="0.25">
      <c r="A6775" t="s">
        <v>8960</v>
      </c>
      <c r="B6775">
        <v>15.6</v>
      </c>
      <c r="C6775">
        <v>0.15</v>
      </c>
    </row>
    <row r="6776" spans="1:3" ht="15" customHeight="1" x14ac:dyDescent="0.25">
      <c r="A6776" t="s">
        <v>8961</v>
      </c>
      <c r="B6776">
        <v>15.6</v>
      </c>
    </row>
    <row r="6777" spans="1:3" ht="15" customHeight="1" x14ac:dyDescent="0.25">
      <c r="A6777" t="s">
        <v>8962</v>
      </c>
      <c r="B6777">
        <v>15.6</v>
      </c>
    </row>
    <row r="6778" spans="1:3" ht="15" customHeight="1" x14ac:dyDescent="0.25">
      <c r="A6778" t="s">
        <v>8963</v>
      </c>
      <c r="B6778">
        <v>15.6</v>
      </c>
    </row>
    <row r="6779" spans="1:3" ht="15" customHeight="1" x14ac:dyDescent="0.25">
      <c r="A6779" t="s">
        <v>8964</v>
      </c>
      <c r="B6779">
        <v>15.6</v>
      </c>
    </row>
    <row r="6780" spans="1:3" ht="15" customHeight="1" x14ac:dyDescent="0.25">
      <c r="A6780" t="s">
        <v>8965</v>
      </c>
      <c r="B6780">
        <v>15.6</v>
      </c>
    </row>
    <row r="6781" spans="1:3" ht="15" customHeight="1" x14ac:dyDescent="0.25">
      <c r="A6781" t="s">
        <v>8966</v>
      </c>
      <c r="B6781">
        <v>15.6</v>
      </c>
      <c r="C6781">
        <v>0.3</v>
      </c>
    </row>
    <row r="6782" spans="1:3" ht="15" customHeight="1" x14ac:dyDescent="0.25">
      <c r="A6782" t="s">
        <v>8967</v>
      </c>
      <c r="B6782">
        <v>15.6</v>
      </c>
      <c r="C6782">
        <v>0.3</v>
      </c>
    </row>
    <row r="6783" spans="1:3" ht="15" customHeight="1" x14ac:dyDescent="0.25">
      <c r="A6783" t="s">
        <v>8968</v>
      </c>
      <c r="B6783">
        <v>15.6</v>
      </c>
      <c r="C6783">
        <v>0.3</v>
      </c>
    </row>
    <row r="6784" spans="1:3" ht="15" customHeight="1" x14ac:dyDescent="0.25">
      <c r="A6784" t="s">
        <v>8969</v>
      </c>
      <c r="B6784">
        <v>15.6</v>
      </c>
    </row>
    <row r="6785" spans="1:3" ht="15" customHeight="1" x14ac:dyDescent="0.25">
      <c r="A6785" t="s">
        <v>8970</v>
      </c>
      <c r="B6785">
        <v>15.6</v>
      </c>
    </row>
    <row r="6786" spans="1:3" ht="15" customHeight="1" x14ac:dyDescent="0.25">
      <c r="A6786" t="s">
        <v>8971</v>
      </c>
      <c r="B6786">
        <v>15.6</v>
      </c>
    </row>
    <row r="6787" spans="1:3" ht="15" customHeight="1" x14ac:dyDescent="0.25">
      <c r="A6787" t="s">
        <v>8972</v>
      </c>
      <c r="B6787">
        <v>15.6</v>
      </c>
      <c r="C6787">
        <v>0.15</v>
      </c>
    </row>
    <row r="6788" spans="1:3" ht="15" customHeight="1" x14ac:dyDescent="0.25">
      <c r="A6788" t="s">
        <v>8973</v>
      </c>
      <c r="B6788">
        <v>15.6</v>
      </c>
      <c r="C6788">
        <v>0.3</v>
      </c>
    </row>
    <row r="6789" spans="1:3" ht="15" customHeight="1" x14ac:dyDescent="0.25">
      <c r="A6789" t="s">
        <v>8974</v>
      </c>
      <c r="B6789">
        <v>15.6</v>
      </c>
    </row>
    <row r="6790" spans="1:3" ht="15" customHeight="1" x14ac:dyDescent="0.25">
      <c r="A6790" t="s">
        <v>8975</v>
      </c>
      <c r="B6790">
        <v>15.6</v>
      </c>
      <c r="C6790">
        <v>0.15</v>
      </c>
    </row>
    <row r="6791" spans="1:3" ht="15" customHeight="1" x14ac:dyDescent="0.25">
      <c r="A6791" t="s">
        <v>8976</v>
      </c>
      <c r="B6791">
        <v>15.6</v>
      </c>
    </row>
    <row r="6792" spans="1:3" ht="15" customHeight="1" x14ac:dyDescent="0.25">
      <c r="A6792" t="s">
        <v>8977</v>
      </c>
      <c r="B6792">
        <v>15.6</v>
      </c>
    </row>
    <row r="6793" spans="1:3" ht="15" customHeight="1" x14ac:dyDescent="0.25">
      <c r="A6793" t="s">
        <v>8978</v>
      </c>
      <c r="B6793">
        <v>15.6</v>
      </c>
    </row>
    <row r="6794" spans="1:3" ht="15" customHeight="1" x14ac:dyDescent="0.25">
      <c r="A6794" t="s">
        <v>8979</v>
      </c>
      <c r="B6794">
        <v>15.6</v>
      </c>
    </row>
    <row r="6795" spans="1:3" ht="15" customHeight="1" x14ac:dyDescent="0.25">
      <c r="A6795" t="s">
        <v>8980</v>
      </c>
      <c r="B6795">
        <v>15.6</v>
      </c>
      <c r="C6795">
        <v>0.15</v>
      </c>
    </row>
    <row r="6796" spans="1:3" ht="15" customHeight="1" x14ac:dyDescent="0.25">
      <c r="A6796" t="s">
        <v>8981</v>
      </c>
      <c r="B6796">
        <v>15.6</v>
      </c>
    </row>
    <row r="6797" spans="1:3" ht="15" customHeight="1" x14ac:dyDescent="0.25">
      <c r="A6797" t="s">
        <v>8982</v>
      </c>
      <c r="B6797">
        <v>15.6</v>
      </c>
    </row>
    <row r="6798" spans="1:3" ht="15" customHeight="1" x14ac:dyDescent="0.25">
      <c r="A6798" t="s">
        <v>8983</v>
      </c>
      <c r="B6798">
        <v>15.6</v>
      </c>
      <c r="C6798">
        <v>0.15</v>
      </c>
    </row>
    <row r="6799" spans="1:3" ht="15" customHeight="1" x14ac:dyDescent="0.25">
      <c r="A6799" t="s">
        <v>8984</v>
      </c>
      <c r="B6799">
        <v>15.6</v>
      </c>
      <c r="C6799">
        <v>0.15</v>
      </c>
    </row>
    <row r="6800" spans="1:3" ht="15" customHeight="1" x14ac:dyDescent="0.25">
      <c r="A6800" t="s">
        <v>8985</v>
      </c>
      <c r="B6800">
        <v>15.6</v>
      </c>
      <c r="C6800">
        <v>0.3</v>
      </c>
    </row>
    <row r="6801" spans="1:3" ht="15" customHeight="1" x14ac:dyDescent="0.25">
      <c r="A6801" t="s">
        <v>8986</v>
      </c>
      <c r="B6801">
        <v>15.6</v>
      </c>
      <c r="C6801">
        <v>0.15</v>
      </c>
    </row>
    <row r="6802" spans="1:3" ht="15" customHeight="1" x14ac:dyDescent="0.25">
      <c r="A6802" t="s">
        <v>8987</v>
      </c>
      <c r="B6802">
        <v>15.6</v>
      </c>
    </row>
    <row r="6803" spans="1:3" ht="15" customHeight="1" x14ac:dyDescent="0.25">
      <c r="A6803" t="s">
        <v>8988</v>
      </c>
      <c r="B6803">
        <v>15.6</v>
      </c>
      <c r="C6803">
        <v>0.3</v>
      </c>
    </row>
    <row r="6804" spans="1:3" ht="15" customHeight="1" x14ac:dyDescent="0.25">
      <c r="A6804" t="s">
        <v>8989</v>
      </c>
      <c r="B6804">
        <v>15.6</v>
      </c>
    </row>
    <row r="6805" spans="1:3" ht="15" customHeight="1" x14ac:dyDescent="0.25">
      <c r="A6805" t="s">
        <v>8990</v>
      </c>
      <c r="B6805">
        <v>15.6</v>
      </c>
      <c r="C6805">
        <v>0.15</v>
      </c>
    </row>
    <row r="6806" spans="1:3" ht="15" customHeight="1" x14ac:dyDescent="0.25">
      <c r="A6806" t="s">
        <v>8991</v>
      </c>
      <c r="B6806">
        <v>15.6</v>
      </c>
      <c r="C6806">
        <v>0.3</v>
      </c>
    </row>
    <row r="6807" spans="1:3" ht="15" customHeight="1" x14ac:dyDescent="0.25">
      <c r="A6807" t="s">
        <v>8992</v>
      </c>
      <c r="B6807">
        <v>15.6</v>
      </c>
      <c r="C6807">
        <v>0.15</v>
      </c>
    </row>
    <row r="6808" spans="1:3" ht="15" customHeight="1" x14ac:dyDescent="0.25">
      <c r="A6808" t="s">
        <v>8993</v>
      </c>
      <c r="B6808">
        <v>15.6</v>
      </c>
      <c r="C6808">
        <v>0.15</v>
      </c>
    </row>
    <row r="6809" spans="1:3" ht="15" customHeight="1" x14ac:dyDescent="0.25">
      <c r="A6809" t="s">
        <v>8994</v>
      </c>
      <c r="B6809">
        <v>15.6</v>
      </c>
      <c r="C6809">
        <v>0.3</v>
      </c>
    </row>
    <row r="6810" spans="1:3" ht="15" customHeight="1" x14ac:dyDescent="0.25">
      <c r="A6810" t="s">
        <v>8995</v>
      </c>
      <c r="B6810">
        <v>15.6</v>
      </c>
      <c r="C6810">
        <v>0.15</v>
      </c>
    </row>
    <row r="6811" spans="1:3" ht="15" customHeight="1" x14ac:dyDescent="0.25">
      <c r="A6811" t="s">
        <v>8996</v>
      </c>
      <c r="B6811">
        <v>15.6</v>
      </c>
      <c r="C6811">
        <v>0.15</v>
      </c>
    </row>
    <row r="6812" spans="1:3" ht="15" customHeight="1" x14ac:dyDescent="0.25">
      <c r="A6812" t="s">
        <v>8997</v>
      </c>
      <c r="B6812">
        <v>15.6</v>
      </c>
      <c r="C6812">
        <v>0.3</v>
      </c>
    </row>
    <row r="6813" spans="1:3" ht="15" customHeight="1" x14ac:dyDescent="0.25">
      <c r="A6813" t="s">
        <v>8998</v>
      </c>
      <c r="B6813">
        <v>15.6</v>
      </c>
      <c r="C6813">
        <v>0.15</v>
      </c>
    </row>
    <row r="6814" spans="1:3" ht="15" customHeight="1" x14ac:dyDescent="0.25">
      <c r="A6814" t="s">
        <v>8999</v>
      </c>
      <c r="B6814">
        <v>15.6</v>
      </c>
    </row>
    <row r="6815" spans="1:3" ht="15" customHeight="1" x14ac:dyDescent="0.25">
      <c r="A6815" t="s">
        <v>9000</v>
      </c>
      <c r="B6815">
        <v>15.6</v>
      </c>
      <c r="C6815">
        <v>0.3</v>
      </c>
    </row>
    <row r="6816" spans="1:3" ht="15" customHeight="1" x14ac:dyDescent="0.25">
      <c r="A6816" t="s">
        <v>9001</v>
      </c>
      <c r="B6816">
        <v>15.6</v>
      </c>
      <c r="C6816">
        <v>0.3</v>
      </c>
    </row>
    <row r="6817" spans="1:3" ht="15" customHeight="1" x14ac:dyDescent="0.25">
      <c r="A6817" t="s">
        <v>9002</v>
      </c>
      <c r="B6817">
        <v>15.6</v>
      </c>
      <c r="C6817">
        <v>0.15</v>
      </c>
    </row>
    <row r="6818" spans="1:3" ht="15" customHeight="1" x14ac:dyDescent="0.25">
      <c r="A6818" t="s">
        <v>9003</v>
      </c>
      <c r="B6818">
        <v>15.6</v>
      </c>
      <c r="C6818">
        <v>0.3</v>
      </c>
    </row>
    <row r="6819" spans="1:3" ht="15" customHeight="1" x14ac:dyDescent="0.25">
      <c r="A6819" t="s">
        <v>9004</v>
      </c>
      <c r="B6819">
        <v>15.6</v>
      </c>
      <c r="C6819">
        <v>0.15</v>
      </c>
    </row>
    <row r="6820" spans="1:3" ht="15" customHeight="1" x14ac:dyDescent="0.25">
      <c r="A6820" t="s">
        <v>9005</v>
      </c>
      <c r="B6820">
        <v>15.6</v>
      </c>
      <c r="C6820">
        <v>0.15</v>
      </c>
    </row>
    <row r="6821" spans="1:3" ht="15" customHeight="1" x14ac:dyDescent="0.25">
      <c r="A6821" t="s">
        <v>9006</v>
      </c>
      <c r="B6821">
        <v>15.6</v>
      </c>
      <c r="C6821">
        <v>0.3</v>
      </c>
    </row>
    <row r="6822" spans="1:3" ht="15" customHeight="1" x14ac:dyDescent="0.25">
      <c r="A6822" t="s">
        <v>9007</v>
      </c>
      <c r="B6822">
        <v>15.6</v>
      </c>
      <c r="C6822">
        <v>0.15</v>
      </c>
    </row>
    <row r="6823" spans="1:3" ht="15" customHeight="1" x14ac:dyDescent="0.25">
      <c r="A6823" t="s">
        <v>9008</v>
      </c>
      <c r="B6823">
        <v>15.6</v>
      </c>
    </row>
    <row r="6824" spans="1:3" ht="15" customHeight="1" x14ac:dyDescent="0.25">
      <c r="A6824" t="s">
        <v>9009</v>
      </c>
      <c r="B6824">
        <v>15.6</v>
      </c>
      <c r="C6824">
        <v>0.3</v>
      </c>
    </row>
    <row r="6825" spans="1:3" ht="15" customHeight="1" x14ac:dyDescent="0.25">
      <c r="A6825" t="s">
        <v>9010</v>
      </c>
      <c r="B6825">
        <v>15.6</v>
      </c>
    </row>
    <row r="6826" spans="1:3" ht="15" customHeight="1" x14ac:dyDescent="0.25">
      <c r="A6826" t="s">
        <v>9011</v>
      </c>
      <c r="B6826">
        <v>15.6</v>
      </c>
      <c r="C6826">
        <v>0.3</v>
      </c>
    </row>
    <row r="6827" spans="1:3" ht="15" customHeight="1" x14ac:dyDescent="0.25">
      <c r="A6827" t="s">
        <v>9012</v>
      </c>
      <c r="B6827">
        <v>15.6</v>
      </c>
    </row>
    <row r="6828" spans="1:3" ht="15" customHeight="1" x14ac:dyDescent="0.25">
      <c r="A6828" t="s">
        <v>9013</v>
      </c>
      <c r="B6828">
        <v>15.6</v>
      </c>
      <c r="C6828">
        <v>0.3</v>
      </c>
    </row>
    <row r="6829" spans="1:3" ht="15" customHeight="1" x14ac:dyDescent="0.25">
      <c r="A6829" t="s">
        <v>9014</v>
      </c>
      <c r="B6829">
        <v>15.6</v>
      </c>
      <c r="C6829">
        <v>0.3</v>
      </c>
    </row>
    <row r="6830" spans="1:3" ht="15" customHeight="1" x14ac:dyDescent="0.25">
      <c r="A6830" t="s">
        <v>9015</v>
      </c>
      <c r="B6830">
        <v>15.6</v>
      </c>
    </row>
    <row r="6831" spans="1:3" ht="15" customHeight="1" x14ac:dyDescent="0.25">
      <c r="A6831" t="s">
        <v>9016</v>
      </c>
      <c r="B6831">
        <v>15.6</v>
      </c>
    </row>
    <row r="6832" spans="1:3" ht="15" customHeight="1" x14ac:dyDescent="0.25">
      <c r="A6832" t="s">
        <v>9017</v>
      </c>
      <c r="B6832">
        <v>15.6</v>
      </c>
      <c r="C6832">
        <v>0.3</v>
      </c>
    </row>
    <row r="6833" spans="1:3" ht="15" customHeight="1" x14ac:dyDescent="0.25">
      <c r="A6833" t="s">
        <v>9018</v>
      </c>
      <c r="B6833">
        <v>15.6</v>
      </c>
    </row>
    <row r="6834" spans="1:3" ht="15" customHeight="1" x14ac:dyDescent="0.25">
      <c r="A6834" t="s">
        <v>9019</v>
      </c>
      <c r="B6834">
        <v>15.6</v>
      </c>
      <c r="C6834">
        <v>0.3</v>
      </c>
    </row>
    <row r="6835" spans="1:3" ht="15" customHeight="1" x14ac:dyDescent="0.25">
      <c r="A6835" t="s">
        <v>9020</v>
      </c>
      <c r="B6835">
        <v>15.6</v>
      </c>
    </row>
    <row r="6836" spans="1:3" ht="15" customHeight="1" x14ac:dyDescent="0.25">
      <c r="A6836" t="s">
        <v>9021</v>
      </c>
      <c r="B6836">
        <v>15.6</v>
      </c>
      <c r="C6836">
        <v>0.3</v>
      </c>
    </row>
    <row r="6837" spans="1:3" ht="15" customHeight="1" x14ac:dyDescent="0.25">
      <c r="A6837" t="s">
        <v>9022</v>
      </c>
      <c r="B6837">
        <v>16.3</v>
      </c>
      <c r="C6837">
        <v>0.15</v>
      </c>
    </row>
    <row r="6838" spans="1:3" ht="15" customHeight="1" x14ac:dyDescent="0.25">
      <c r="A6838" t="s">
        <v>9023</v>
      </c>
      <c r="B6838">
        <v>16.3</v>
      </c>
      <c r="C6838">
        <v>0.15</v>
      </c>
    </row>
    <row r="6839" spans="1:3" ht="15" customHeight="1" x14ac:dyDescent="0.25">
      <c r="A6839" t="s">
        <v>9024</v>
      </c>
      <c r="B6839">
        <v>16.3</v>
      </c>
      <c r="C6839">
        <v>0.15</v>
      </c>
    </row>
    <row r="6840" spans="1:3" ht="15" customHeight="1" x14ac:dyDescent="0.25">
      <c r="A6840" t="s">
        <v>9025</v>
      </c>
      <c r="B6840">
        <v>18.3</v>
      </c>
      <c r="C6840">
        <v>0.3</v>
      </c>
    </row>
    <row r="6841" spans="1:3" ht="15" customHeight="1" x14ac:dyDescent="0.25">
      <c r="A6841" t="s">
        <v>9026</v>
      </c>
      <c r="B6841">
        <v>18.3</v>
      </c>
      <c r="C6841">
        <v>0.3</v>
      </c>
    </row>
    <row r="6842" spans="1:3" ht="15" customHeight="1" x14ac:dyDescent="0.25">
      <c r="A6842" t="s">
        <v>9027</v>
      </c>
      <c r="B6842">
        <v>18.3</v>
      </c>
    </row>
    <row r="6843" spans="1:3" ht="15" customHeight="1" x14ac:dyDescent="0.25">
      <c r="A6843" t="s">
        <v>9028</v>
      </c>
      <c r="B6843">
        <v>18.3</v>
      </c>
    </row>
    <row r="6844" spans="1:3" ht="15" customHeight="1" x14ac:dyDescent="0.25">
      <c r="A6844" t="s">
        <v>9029</v>
      </c>
      <c r="B6844">
        <v>18.3</v>
      </c>
      <c r="C6844">
        <v>0.3</v>
      </c>
    </row>
    <row r="6845" spans="1:3" ht="15" customHeight="1" x14ac:dyDescent="0.25">
      <c r="A6845" t="s">
        <v>9030</v>
      </c>
      <c r="B6845">
        <v>18.3</v>
      </c>
      <c r="C6845">
        <v>0.3</v>
      </c>
    </row>
    <row r="6846" spans="1:3" ht="15" customHeight="1" x14ac:dyDescent="0.25">
      <c r="A6846" t="s">
        <v>9031</v>
      </c>
      <c r="B6846">
        <v>18.3</v>
      </c>
      <c r="C6846">
        <v>0.3</v>
      </c>
    </row>
    <row r="6847" spans="1:3" ht="15" customHeight="1" x14ac:dyDescent="0.25">
      <c r="A6847" t="s">
        <v>9032</v>
      </c>
      <c r="B6847">
        <v>18.3</v>
      </c>
      <c r="C6847">
        <v>0.3</v>
      </c>
    </row>
    <row r="6848" spans="1:3" ht="15" customHeight="1" x14ac:dyDescent="0.25">
      <c r="A6848" t="s">
        <v>9033</v>
      </c>
      <c r="B6848">
        <v>15.6</v>
      </c>
      <c r="C6848">
        <v>0.15</v>
      </c>
    </row>
    <row r="6849" spans="1:3" ht="15" customHeight="1" x14ac:dyDescent="0.25">
      <c r="A6849" t="s">
        <v>9034</v>
      </c>
      <c r="B6849">
        <v>15.6</v>
      </c>
      <c r="C6849">
        <v>0.15</v>
      </c>
    </row>
    <row r="6850" spans="1:3" ht="15" customHeight="1" x14ac:dyDescent="0.25">
      <c r="A6850" t="s">
        <v>9035</v>
      </c>
      <c r="B6850">
        <v>15.6</v>
      </c>
    </row>
    <row r="6851" spans="1:3" ht="15" customHeight="1" x14ac:dyDescent="0.25">
      <c r="A6851" t="s">
        <v>9036</v>
      </c>
      <c r="B6851">
        <v>15.6</v>
      </c>
      <c r="C6851">
        <v>0.3</v>
      </c>
    </row>
    <row r="6852" spans="1:3" ht="15" customHeight="1" x14ac:dyDescent="0.25">
      <c r="A6852" t="s">
        <v>9037</v>
      </c>
      <c r="B6852">
        <v>15.6</v>
      </c>
      <c r="C6852">
        <v>0.15</v>
      </c>
    </row>
    <row r="6853" spans="1:3" ht="15" customHeight="1" x14ac:dyDescent="0.25">
      <c r="A6853" t="s">
        <v>9038</v>
      </c>
      <c r="B6853">
        <v>15.6</v>
      </c>
      <c r="C6853">
        <v>0.15</v>
      </c>
    </row>
    <row r="6854" spans="1:3" ht="15" customHeight="1" x14ac:dyDescent="0.25">
      <c r="A6854" t="s">
        <v>9039</v>
      </c>
      <c r="B6854">
        <v>15.6</v>
      </c>
      <c r="C6854">
        <v>0.15</v>
      </c>
    </row>
    <row r="6855" spans="1:3" ht="15" customHeight="1" x14ac:dyDescent="0.25">
      <c r="A6855" t="s">
        <v>9040</v>
      </c>
      <c r="B6855">
        <v>15.6</v>
      </c>
      <c r="C6855">
        <v>0.15</v>
      </c>
    </row>
    <row r="6856" spans="1:3" ht="15" customHeight="1" x14ac:dyDescent="0.25">
      <c r="A6856" t="s">
        <v>9041</v>
      </c>
      <c r="B6856">
        <v>15.6</v>
      </c>
      <c r="C6856">
        <v>0.15</v>
      </c>
    </row>
    <row r="6857" spans="1:3" ht="15" customHeight="1" x14ac:dyDescent="0.25">
      <c r="A6857" t="s">
        <v>9042</v>
      </c>
      <c r="B6857">
        <v>15.6</v>
      </c>
      <c r="C6857">
        <v>0.15</v>
      </c>
    </row>
    <row r="6858" spans="1:3" ht="15" customHeight="1" x14ac:dyDescent="0.25">
      <c r="A6858" t="s">
        <v>9043</v>
      </c>
      <c r="B6858">
        <v>15.6</v>
      </c>
      <c r="C6858">
        <v>0.3</v>
      </c>
    </row>
    <row r="6859" spans="1:3" ht="15" customHeight="1" x14ac:dyDescent="0.25">
      <c r="A6859" t="s">
        <v>9044</v>
      </c>
      <c r="B6859">
        <v>15.6</v>
      </c>
      <c r="C6859">
        <v>0.3</v>
      </c>
    </row>
    <row r="6860" spans="1:3" ht="15" customHeight="1" x14ac:dyDescent="0.25">
      <c r="A6860" t="s">
        <v>9045</v>
      </c>
      <c r="B6860">
        <v>15.6</v>
      </c>
      <c r="C6860">
        <v>0.15</v>
      </c>
    </row>
    <row r="6861" spans="1:3" ht="15" customHeight="1" x14ac:dyDescent="0.25">
      <c r="A6861" t="s">
        <v>9046</v>
      </c>
      <c r="B6861">
        <v>15.6</v>
      </c>
      <c r="C6861">
        <v>0.15</v>
      </c>
    </row>
    <row r="6862" spans="1:3" ht="15" customHeight="1" x14ac:dyDescent="0.25">
      <c r="A6862" t="s">
        <v>9047</v>
      </c>
      <c r="B6862">
        <v>15.6</v>
      </c>
      <c r="C6862">
        <v>0.15</v>
      </c>
    </row>
    <row r="6863" spans="1:3" ht="15" customHeight="1" x14ac:dyDescent="0.25">
      <c r="A6863" t="s">
        <v>9048</v>
      </c>
      <c r="B6863">
        <v>15.6</v>
      </c>
      <c r="C6863">
        <v>0.15</v>
      </c>
    </row>
    <row r="6864" spans="1:3" ht="15" customHeight="1" x14ac:dyDescent="0.25">
      <c r="A6864" t="s">
        <v>9049</v>
      </c>
      <c r="B6864">
        <v>16.8</v>
      </c>
      <c r="C6864">
        <v>0.15</v>
      </c>
    </row>
    <row r="6865" spans="1:3" ht="15" customHeight="1" x14ac:dyDescent="0.25">
      <c r="A6865" t="s">
        <v>1508</v>
      </c>
      <c r="B6865">
        <v>16.8</v>
      </c>
      <c r="C6865">
        <v>0.15</v>
      </c>
    </row>
    <row r="6866" spans="1:3" ht="15" customHeight="1" x14ac:dyDescent="0.25">
      <c r="A6866" t="s">
        <v>9050</v>
      </c>
      <c r="B6866">
        <v>20.6</v>
      </c>
      <c r="C6866">
        <v>0.15</v>
      </c>
    </row>
    <row r="6867" spans="1:3" ht="15" customHeight="1" x14ac:dyDescent="0.25">
      <c r="A6867" t="s">
        <v>9051</v>
      </c>
      <c r="B6867">
        <v>20.6</v>
      </c>
      <c r="C6867">
        <v>0.15</v>
      </c>
    </row>
    <row r="6868" spans="1:3" ht="15" customHeight="1" x14ac:dyDescent="0.25">
      <c r="A6868" t="s">
        <v>9052</v>
      </c>
      <c r="B6868">
        <v>20.6</v>
      </c>
      <c r="C6868">
        <v>0.3</v>
      </c>
    </row>
    <row r="6869" spans="1:3" ht="15" customHeight="1" x14ac:dyDescent="0.25">
      <c r="A6869" t="s">
        <v>9053</v>
      </c>
      <c r="B6869">
        <v>16.8</v>
      </c>
    </row>
    <row r="6870" spans="1:3" ht="15" customHeight="1" x14ac:dyDescent="0.25">
      <c r="A6870" t="s">
        <v>9054</v>
      </c>
      <c r="B6870">
        <v>16.8</v>
      </c>
      <c r="C6870">
        <v>0.3</v>
      </c>
    </row>
    <row r="6871" spans="1:3" ht="15" customHeight="1" x14ac:dyDescent="0.25">
      <c r="A6871" t="s">
        <v>9055</v>
      </c>
      <c r="B6871">
        <v>20.6</v>
      </c>
    </row>
    <row r="6872" spans="1:3" ht="15" customHeight="1" x14ac:dyDescent="0.25">
      <c r="A6872" t="s">
        <v>9056</v>
      </c>
      <c r="B6872">
        <v>16.8</v>
      </c>
      <c r="C6872">
        <v>0.15</v>
      </c>
    </row>
    <row r="6873" spans="1:3" ht="15" customHeight="1" x14ac:dyDescent="0.25">
      <c r="A6873" t="s">
        <v>9057</v>
      </c>
      <c r="B6873">
        <v>16.8</v>
      </c>
      <c r="C6873">
        <v>0.15</v>
      </c>
    </row>
    <row r="6874" spans="1:3" ht="15" customHeight="1" x14ac:dyDescent="0.25">
      <c r="A6874" t="s">
        <v>9058</v>
      </c>
      <c r="B6874">
        <v>20.6</v>
      </c>
      <c r="C6874">
        <v>0.15</v>
      </c>
    </row>
    <row r="6875" spans="1:3" ht="15" customHeight="1" x14ac:dyDescent="0.25">
      <c r="A6875" t="s">
        <v>9059</v>
      </c>
      <c r="B6875">
        <v>20.6</v>
      </c>
      <c r="C6875">
        <v>0.15</v>
      </c>
    </row>
    <row r="6876" spans="1:3" ht="15" customHeight="1" x14ac:dyDescent="0.25">
      <c r="A6876" t="s">
        <v>9060</v>
      </c>
      <c r="B6876">
        <v>16.8</v>
      </c>
      <c r="C6876">
        <v>0.05</v>
      </c>
    </row>
    <row r="6877" spans="1:3" ht="15" customHeight="1" x14ac:dyDescent="0.25">
      <c r="A6877" t="s">
        <v>9061</v>
      </c>
      <c r="B6877">
        <v>16.8</v>
      </c>
      <c r="C6877">
        <v>0.05</v>
      </c>
    </row>
    <row r="6878" spans="1:3" ht="15" customHeight="1" x14ac:dyDescent="0.25">
      <c r="A6878" t="s">
        <v>9062</v>
      </c>
      <c r="B6878">
        <v>20.6</v>
      </c>
      <c r="C6878">
        <v>0.15</v>
      </c>
    </row>
    <row r="6879" spans="1:3" ht="15" customHeight="1" x14ac:dyDescent="0.25">
      <c r="A6879" t="s">
        <v>9063</v>
      </c>
      <c r="B6879">
        <v>20.6</v>
      </c>
      <c r="C6879">
        <v>0.15</v>
      </c>
    </row>
    <row r="6880" spans="1:3" ht="15" customHeight="1" x14ac:dyDescent="0.25">
      <c r="A6880" t="s">
        <v>9064</v>
      </c>
      <c r="B6880">
        <v>17.399999999999999</v>
      </c>
      <c r="C6880">
        <v>0.05</v>
      </c>
    </row>
    <row r="6881" spans="1:3" ht="15" customHeight="1" x14ac:dyDescent="0.25">
      <c r="A6881" t="s">
        <v>9065</v>
      </c>
      <c r="B6881">
        <v>17.399999999999999</v>
      </c>
      <c r="C6881">
        <v>0.05</v>
      </c>
    </row>
    <row r="6882" spans="1:3" ht="15" customHeight="1" x14ac:dyDescent="0.25">
      <c r="A6882" t="s">
        <v>9066</v>
      </c>
      <c r="B6882">
        <v>20.6</v>
      </c>
      <c r="C6882">
        <v>0.15</v>
      </c>
    </row>
    <row r="6883" spans="1:3" ht="15" customHeight="1" x14ac:dyDescent="0.25">
      <c r="A6883" t="s">
        <v>9067</v>
      </c>
      <c r="B6883">
        <v>20.6</v>
      </c>
      <c r="C6883">
        <v>0.15</v>
      </c>
    </row>
    <row r="6884" spans="1:3" ht="15" customHeight="1" x14ac:dyDescent="0.25">
      <c r="A6884" t="s">
        <v>9068</v>
      </c>
      <c r="B6884">
        <v>17.399999999999999</v>
      </c>
      <c r="C6884">
        <v>0.3</v>
      </c>
    </row>
    <row r="6885" spans="1:3" ht="15" customHeight="1" x14ac:dyDescent="0.25">
      <c r="A6885" t="s">
        <v>9069</v>
      </c>
      <c r="B6885">
        <v>17.399999999999999</v>
      </c>
    </row>
    <row r="6886" spans="1:3" ht="15" customHeight="1" x14ac:dyDescent="0.25">
      <c r="A6886" t="s">
        <v>9070</v>
      </c>
      <c r="B6886">
        <v>20.6</v>
      </c>
      <c r="C6886">
        <v>0.3</v>
      </c>
    </row>
    <row r="6887" spans="1:3" ht="15" customHeight="1" x14ac:dyDescent="0.25">
      <c r="A6887" t="s">
        <v>9071</v>
      </c>
      <c r="B6887">
        <v>20.6</v>
      </c>
    </row>
    <row r="6888" spans="1:3" ht="15" customHeight="1" x14ac:dyDescent="0.25">
      <c r="A6888" t="s">
        <v>9072</v>
      </c>
      <c r="B6888">
        <v>17.399999999999999</v>
      </c>
      <c r="C6888">
        <v>0.05</v>
      </c>
    </row>
    <row r="6889" spans="1:3" ht="15" customHeight="1" x14ac:dyDescent="0.25">
      <c r="A6889" t="s">
        <v>9073</v>
      </c>
      <c r="B6889">
        <v>17.399999999999999</v>
      </c>
      <c r="C6889">
        <v>0.05</v>
      </c>
    </row>
    <row r="6890" spans="1:3" ht="15" customHeight="1" x14ac:dyDescent="0.25">
      <c r="A6890" t="s">
        <v>9074</v>
      </c>
      <c r="B6890">
        <v>20.6</v>
      </c>
      <c r="C6890">
        <v>0.15</v>
      </c>
    </row>
    <row r="6891" spans="1:3" ht="15" customHeight="1" x14ac:dyDescent="0.25">
      <c r="A6891" t="s">
        <v>9075</v>
      </c>
      <c r="B6891">
        <v>20.6</v>
      </c>
      <c r="C6891">
        <v>0.15</v>
      </c>
    </row>
    <row r="6892" spans="1:3" ht="15" customHeight="1" x14ac:dyDescent="0.25">
      <c r="A6892" t="s">
        <v>9076</v>
      </c>
      <c r="B6892">
        <v>17.399999999999999</v>
      </c>
      <c r="C6892">
        <v>0.05</v>
      </c>
    </row>
    <row r="6893" spans="1:3" ht="15" customHeight="1" x14ac:dyDescent="0.25">
      <c r="A6893" t="s">
        <v>9077</v>
      </c>
      <c r="B6893">
        <v>17.399999999999999</v>
      </c>
      <c r="C6893">
        <v>0.05</v>
      </c>
    </row>
    <row r="6894" spans="1:3" ht="15" customHeight="1" x14ac:dyDescent="0.25">
      <c r="A6894" t="s">
        <v>9078</v>
      </c>
      <c r="B6894">
        <v>20.6</v>
      </c>
      <c r="C6894">
        <v>0.15</v>
      </c>
    </row>
    <row r="6895" spans="1:3" ht="15" customHeight="1" x14ac:dyDescent="0.25">
      <c r="A6895" t="s">
        <v>9079</v>
      </c>
      <c r="B6895">
        <v>20.6</v>
      </c>
      <c r="C6895">
        <v>0.15</v>
      </c>
    </row>
    <row r="6896" spans="1:3" ht="15" customHeight="1" x14ac:dyDescent="0.25">
      <c r="A6896" t="s">
        <v>617</v>
      </c>
      <c r="B6896">
        <v>17.5</v>
      </c>
      <c r="C6896">
        <v>0.05</v>
      </c>
    </row>
    <row r="6897" spans="1:3" ht="15" customHeight="1" x14ac:dyDescent="0.25">
      <c r="A6897" t="s">
        <v>9080</v>
      </c>
      <c r="B6897">
        <v>17.5</v>
      </c>
      <c r="C6897">
        <v>0.05</v>
      </c>
    </row>
    <row r="6898" spans="1:3" ht="15" customHeight="1" x14ac:dyDescent="0.25">
      <c r="A6898" t="s">
        <v>9081</v>
      </c>
      <c r="B6898">
        <v>17.5</v>
      </c>
      <c r="C6898">
        <v>0.05</v>
      </c>
    </row>
    <row r="6899" spans="1:3" ht="15" customHeight="1" x14ac:dyDescent="0.25">
      <c r="A6899" t="s">
        <v>230</v>
      </c>
      <c r="B6899">
        <v>17.5</v>
      </c>
      <c r="C6899">
        <v>0.05</v>
      </c>
    </row>
    <row r="6900" spans="1:3" ht="15" customHeight="1" x14ac:dyDescent="0.25">
      <c r="A6900" t="s">
        <v>9082</v>
      </c>
      <c r="B6900">
        <v>11</v>
      </c>
    </row>
    <row r="6901" spans="1:3" ht="15" customHeight="1" x14ac:dyDescent="0.25">
      <c r="A6901" t="s">
        <v>9083</v>
      </c>
      <c r="B6901">
        <v>11</v>
      </c>
    </row>
    <row r="6902" spans="1:3" ht="15" customHeight="1" x14ac:dyDescent="0.25">
      <c r="A6902" t="s">
        <v>9084</v>
      </c>
      <c r="B6902">
        <v>11</v>
      </c>
    </row>
    <row r="6903" spans="1:3" ht="15" customHeight="1" x14ac:dyDescent="0.25">
      <c r="A6903" t="s">
        <v>9085</v>
      </c>
      <c r="B6903">
        <v>11</v>
      </c>
      <c r="C6903">
        <v>0.15</v>
      </c>
    </row>
    <row r="6904" spans="1:3" ht="15" customHeight="1" x14ac:dyDescent="0.25">
      <c r="A6904" t="s">
        <v>9086</v>
      </c>
      <c r="B6904">
        <v>11</v>
      </c>
    </row>
    <row r="6905" spans="1:3" ht="15" customHeight="1" x14ac:dyDescent="0.25">
      <c r="A6905" t="s">
        <v>9087</v>
      </c>
      <c r="B6905">
        <v>11</v>
      </c>
    </row>
    <row r="6906" spans="1:3" ht="15" customHeight="1" x14ac:dyDescent="0.25">
      <c r="A6906" t="s">
        <v>9088</v>
      </c>
      <c r="B6906">
        <v>11</v>
      </c>
      <c r="C6906">
        <v>0.15</v>
      </c>
    </row>
    <row r="6907" spans="1:3" ht="15" customHeight="1" x14ac:dyDescent="0.25">
      <c r="A6907" t="s">
        <v>9089</v>
      </c>
      <c r="B6907">
        <v>11</v>
      </c>
    </row>
    <row r="6908" spans="1:3" ht="15" customHeight="1" x14ac:dyDescent="0.25">
      <c r="A6908" t="s">
        <v>9090</v>
      </c>
      <c r="B6908">
        <v>11</v>
      </c>
    </row>
    <row r="6909" spans="1:3" ht="15" customHeight="1" x14ac:dyDescent="0.25">
      <c r="A6909" t="s">
        <v>9091</v>
      </c>
      <c r="B6909">
        <v>11</v>
      </c>
    </row>
    <row r="6910" spans="1:3" ht="15" customHeight="1" x14ac:dyDescent="0.25">
      <c r="A6910" t="s">
        <v>9092</v>
      </c>
      <c r="B6910">
        <v>11</v>
      </c>
    </row>
    <row r="6911" spans="1:3" ht="15" customHeight="1" x14ac:dyDescent="0.25">
      <c r="A6911" t="s">
        <v>9093</v>
      </c>
      <c r="B6911">
        <v>11</v>
      </c>
    </row>
    <row r="6912" spans="1:3" ht="15" customHeight="1" x14ac:dyDescent="0.25">
      <c r="A6912" t="s">
        <v>9094</v>
      </c>
      <c r="B6912">
        <v>11</v>
      </c>
    </row>
    <row r="6913" spans="1:3" ht="15" customHeight="1" x14ac:dyDescent="0.25">
      <c r="A6913" t="s">
        <v>9095</v>
      </c>
      <c r="B6913">
        <v>11</v>
      </c>
    </row>
    <row r="6914" spans="1:3" ht="15" customHeight="1" x14ac:dyDescent="0.25">
      <c r="A6914" t="s">
        <v>9096</v>
      </c>
      <c r="B6914">
        <v>11</v>
      </c>
    </row>
    <row r="6915" spans="1:3" ht="15" customHeight="1" x14ac:dyDescent="0.25">
      <c r="A6915" t="s">
        <v>9097</v>
      </c>
      <c r="B6915">
        <v>11</v>
      </c>
    </row>
    <row r="6916" spans="1:3" ht="15" customHeight="1" x14ac:dyDescent="0.25">
      <c r="A6916" t="s">
        <v>9098</v>
      </c>
      <c r="B6916">
        <v>11</v>
      </c>
    </row>
    <row r="6917" spans="1:3" ht="15" customHeight="1" x14ac:dyDescent="0.25">
      <c r="A6917" t="s">
        <v>9099</v>
      </c>
      <c r="B6917">
        <v>11</v>
      </c>
    </row>
    <row r="6918" spans="1:3" ht="15" customHeight="1" x14ac:dyDescent="0.25">
      <c r="A6918" t="s">
        <v>9100</v>
      </c>
      <c r="B6918">
        <v>11</v>
      </c>
      <c r="C6918">
        <v>0.15</v>
      </c>
    </row>
    <row r="6919" spans="1:3" ht="15" customHeight="1" x14ac:dyDescent="0.25">
      <c r="A6919" t="s">
        <v>9101</v>
      </c>
      <c r="B6919">
        <v>11</v>
      </c>
      <c r="C6919">
        <v>0.3</v>
      </c>
    </row>
    <row r="6920" spans="1:3" ht="15" customHeight="1" x14ac:dyDescent="0.25">
      <c r="A6920" t="s">
        <v>9102</v>
      </c>
      <c r="B6920">
        <v>11</v>
      </c>
      <c r="C6920">
        <v>0.3</v>
      </c>
    </row>
    <row r="6921" spans="1:3" ht="15" customHeight="1" x14ac:dyDescent="0.25">
      <c r="A6921" t="s">
        <v>9103</v>
      </c>
      <c r="B6921">
        <v>11</v>
      </c>
    </row>
    <row r="6922" spans="1:3" ht="15" customHeight="1" x14ac:dyDescent="0.25">
      <c r="A6922" t="s">
        <v>1133</v>
      </c>
      <c r="B6922">
        <v>11</v>
      </c>
      <c r="C6922">
        <v>0.3</v>
      </c>
    </row>
    <row r="6923" spans="1:3" ht="15" customHeight="1" x14ac:dyDescent="0.25">
      <c r="A6923" t="s">
        <v>9104</v>
      </c>
      <c r="B6923">
        <v>11</v>
      </c>
      <c r="C6923">
        <v>0.15</v>
      </c>
    </row>
    <row r="6924" spans="1:3" ht="15" customHeight="1" x14ac:dyDescent="0.25">
      <c r="A6924" t="s">
        <v>9105</v>
      </c>
      <c r="B6924">
        <v>11</v>
      </c>
    </row>
    <row r="6925" spans="1:3" ht="15" customHeight="1" x14ac:dyDescent="0.25">
      <c r="A6925" t="s">
        <v>9106</v>
      </c>
      <c r="B6925">
        <v>11</v>
      </c>
    </row>
    <row r="6926" spans="1:3" ht="15" customHeight="1" x14ac:dyDescent="0.25">
      <c r="A6926" t="s">
        <v>9107</v>
      </c>
      <c r="B6926">
        <v>11</v>
      </c>
    </row>
    <row r="6927" spans="1:3" ht="15" customHeight="1" x14ac:dyDescent="0.25">
      <c r="A6927" t="s">
        <v>9108</v>
      </c>
      <c r="B6927">
        <v>11</v>
      </c>
    </row>
    <row r="6928" spans="1:3" ht="15" customHeight="1" x14ac:dyDescent="0.25">
      <c r="A6928" t="s">
        <v>9109</v>
      </c>
      <c r="B6928">
        <v>11</v>
      </c>
      <c r="C6928">
        <v>0.3</v>
      </c>
    </row>
    <row r="6929" spans="1:3" ht="15" customHeight="1" x14ac:dyDescent="0.25">
      <c r="A6929" t="s">
        <v>9110</v>
      </c>
      <c r="B6929">
        <v>11</v>
      </c>
    </row>
    <row r="6930" spans="1:3" ht="15" customHeight="1" x14ac:dyDescent="0.25">
      <c r="A6930" t="s">
        <v>9111</v>
      </c>
      <c r="B6930">
        <v>11</v>
      </c>
      <c r="C6930">
        <v>0.15</v>
      </c>
    </row>
    <row r="6931" spans="1:3" ht="15" customHeight="1" x14ac:dyDescent="0.25">
      <c r="A6931" t="s">
        <v>9112</v>
      </c>
      <c r="B6931">
        <v>11</v>
      </c>
    </row>
    <row r="6932" spans="1:3" ht="15" customHeight="1" x14ac:dyDescent="0.25">
      <c r="A6932" t="s">
        <v>9113</v>
      </c>
      <c r="B6932">
        <v>11</v>
      </c>
      <c r="C6932">
        <v>0.3</v>
      </c>
    </row>
    <row r="6933" spans="1:3" ht="15" customHeight="1" x14ac:dyDescent="0.25">
      <c r="A6933" t="s">
        <v>9114</v>
      </c>
      <c r="B6933">
        <v>11</v>
      </c>
    </row>
    <row r="6934" spans="1:3" ht="15" customHeight="1" x14ac:dyDescent="0.25">
      <c r="A6934" t="s">
        <v>9115</v>
      </c>
      <c r="B6934">
        <v>11</v>
      </c>
      <c r="C6934">
        <v>0.3</v>
      </c>
    </row>
    <row r="6935" spans="1:3" ht="15" customHeight="1" x14ac:dyDescent="0.25">
      <c r="A6935" t="s">
        <v>9116</v>
      </c>
      <c r="B6935">
        <v>11</v>
      </c>
      <c r="C6935">
        <v>0.15</v>
      </c>
    </row>
    <row r="6936" spans="1:3" ht="15" customHeight="1" x14ac:dyDescent="0.25">
      <c r="A6936" t="s">
        <v>9117</v>
      </c>
      <c r="B6936">
        <v>11</v>
      </c>
      <c r="C6936">
        <v>0.3</v>
      </c>
    </row>
    <row r="6937" spans="1:3" ht="15" customHeight="1" x14ac:dyDescent="0.25">
      <c r="A6937" t="s">
        <v>9118</v>
      </c>
      <c r="B6937">
        <v>11</v>
      </c>
      <c r="C6937">
        <v>0.3</v>
      </c>
    </row>
    <row r="6938" spans="1:3" ht="15" customHeight="1" x14ac:dyDescent="0.25">
      <c r="A6938" t="s">
        <v>9119</v>
      </c>
      <c r="B6938">
        <v>11</v>
      </c>
      <c r="C6938">
        <v>0.3</v>
      </c>
    </row>
    <row r="6939" spans="1:3" ht="15" customHeight="1" x14ac:dyDescent="0.25">
      <c r="A6939" t="s">
        <v>9120</v>
      </c>
      <c r="B6939">
        <v>11</v>
      </c>
      <c r="C6939">
        <v>0.3</v>
      </c>
    </row>
    <row r="6940" spans="1:3" ht="15" customHeight="1" x14ac:dyDescent="0.25">
      <c r="A6940" t="s">
        <v>9121</v>
      </c>
      <c r="B6940">
        <v>11</v>
      </c>
      <c r="C6940">
        <v>0.3</v>
      </c>
    </row>
    <row r="6941" spans="1:3" ht="15" customHeight="1" x14ac:dyDescent="0.25">
      <c r="A6941" t="s">
        <v>9122</v>
      </c>
      <c r="B6941">
        <v>11</v>
      </c>
    </row>
    <row r="6942" spans="1:3" ht="15" customHeight="1" x14ac:dyDescent="0.25">
      <c r="A6942" t="s">
        <v>9123</v>
      </c>
      <c r="B6942">
        <v>11</v>
      </c>
      <c r="C6942">
        <v>0.3</v>
      </c>
    </row>
    <row r="6943" spans="1:3" ht="15" customHeight="1" x14ac:dyDescent="0.25">
      <c r="A6943" t="s">
        <v>9124</v>
      </c>
      <c r="B6943">
        <v>11</v>
      </c>
    </row>
    <row r="6944" spans="1:3" ht="15" customHeight="1" x14ac:dyDescent="0.25">
      <c r="A6944" t="s">
        <v>9125</v>
      </c>
      <c r="B6944">
        <v>11</v>
      </c>
      <c r="C6944">
        <v>0.3</v>
      </c>
    </row>
    <row r="6945" spans="1:3" ht="15" customHeight="1" x14ac:dyDescent="0.25">
      <c r="A6945" t="s">
        <v>9126</v>
      </c>
      <c r="B6945">
        <v>11</v>
      </c>
    </row>
    <row r="6946" spans="1:3" ht="15" customHeight="1" x14ac:dyDescent="0.25">
      <c r="A6946" t="s">
        <v>9127</v>
      </c>
      <c r="B6946">
        <v>11</v>
      </c>
      <c r="C6946">
        <v>0.15</v>
      </c>
    </row>
    <row r="6947" spans="1:3" ht="15" customHeight="1" x14ac:dyDescent="0.25">
      <c r="A6947" t="s">
        <v>9128</v>
      </c>
      <c r="B6947">
        <v>11</v>
      </c>
      <c r="C6947">
        <v>0.3</v>
      </c>
    </row>
    <row r="6948" spans="1:3" ht="15" customHeight="1" x14ac:dyDescent="0.25">
      <c r="A6948" t="s">
        <v>9129</v>
      </c>
      <c r="B6948">
        <v>11</v>
      </c>
      <c r="C6948">
        <v>0.3</v>
      </c>
    </row>
    <row r="6949" spans="1:3" ht="15" customHeight="1" x14ac:dyDescent="0.25">
      <c r="A6949" t="s">
        <v>9130</v>
      </c>
      <c r="B6949">
        <v>11</v>
      </c>
      <c r="C6949">
        <v>0.3</v>
      </c>
    </row>
    <row r="6950" spans="1:3" ht="15" customHeight="1" x14ac:dyDescent="0.25">
      <c r="A6950" t="s">
        <v>9131</v>
      </c>
      <c r="B6950">
        <v>11</v>
      </c>
      <c r="C6950">
        <v>0.3</v>
      </c>
    </row>
    <row r="6951" spans="1:3" ht="15" customHeight="1" x14ac:dyDescent="0.25">
      <c r="A6951" t="s">
        <v>9132</v>
      </c>
      <c r="B6951">
        <v>11</v>
      </c>
      <c r="C6951">
        <v>0.3</v>
      </c>
    </row>
    <row r="6952" spans="1:3" ht="15" customHeight="1" x14ac:dyDescent="0.25">
      <c r="A6952" t="s">
        <v>9133</v>
      </c>
      <c r="B6952">
        <v>11</v>
      </c>
      <c r="C6952">
        <v>0.3</v>
      </c>
    </row>
    <row r="6953" spans="1:3" ht="15" customHeight="1" x14ac:dyDescent="0.25">
      <c r="A6953" t="s">
        <v>9134</v>
      </c>
      <c r="B6953">
        <v>11</v>
      </c>
      <c r="C6953">
        <v>0.3</v>
      </c>
    </row>
    <row r="6954" spans="1:3" ht="15" customHeight="1" x14ac:dyDescent="0.25">
      <c r="A6954" t="s">
        <v>9135</v>
      </c>
      <c r="B6954">
        <v>11</v>
      </c>
    </row>
    <row r="6955" spans="1:3" ht="15" customHeight="1" x14ac:dyDescent="0.25">
      <c r="A6955" t="s">
        <v>9136</v>
      </c>
      <c r="B6955">
        <v>11</v>
      </c>
      <c r="C6955">
        <v>0.15</v>
      </c>
    </row>
    <row r="6956" spans="1:3" ht="15" customHeight="1" x14ac:dyDescent="0.25">
      <c r="A6956" t="s">
        <v>9137</v>
      </c>
      <c r="B6956">
        <v>11</v>
      </c>
      <c r="C6956">
        <v>0.15</v>
      </c>
    </row>
    <row r="6957" spans="1:3" ht="15" customHeight="1" x14ac:dyDescent="0.25">
      <c r="A6957" t="s">
        <v>9138</v>
      </c>
      <c r="B6957">
        <v>11</v>
      </c>
      <c r="C6957">
        <v>0.3</v>
      </c>
    </row>
    <row r="6958" spans="1:3" ht="15" customHeight="1" x14ac:dyDescent="0.25">
      <c r="A6958" t="s">
        <v>9139</v>
      </c>
      <c r="B6958">
        <v>11</v>
      </c>
      <c r="C6958">
        <v>0.15</v>
      </c>
    </row>
    <row r="6959" spans="1:3" ht="15" customHeight="1" x14ac:dyDescent="0.25">
      <c r="A6959" t="s">
        <v>9140</v>
      </c>
      <c r="B6959">
        <v>11</v>
      </c>
      <c r="C6959">
        <v>0.3</v>
      </c>
    </row>
    <row r="6960" spans="1:3" ht="15" customHeight="1" x14ac:dyDescent="0.25">
      <c r="A6960" t="s">
        <v>9141</v>
      </c>
      <c r="B6960">
        <v>11</v>
      </c>
      <c r="C6960">
        <v>0.3</v>
      </c>
    </row>
    <row r="6961" spans="1:3" ht="15" customHeight="1" x14ac:dyDescent="0.25">
      <c r="A6961" t="s">
        <v>1238</v>
      </c>
      <c r="B6961">
        <v>11</v>
      </c>
      <c r="C6961">
        <v>0.3</v>
      </c>
    </row>
    <row r="6962" spans="1:3" ht="15" customHeight="1" x14ac:dyDescent="0.25">
      <c r="A6962" t="s">
        <v>9142</v>
      </c>
      <c r="B6962">
        <v>11</v>
      </c>
      <c r="C6962">
        <v>0.15</v>
      </c>
    </row>
    <row r="6963" spans="1:3" ht="15" customHeight="1" x14ac:dyDescent="0.25">
      <c r="A6963" t="s">
        <v>9143</v>
      </c>
      <c r="B6963">
        <v>11</v>
      </c>
      <c r="C6963">
        <v>0.3</v>
      </c>
    </row>
    <row r="6964" spans="1:3" ht="15" customHeight="1" x14ac:dyDescent="0.25">
      <c r="A6964" t="s">
        <v>9144</v>
      </c>
      <c r="B6964">
        <v>11</v>
      </c>
      <c r="C6964">
        <v>0.15</v>
      </c>
    </row>
    <row r="6965" spans="1:3" ht="15" customHeight="1" x14ac:dyDescent="0.25">
      <c r="A6965" t="s">
        <v>9145</v>
      </c>
      <c r="B6965">
        <v>11</v>
      </c>
      <c r="C6965">
        <v>0.15</v>
      </c>
    </row>
    <row r="6966" spans="1:3" ht="15" customHeight="1" x14ac:dyDescent="0.25">
      <c r="A6966" t="s">
        <v>9146</v>
      </c>
      <c r="B6966">
        <v>11</v>
      </c>
      <c r="C6966">
        <v>0.3</v>
      </c>
    </row>
    <row r="6967" spans="1:3" ht="15" customHeight="1" x14ac:dyDescent="0.25">
      <c r="A6967" t="s">
        <v>9147</v>
      </c>
      <c r="B6967">
        <v>11</v>
      </c>
      <c r="C6967">
        <v>0.15</v>
      </c>
    </row>
    <row r="6968" spans="1:3" ht="15" customHeight="1" x14ac:dyDescent="0.25">
      <c r="A6968" t="s">
        <v>9148</v>
      </c>
      <c r="B6968">
        <v>11</v>
      </c>
      <c r="C6968">
        <v>0.15</v>
      </c>
    </row>
    <row r="6969" spans="1:3" ht="15" customHeight="1" x14ac:dyDescent="0.25">
      <c r="A6969" t="s">
        <v>9149</v>
      </c>
      <c r="B6969">
        <v>11</v>
      </c>
      <c r="C6969">
        <v>0.15</v>
      </c>
    </row>
    <row r="6970" spans="1:3" ht="15" customHeight="1" x14ac:dyDescent="0.25">
      <c r="A6970" t="s">
        <v>9150</v>
      </c>
      <c r="B6970">
        <v>11</v>
      </c>
      <c r="C6970">
        <v>0.3</v>
      </c>
    </row>
    <row r="6971" spans="1:3" ht="15" customHeight="1" x14ac:dyDescent="0.25">
      <c r="A6971" t="s">
        <v>9151</v>
      </c>
      <c r="B6971">
        <v>11</v>
      </c>
      <c r="C6971">
        <v>0.3</v>
      </c>
    </row>
    <row r="6972" spans="1:3" ht="15" customHeight="1" x14ac:dyDescent="0.25">
      <c r="A6972" t="s">
        <v>9152</v>
      </c>
      <c r="B6972">
        <v>11</v>
      </c>
      <c r="C6972">
        <v>0.15</v>
      </c>
    </row>
    <row r="6973" spans="1:3" ht="15" customHeight="1" x14ac:dyDescent="0.25">
      <c r="A6973" t="s">
        <v>9153</v>
      </c>
      <c r="B6973">
        <v>11</v>
      </c>
      <c r="C6973">
        <v>0.15</v>
      </c>
    </row>
    <row r="6974" spans="1:3" ht="15" customHeight="1" x14ac:dyDescent="0.25">
      <c r="A6974" t="s">
        <v>9154</v>
      </c>
      <c r="B6974">
        <v>11</v>
      </c>
      <c r="C6974">
        <v>0.05</v>
      </c>
    </row>
    <row r="6975" spans="1:3" ht="15" customHeight="1" x14ac:dyDescent="0.25">
      <c r="A6975" t="s">
        <v>9155</v>
      </c>
      <c r="B6975">
        <v>11</v>
      </c>
      <c r="C6975">
        <v>0.05</v>
      </c>
    </row>
    <row r="6976" spans="1:3" ht="15" customHeight="1" x14ac:dyDescent="0.25">
      <c r="A6976" t="s">
        <v>9156</v>
      </c>
      <c r="B6976">
        <v>11</v>
      </c>
      <c r="C6976">
        <v>0.05</v>
      </c>
    </row>
    <row r="6977" spans="1:3" ht="15" customHeight="1" x14ac:dyDescent="0.25">
      <c r="A6977" t="s">
        <v>9157</v>
      </c>
      <c r="B6977">
        <v>11</v>
      </c>
      <c r="C6977">
        <v>0.05</v>
      </c>
    </row>
    <row r="6978" spans="1:3" ht="15" customHeight="1" x14ac:dyDescent="0.25">
      <c r="A6978" t="s">
        <v>9158</v>
      </c>
      <c r="B6978">
        <v>11</v>
      </c>
      <c r="C6978">
        <v>0.3</v>
      </c>
    </row>
    <row r="6979" spans="1:3" ht="15" customHeight="1" x14ac:dyDescent="0.25">
      <c r="A6979" t="s">
        <v>9159</v>
      </c>
      <c r="B6979">
        <v>11</v>
      </c>
      <c r="C6979">
        <v>0.3</v>
      </c>
    </row>
    <row r="6980" spans="1:3" ht="15" customHeight="1" x14ac:dyDescent="0.25">
      <c r="A6980" t="s">
        <v>9160</v>
      </c>
      <c r="B6980">
        <v>11</v>
      </c>
      <c r="C6980">
        <v>0.05</v>
      </c>
    </row>
    <row r="6981" spans="1:3" ht="15" customHeight="1" x14ac:dyDescent="0.25">
      <c r="A6981" t="s">
        <v>9161</v>
      </c>
      <c r="B6981">
        <v>11</v>
      </c>
      <c r="C6981">
        <v>0.05</v>
      </c>
    </row>
    <row r="6982" spans="1:3" ht="15" customHeight="1" x14ac:dyDescent="0.25">
      <c r="A6982" t="s">
        <v>9162</v>
      </c>
      <c r="B6982">
        <v>11</v>
      </c>
      <c r="C6982">
        <v>0.05</v>
      </c>
    </row>
    <row r="6983" spans="1:3" ht="15" customHeight="1" x14ac:dyDescent="0.25">
      <c r="A6983" t="s">
        <v>9163</v>
      </c>
      <c r="B6983">
        <v>11</v>
      </c>
      <c r="C6983">
        <v>0.05</v>
      </c>
    </row>
    <row r="6984" spans="1:3" ht="15" customHeight="1" x14ac:dyDescent="0.25">
      <c r="A6984" t="s">
        <v>9164</v>
      </c>
      <c r="B6984">
        <v>11</v>
      </c>
      <c r="C6984">
        <v>0.3</v>
      </c>
    </row>
    <row r="6985" spans="1:3" ht="15" customHeight="1" x14ac:dyDescent="0.25">
      <c r="A6985" t="s">
        <v>9165</v>
      </c>
      <c r="B6985">
        <v>11</v>
      </c>
      <c r="C6985">
        <v>0.3</v>
      </c>
    </row>
    <row r="6986" spans="1:3" ht="15" customHeight="1" x14ac:dyDescent="0.25">
      <c r="A6986" t="s">
        <v>9166</v>
      </c>
      <c r="B6986">
        <v>11</v>
      </c>
    </row>
    <row r="6987" spans="1:3" ht="15" customHeight="1" x14ac:dyDescent="0.25">
      <c r="A6987" t="s">
        <v>9167</v>
      </c>
      <c r="B6987">
        <v>11</v>
      </c>
      <c r="C6987">
        <v>0.3</v>
      </c>
    </row>
    <row r="6988" spans="1:3" ht="15" customHeight="1" x14ac:dyDescent="0.25">
      <c r="A6988" t="s">
        <v>9168</v>
      </c>
      <c r="B6988">
        <v>11</v>
      </c>
    </row>
    <row r="6989" spans="1:3" ht="15" customHeight="1" x14ac:dyDescent="0.25">
      <c r="A6989" t="s">
        <v>9169</v>
      </c>
      <c r="B6989">
        <v>10.8</v>
      </c>
      <c r="C6989">
        <v>0.05</v>
      </c>
    </row>
    <row r="6990" spans="1:3" ht="15" customHeight="1" x14ac:dyDescent="0.25">
      <c r="A6990" t="s">
        <v>9170</v>
      </c>
      <c r="B6990">
        <v>10.8</v>
      </c>
      <c r="C6990">
        <v>0.05</v>
      </c>
    </row>
    <row r="6991" spans="1:3" ht="15" customHeight="1" x14ac:dyDescent="0.25">
      <c r="A6991" t="s">
        <v>9171</v>
      </c>
      <c r="B6991">
        <v>10.8</v>
      </c>
      <c r="C6991">
        <v>0.05</v>
      </c>
    </row>
    <row r="6992" spans="1:3" ht="15" customHeight="1" x14ac:dyDescent="0.25">
      <c r="A6992" t="s">
        <v>9172</v>
      </c>
      <c r="B6992">
        <v>10.8</v>
      </c>
      <c r="C6992">
        <v>0.05</v>
      </c>
    </row>
    <row r="6993" spans="1:3" ht="15" customHeight="1" x14ac:dyDescent="0.25">
      <c r="A6993" t="s">
        <v>9173</v>
      </c>
      <c r="B6993">
        <v>11</v>
      </c>
      <c r="C6993">
        <v>0.3</v>
      </c>
    </row>
    <row r="6994" spans="1:3" ht="15" customHeight="1" x14ac:dyDescent="0.25">
      <c r="A6994" t="s">
        <v>9174</v>
      </c>
      <c r="B6994">
        <v>11</v>
      </c>
      <c r="C6994">
        <v>0.3</v>
      </c>
    </row>
    <row r="6995" spans="1:3" ht="15" customHeight="1" x14ac:dyDescent="0.25">
      <c r="A6995" t="s">
        <v>9175</v>
      </c>
      <c r="B6995">
        <v>11</v>
      </c>
    </row>
    <row r="6996" spans="1:3" ht="15" customHeight="1" x14ac:dyDescent="0.25">
      <c r="A6996" t="s">
        <v>9176</v>
      </c>
      <c r="B6996">
        <v>11</v>
      </c>
    </row>
    <row r="6997" spans="1:3" ht="15" customHeight="1" x14ac:dyDescent="0.25">
      <c r="A6997" t="s">
        <v>9177</v>
      </c>
      <c r="B6997">
        <v>11</v>
      </c>
    </row>
    <row r="6998" spans="1:3" ht="15" customHeight="1" x14ac:dyDescent="0.25">
      <c r="A6998" t="s">
        <v>9178</v>
      </c>
      <c r="B6998">
        <v>11</v>
      </c>
    </row>
    <row r="6999" spans="1:3" ht="15" customHeight="1" x14ac:dyDescent="0.25">
      <c r="A6999" t="s">
        <v>9179</v>
      </c>
      <c r="B6999">
        <v>11</v>
      </c>
    </row>
    <row r="7000" spans="1:3" ht="15" customHeight="1" x14ac:dyDescent="0.25">
      <c r="A7000" t="s">
        <v>9180</v>
      </c>
      <c r="B7000">
        <v>11</v>
      </c>
      <c r="C7000">
        <v>0.3</v>
      </c>
    </row>
    <row r="7001" spans="1:3" ht="15" customHeight="1" x14ac:dyDescent="0.25">
      <c r="A7001" t="s">
        <v>9181</v>
      </c>
      <c r="B7001">
        <v>11</v>
      </c>
      <c r="C7001">
        <v>0.3</v>
      </c>
    </row>
    <row r="7002" spans="1:3" ht="15" customHeight="1" x14ac:dyDescent="0.25">
      <c r="A7002" t="s">
        <v>9182</v>
      </c>
      <c r="B7002">
        <v>11</v>
      </c>
    </row>
    <row r="7003" spans="1:3" ht="15" customHeight="1" x14ac:dyDescent="0.25">
      <c r="A7003" t="s">
        <v>9183</v>
      </c>
      <c r="B7003">
        <v>11</v>
      </c>
    </row>
    <row r="7004" spans="1:3" ht="15" customHeight="1" x14ac:dyDescent="0.25">
      <c r="A7004" t="s">
        <v>9184</v>
      </c>
      <c r="B7004">
        <v>11</v>
      </c>
    </row>
    <row r="7005" spans="1:3" ht="15" customHeight="1" x14ac:dyDescent="0.25">
      <c r="A7005" t="s">
        <v>9185</v>
      </c>
      <c r="B7005">
        <v>12</v>
      </c>
    </row>
    <row r="7006" spans="1:3" ht="15" customHeight="1" x14ac:dyDescent="0.25">
      <c r="A7006" t="s">
        <v>9186</v>
      </c>
      <c r="B7006">
        <v>12</v>
      </c>
    </row>
    <row r="7007" spans="1:3" ht="15" customHeight="1" x14ac:dyDescent="0.25">
      <c r="A7007" t="s">
        <v>9187</v>
      </c>
      <c r="B7007">
        <v>12</v>
      </c>
    </row>
    <row r="7008" spans="1:3" ht="15" customHeight="1" x14ac:dyDescent="0.25">
      <c r="A7008" t="s">
        <v>9188</v>
      </c>
      <c r="B7008">
        <v>12</v>
      </c>
    </row>
    <row r="7009" spans="1:2" ht="15" customHeight="1" x14ac:dyDescent="0.25">
      <c r="A7009" t="s">
        <v>9189</v>
      </c>
      <c r="B7009">
        <v>4.5999999999999996</v>
      </c>
    </row>
    <row r="7010" spans="1:2" ht="15" customHeight="1" x14ac:dyDescent="0.25">
      <c r="A7010" t="s">
        <v>9190</v>
      </c>
      <c r="B7010">
        <v>4.5999999999999996</v>
      </c>
    </row>
    <row r="7011" spans="1:2" ht="15" customHeight="1" x14ac:dyDescent="0.25">
      <c r="A7011" t="s">
        <v>9191</v>
      </c>
      <c r="B7011">
        <v>4.5999999999999996</v>
      </c>
    </row>
    <row r="7012" spans="1:2" ht="15" customHeight="1" x14ac:dyDescent="0.25">
      <c r="A7012" t="s">
        <v>9192</v>
      </c>
      <c r="B7012">
        <v>4.5999999999999996</v>
      </c>
    </row>
    <row r="7013" spans="1:2" ht="15" customHeight="1" x14ac:dyDescent="0.25">
      <c r="A7013" t="s">
        <v>9193</v>
      </c>
      <c r="B7013">
        <v>4.5999999999999996</v>
      </c>
    </row>
    <row r="7014" spans="1:2" ht="15" customHeight="1" x14ac:dyDescent="0.25">
      <c r="A7014" t="s">
        <v>9194</v>
      </c>
      <c r="B7014">
        <v>4.5999999999999996</v>
      </c>
    </row>
    <row r="7015" spans="1:2" ht="15" customHeight="1" x14ac:dyDescent="0.25">
      <c r="A7015" t="s">
        <v>9195</v>
      </c>
      <c r="B7015">
        <v>4.5999999999999996</v>
      </c>
    </row>
    <row r="7016" spans="1:2" ht="15" customHeight="1" x14ac:dyDescent="0.25">
      <c r="A7016" t="s">
        <v>9196</v>
      </c>
      <c r="B7016">
        <v>4.5999999999999996</v>
      </c>
    </row>
    <row r="7017" spans="1:2" ht="15" customHeight="1" x14ac:dyDescent="0.25">
      <c r="A7017" t="s">
        <v>9197</v>
      </c>
      <c r="B7017">
        <v>4.5999999999999996</v>
      </c>
    </row>
    <row r="7018" spans="1:2" ht="15" customHeight="1" x14ac:dyDescent="0.25">
      <c r="A7018" t="s">
        <v>9198</v>
      </c>
      <c r="B7018">
        <v>4.5999999999999996</v>
      </c>
    </row>
    <row r="7019" spans="1:2" ht="15" customHeight="1" x14ac:dyDescent="0.25">
      <c r="A7019" t="s">
        <v>9199</v>
      </c>
      <c r="B7019">
        <v>4.5999999999999996</v>
      </c>
    </row>
    <row r="7020" spans="1:2" ht="15" customHeight="1" x14ac:dyDescent="0.25">
      <c r="A7020" t="s">
        <v>9200</v>
      </c>
      <c r="B7020">
        <v>4.5999999999999996</v>
      </c>
    </row>
    <row r="7021" spans="1:2" ht="15" customHeight="1" x14ac:dyDescent="0.25">
      <c r="A7021" t="s">
        <v>9201</v>
      </c>
      <c r="B7021">
        <v>4.5999999999999996</v>
      </c>
    </row>
    <row r="7022" spans="1:2" ht="15" customHeight="1" x14ac:dyDescent="0.25">
      <c r="A7022" t="s">
        <v>9202</v>
      </c>
      <c r="B7022">
        <v>4.5999999999999996</v>
      </c>
    </row>
    <row r="7023" spans="1:2" ht="15" customHeight="1" x14ac:dyDescent="0.25">
      <c r="A7023" t="s">
        <v>9203</v>
      </c>
      <c r="B7023">
        <v>4.5999999999999996</v>
      </c>
    </row>
    <row r="7024" spans="1:2" ht="15" customHeight="1" x14ac:dyDescent="0.25">
      <c r="A7024" t="s">
        <v>9204</v>
      </c>
      <c r="B7024">
        <v>4.5999999999999996</v>
      </c>
    </row>
    <row r="7025" spans="1:2" ht="15" customHeight="1" x14ac:dyDescent="0.25">
      <c r="A7025" t="s">
        <v>9205</v>
      </c>
      <c r="B7025">
        <v>4.5999999999999996</v>
      </c>
    </row>
    <row r="7026" spans="1:2" ht="15" customHeight="1" x14ac:dyDescent="0.25">
      <c r="A7026" t="s">
        <v>9206</v>
      </c>
      <c r="B7026">
        <v>4.5999999999999996</v>
      </c>
    </row>
    <row r="7027" spans="1:2" ht="15" customHeight="1" x14ac:dyDescent="0.25">
      <c r="A7027" t="s">
        <v>9207</v>
      </c>
      <c r="B7027">
        <v>4.5999999999999996</v>
      </c>
    </row>
    <row r="7028" spans="1:2" ht="15" customHeight="1" x14ac:dyDescent="0.25">
      <c r="A7028" t="s">
        <v>9208</v>
      </c>
      <c r="B7028">
        <v>4.5999999999999996</v>
      </c>
    </row>
    <row r="7029" spans="1:2" ht="15" customHeight="1" x14ac:dyDescent="0.25">
      <c r="A7029" t="s">
        <v>9209</v>
      </c>
      <c r="B7029">
        <v>4.5999999999999996</v>
      </c>
    </row>
    <row r="7030" spans="1:2" ht="15" customHeight="1" x14ac:dyDescent="0.25">
      <c r="A7030" t="s">
        <v>9210</v>
      </c>
      <c r="B7030">
        <v>4.5999999999999996</v>
      </c>
    </row>
    <row r="7031" spans="1:2" ht="15" customHeight="1" x14ac:dyDescent="0.25">
      <c r="A7031" t="s">
        <v>9211</v>
      </c>
      <c r="B7031">
        <v>4.5999999999999996</v>
      </c>
    </row>
    <row r="7032" spans="1:2" ht="15" customHeight="1" x14ac:dyDescent="0.25">
      <c r="A7032" t="s">
        <v>9212</v>
      </c>
      <c r="B7032">
        <v>4.5999999999999996</v>
      </c>
    </row>
    <row r="7033" spans="1:2" ht="15" customHeight="1" x14ac:dyDescent="0.25">
      <c r="A7033" t="s">
        <v>9213</v>
      </c>
      <c r="B7033">
        <v>4.5999999999999996</v>
      </c>
    </row>
    <row r="7034" spans="1:2" ht="15" customHeight="1" x14ac:dyDescent="0.25">
      <c r="A7034" t="s">
        <v>9214</v>
      </c>
      <c r="B7034">
        <v>4.5999999999999996</v>
      </c>
    </row>
    <row r="7035" spans="1:2" ht="15" customHeight="1" x14ac:dyDescent="0.25">
      <c r="A7035" t="s">
        <v>9215</v>
      </c>
      <c r="B7035">
        <v>4.5999999999999996</v>
      </c>
    </row>
    <row r="7036" spans="1:2" ht="15" customHeight="1" x14ac:dyDescent="0.25">
      <c r="A7036" t="s">
        <v>9216</v>
      </c>
      <c r="B7036">
        <v>4.5999999999999996</v>
      </c>
    </row>
    <row r="7037" spans="1:2" ht="15" customHeight="1" x14ac:dyDescent="0.25">
      <c r="A7037" t="s">
        <v>9217</v>
      </c>
      <c r="B7037">
        <v>4.5999999999999996</v>
      </c>
    </row>
    <row r="7038" spans="1:2" ht="15" customHeight="1" x14ac:dyDescent="0.25">
      <c r="A7038" t="s">
        <v>9218</v>
      </c>
      <c r="B7038">
        <v>4.5999999999999996</v>
      </c>
    </row>
    <row r="7039" spans="1:2" ht="15" customHeight="1" x14ac:dyDescent="0.25">
      <c r="A7039" t="s">
        <v>9219</v>
      </c>
      <c r="B7039">
        <v>4.5999999999999996</v>
      </c>
    </row>
    <row r="7040" spans="1:2" ht="15" customHeight="1" x14ac:dyDescent="0.25">
      <c r="A7040" t="s">
        <v>9220</v>
      </c>
      <c r="B7040">
        <v>4.5999999999999996</v>
      </c>
    </row>
    <row r="7041" spans="1:2" ht="15" customHeight="1" x14ac:dyDescent="0.25">
      <c r="A7041" t="s">
        <v>9221</v>
      </c>
      <c r="B7041">
        <v>4.5999999999999996</v>
      </c>
    </row>
    <row r="7042" spans="1:2" ht="15" customHeight="1" x14ac:dyDescent="0.25">
      <c r="A7042" t="s">
        <v>9222</v>
      </c>
      <c r="B7042">
        <v>4.5999999999999996</v>
      </c>
    </row>
    <row r="7043" spans="1:2" ht="15" customHeight="1" x14ac:dyDescent="0.25">
      <c r="A7043" t="s">
        <v>9223</v>
      </c>
      <c r="B7043">
        <v>4.5999999999999996</v>
      </c>
    </row>
    <row r="7044" spans="1:2" ht="15" customHeight="1" x14ac:dyDescent="0.25">
      <c r="A7044" t="s">
        <v>9224</v>
      </c>
      <c r="B7044">
        <v>4.5999999999999996</v>
      </c>
    </row>
    <row r="7045" spans="1:2" ht="15" customHeight="1" x14ac:dyDescent="0.25">
      <c r="A7045" t="s">
        <v>9225</v>
      </c>
      <c r="B7045">
        <v>4.5999999999999996</v>
      </c>
    </row>
    <row r="7046" spans="1:2" ht="15" customHeight="1" x14ac:dyDescent="0.25">
      <c r="A7046" t="s">
        <v>9226</v>
      </c>
      <c r="B7046">
        <v>4.5999999999999996</v>
      </c>
    </row>
    <row r="7047" spans="1:2" ht="15" customHeight="1" x14ac:dyDescent="0.25">
      <c r="A7047" t="s">
        <v>9227</v>
      </c>
      <c r="B7047">
        <v>4.5999999999999996</v>
      </c>
    </row>
    <row r="7048" spans="1:2" ht="15" customHeight="1" x14ac:dyDescent="0.25">
      <c r="A7048" t="s">
        <v>9228</v>
      </c>
      <c r="B7048">
        <v>4.5999999999999996</v>
      </c>
    </row>
    <row r="7049" spans="1:2" ht="15" customHeight="1" x14ac:dyDescent="0.25">
      <c r="A7049" t="s">
        <v>9229</v>
      </c>
      <c r="B7049">
        <v>4.5999999999999996</v>
      </c>
    </row>
    <row r="7050" spans="1:2" ht="15" customHeight="1" x14ac:dyDescent="0.25">
      <c r="A7050" t="s">
        <v>9230</v>
      </c>
      <c r="B7050">
        <v>4.5999999999999996</v>
      </c>
    </row>
    <row r="7051" spans="1:2" ht="15" customHeight="1" x14ac:dyDescent="0.25">
      <c r="A7051" t="s">
        <v>9231</v>
      </c>
      <c r="B7051">
        <v>4.5999999999999996</v>
      </c>
    </row>
    <row r="7052" spans="1:2" ht="15" customHeight="1" x14ac:dyDescent="0.25">
      <c r="A7052" t="s">
        <v>9232</v>
      </c>
      <c r="B7052">
        <v>4.5999999999999996</v>
      </c>
    </row>
    <row r="7053" spans="1:2" ht="15" customHeight="1" x14ac:dyDescent="0.25">
      <c r="A7053" t="s">
        <v>9233</v>
      </c>
      <c r="B7053">
        <v>4.5999999999999996</v>
      </c>
    </row>
    <row r="7054" spans="1:2" ht="15" customHeight="1" x14ac:dyDescent="0.25">
      <c r="A7054" t="s">
        <v>9234</v>
      </c>
      <c r="B7054">
        <v>4.5999999999999996</v>
      </c>
    </row>
    <row r="7055" spans="1:2" ht="15" customHeight="1" x14ac:dyDescent="0.25">
      <c r="A7055" t="s">
        <v>9235</v>
      </c>
      <c r="B7055">
        <v>4.5999999999999996</v>
      </c>
    </row>
    <row r="7056" spans="1:2" ht="15" customHeight="1" x14ac:dyDescent="0.25">
      <c r="A7056" t="s">
        <v>9236</v>
      </c>
      <c r="B7056">
        <v>4.5999999999999996</v>
      </c>
    </row>
    <row r="7057" spans="1:3" ht="15" customHeight="1" x14ac:dyDescent="0.25">
      <c r="A7057" t="s">
        <v>9237</v>
      </c>
      <c r="B7057">
        <v>4.5999999999999996</v>
      </c>
    </row>
    <row r="7058" spans="1:3" ht="15" customHeight="1" x14ac:dyDescent="0.25">
      <c r="A7058" t="s">
        <v>9238</v>
      </c>
      <c r="B7058">
        <v>4.5999999999999996</v>
      </c>
    </row>
    <row r="7059" spans="1:3" ht="15" customHeight="1" x14ac:dyDescent="0.25">
      <c r="A7059" t="s">
        <v>9239</v>
      </c>
      <c r="B7059">
        <v>4.5999999999999996</v>
      </c>
    </row>
    <row r="7060" spans="1:3" ht="15" customHeight="1" x14ac:dyDescent="0.25">
      <c r="A7060" t="s">
        <v>9240</v>
      </c>
      <c r="B7060">
        <v>4.5999999999999996</v>
      </c>
    </row>
    <row r="7061" spans="1:3" ht="15" customHeight="1" x14ac:dyDescent="0.25">
      <c r="A7061" t="s">
        <v>9241</v>
      </c>
      <c r="B7061">
        <v>4.5999999999999996</v>
      </c>
    </row>
    <row r="7062" spans="1:3" ht="15" customHeight="1" x14ac:dyDescent="0.25">
      <c r="A7062" t="s">
        <v>9242</v>
      </c>
      <c r="B7062">
        <v>4.5999999999999996</v>
      </c>
    </row>
    <row r="7063" spans="1:3" ht="15" customHeight="1" x14ac:dyDescent="0.25">
      <c r="A7063" t="s">
        <v>9243</v>
      </c>
      <c r="B7063">
        <v>4.5999999999999996</v>
      </c>
    </row>
    <row r="7064" spans="1:3" ht="15" customHeight="1" x14ac:dyDescent="0.25">
      <c r="A7064" t="s">
        <v>9244</v>
      </c>
      <c r="B7064">
        <v>4.5999999999999996</v>
      </c>
    </row>
    <row r="7065" spans="1:3" ht="15" customHeight="1" x14ac:dyDescent="0.25">
      <c r="A7065" t="s">
        <v>9245</v>
      </c>
      <c r="B7065">
        <v>22.9</v>
      </c>
      <c r="C7065">
        <v>0.3</v>
      </c>
    </row>
    <row r="7066" spans="1:3" ht="15" customHeight="1" x14ac:dyDescent="0.25">
      <c r="A7066" t="s">
        <v>9246</v>
      </c>
      <c r="B7066">
        <v>22.9</v>
      </c>
      <c r="C7066">
        <v>0.3</v>
      </c>
    </row>
    <row r="7067" spans="1:3" ht="15" customHeight="1" x14ac:dyDescent="0.25">
      <c r="A7067" t="s">
        <v>9247</v>
      </c>
      <c r="B7067">
        <v>22.9</v>
      </c>
      <c r="C7067">
        <v>0.3</v>
      </c>
    </row>
    <row r="7068" spans="1:3" ht="15" customHeight="1" x14ac:dyDescent="0.25">
      <c r="A7068" t="s">
        <v>9248</v>
      </c>
      <c r="B7068">
        <v>22.9</v>
      </c>
      <c r="C7068">
        <v>0.3</v>
      </c>
    </row>
    <row r="7069" spans="1:3" ht="15" customHeight="1" x14ac:dyDescent="0.25">
      <c r="A7069" t="s">
        <v>9249</v>
      </c>
      <c r="B7069">
        <v>22.9</v>
      </c>
      <c r="C7069">
        <v>0.3</v>
      </c>
    </row>
    <row r="7070" spans="1:3" ht="15" customHeight="1" x14ac:dyDescent="0.25">
      <c r="A7070" t="s">
        <v>9250</v>
      </c>
      <c r="B7070">
        <v>22.9</v>
      </c>
      <c r="C7070">
        <v>0.3</v>
      </c>
    </row>
    <row r="7071" spans="1:3" ht="15" customHeight="1" x14ac:dyDescent="0.25">
      <c r="A7071" t="s">
        <v>9251</v>
      </c>
      <c r="B7071">
        <v>22.9</v>
      </c>
    </row>
    <row r="7072" spans="1:3" ht="15" customHeight="1" x14ac:dyDescent="0.25">
      <c r="A7072" t="s">
        <v>9252</v>
      </c>
      <c r="B7072">
        <v>22.9</v>
      </c>
      <c r="C7072">
        <v>0.3</v>
      </c>
    </row>
    <row r="7073" spans="1:3" ht="15" customHeight="1" x14ac:dyDescent="0.25">
      <c r="A7073" t="s">
        <v>9253</v>
      </c>
      <c r="B7073">
        <v>22.9</v>
      </c>
      <c r="C7073">
        <v>0.3</v>
      </c>
    </row>
    <row r="7074" spans="1:3" ht="15" customHeight="1" x14ac:dyDescent="0.25">
      <c r="A7074" t="s">
        <v>9254</v>
      </c>
      <c r="B7074">
        <v>22.9</v>
      </c>
      <c r="C7074">
        <v>0.3</v>
      </c>
    </row>
    <row r="7075" spans="1:3" ht="15" customHeight="1" x14ac:dyDescent="0.25">
      <c r="A7075" t="s">
        <v>9255</v>
      </c>
      <c r="B7075">
        <v>22.9</v>
      </c>
      <c r="C7075">
        <v>0.3</v>
      </c>
    </row>
    <row r="7076" spans="1:3" ht="15" customHeight="1" x14ac:dyDescent="0.25">
      <c r="A7076" t="s">
        <v>9256</v>
      </c>
      <c r="B7076">
        <v>22.9</v>
      </c>
    </row>
    <row r="7077" spans="1:3" ht="15" customHeight="1" x14ac:dyDescent="0.25">
      <c r="A7077" t="s">
        <v>9257</v>
      </c>
      <c r="B7077">
        <v>22.9</v>
      </c>
    </row>
    <row r="7078" spans="1:3" ht="15" customHeight="1" x14ac:dyDescent="0.25">
      <c r="A7078" t="s">
        <v>9258</v>
      </c>
      <c r="B7078">
        <v>16.899999999999999</v>
      </c>
      <c r="C7078">
        <v>0.3</v>
      </c>
    </row>
    <row r="7079" spans="1:3" ht="15" customHeight="1" x14ac:dyDescent="0.25">
      <c r="A7079" t="s">
        <v>9259</v>
      </c>
      <c r="B7079">
        <v>16.899999999999999</v>
      </c>
    </row>
    <row r="7080" spans="1:3" ht="15" customHeight="1" x14ac:dyDescent="0.25">
      <c r="A7080" t="s">
        <v>9260</v>
      </c>
      <c r="B7080">
        <v>16.899999999999999</v>
      </c>
    </row>
    <row r="7081" spans="1:3" ht="15" customHeight="1" x14ac:dyDescent="0.25">
      <c r="A7081" t="s">
        <v>9261</v>
      </c>
      <c r="B7081">
        <v>16.899999999999999</v>
      </c>
    </row>
    <row r="7082" spans="1:3" ht="15" customHeight="1" x14ac:dyDescent="0.25">
      <c r="A7082" t="s">
        <v>9262</v>
      </c>
      <c r="B7082">
        <v>16.899999999999999</v>
      </c>
      <c r="C7082">
        <v>0.3</v>
      </c>
    </row>
    <row r="7083" spans="1:3" ht="15" customHeight="1" x14ac:dyDescent="0.25">
      <c r="A7083" t="s">
        <v>9263</v>
      </c>
      <c r="B7083">
        <v>16.899999999999999</v>
      </c>
    </row>
    <row r="7084" spans="1:3" ht="15" customHeight="1" x14ac:dyDescent="0.25">
      <c r="A7084" t="s">
        <v>9264</v>
      </c>
      <c r="B7084">
        <v>16.899999999999999</v>
      </c>
    </row>
    <row r="7085" spans="1:3" ht="15" customHeight="1" x14ac:dyDescent="0.25">
      <c r="A7085" t="s">
        <v>9265</v>
      </c>
      <c r="B7085">
        <v>16.899999999999999</v>
      </c>
    </row>
    <row r="7086" spans="1:3" ht="15" customHeight="1" x14ac:dyDescent="0.25">
      <c r="A7086" t="s">
        <v>9266</v>
      </c>
      <c r="B7086">
        <v>16.899999999999999</v>
      </c>
      <c r="C7086">
        <v>0.3</v>
      </c>
    </row>
    <row r="7087" spans="1:3" ht="15" customHeight="1" x14ac:dyDescent="0.25">
      <c r="A7087" t="s">
        <v>9267</v>
      </c>
      <c r="B7087">
        <v>16.899999999999999</v>
      </c>
    </row>
    <row r="7088" spans="1:3" ht="15" customHeight="1" x14ac:dyDescent="0.25">
      <c r="A7088" t="s">
        <v>9268</v>
      </c>
      <c r="B7088">
        <v>16.899999999999999</v>
      </c>
      <c r="C7088">
        <v>0.3</v>
      </c>
    </row>
    <row r="7089" spans="1:3" ht="15" customHeight="1" x14ac:dyDescent="0.25">
      <c r="A7089" t="s">
        <v>9269</v>
      </c>
      <c r="B7089">
        <v>16.899999999999999</v>
      </c>
      <c r="C7089">
        <v>0.3</v>
      </c>
    </row>
    <row r="7090" spans="1:3" ht="15" customHeight="1" x14ac:dyDescent="0.25">
      <c r="A7090" t="s">
        <v>9270</v>
      </c>
      <c r="B7090">
        <v>16.899999999999999</v>
      </c>
    </row>
    <row r="7091" spans="1:3" ht="15" customHeight="1" x14ac:dyDescent="0.25">
      <c r="A7091" t="s">
        <v>9271</v>
      </c>
      <c r="B7091">
        <v>16.899999999999999</v>
      </c>
    </row>
    <row r="7092" spans="1:3" ht="15" customHeight="1" x14ac:dyDescent="0.25">
      <c r="A7092" t="s">
        <v>9272</v>
      </c>
      <c r="B7092">
        <v>16.600000000000001</v>
      </c>
      <c r="C7092">
        <v>0.3</v>
      </c>
    </row>
    <row r="7093" spans="1:3" ht="15" customHeight="1" x14ac:dyDescent="0.25">
      <c r="A7093" t="s">
        <v>9273</v>
      </c>
      <c r="B7093">
        <v>16.600000000000001</v>
      </c>
      <c r="C7093">
        <v>0.3</v>
      </c>
    </row>
    <row r="7094" spans="1:3" ht="15" customHeight="1" x14ac:dyDescent="0.25">
      <c r="A7094" t="s">
        <v>9274</v>
      </c>
      <c r="B7094">
        <v>16.600000000000001</v>
      </c>
      <c r="C7094">
        <v>0.3</v>
      </c>
    </row>
    <row r="7095" spans="1:3" ht="15" customHeight="1" x14ac:dyDescent="0.25">
      <c r="A7095" t="s">
        <v>9275</v>
      </c>
      <c r="B7095">
        <v>16.600000000000001</v>
      </c>
      <c r="C7095">
        <v>0.3</v>
      </c>
    </row>
    <row r="7096" spans="1:3" ht="15" customHeight="1" x14ac:dyDescent="0.25">
      <c r="A7096" t="s">
        <v>9276</v>
      </c>
      <c r="B7096">
        <v>16.600000000000001</v>
      </c>
      <c r="C7096">
        <v>0.3</v>
      </c>
    </row>
    <row r="7097" spans="1:3" ht="15" customHeight="1" x14ac:dyDescent="0.25">
      <c r="A7097" t="s">
        <v>9277</v>
      </c>
      <c r="B7097">
        <v>16.600000000000001</v>
      </c>
      <c r="C7097">
        <v>0.3</v>
      </c>
    </row>
    <row r="7098" spans="1:3" ht="15" customHeight="1" x14ac:dyDescent="0.25">
      <c r="A7098" t="s">
        <v>9278</v>
      </c>
      <c r="B7098">
        <v>16.600000000000001</v>
      </c>
      <c r="C7098">
        <v>0.3</v>
      </c>
    </row>
    <row r="7099" spans="1:3" ht="15" customHeight="1" x14ac:dyDescent="0.25">
      <c r="A7099" t="s">
        <v>9279</v>
      </c>
      <c r="B7099">
        <v>16.600000000000001</v>
      </c>
      <c r="C7099">
        <v>0.3</v>
      </c>
    </row>
    <row r="7100" spans="1:3" ht="15" customHeight="1" x14ac:dyDescent="0.25">
      <c r="A7100" t="s">
        <v>9280</v>
      </c>
      <c r="B7100">
        <v>13.3</v>
      </c>
    </row>
    <row r="7101" spans="1:3" ht="15" customHeight="1" x14ac:dyDescent="0.25">
      <c r="A7101" t="s">
        <v>9281</v>
      </c>
      <c r="B7101">
        <v>13.3</v>
      </c>
    </row>
    <row r="7102" spans="1:3" ht="15" customHeight="1" x14ac:dyDescent="0.25">
      <c r="A7102" t="s">
        <v>9282</v>
      </c>
      <c r="B7102">
        <v>13.3</v>
      </c>
      <c r="C7102">
        <v>0.3</v>
      </c>
    </row>
    <row r="7103" spans="1:3" ht="15" customHeight="1" x14ac:dyDescent="0.25">
      <c r="A7103" t="s">
        <v>9283</v>
      </c>
      <c r="B7103">
        <v>13.3</v>
      </c>
      <c r="C7103">
        <v>0.3</v>
      </c>
    </row>
    <row r="7104" spans="1:3" ht="15" customHeight="1" x14ac:dyDescent="0.25">
      <c r="A7104" t="s">
        <v>9284</v>
      </c>
      <c r="B7104">
        <v>13.3</v>
      </c>
      <c r="C7104">
        <v>0.3</v>
      </c>
    </row>
    <row r="7105" spans="1:3" ht="15" customHeight="1" x14ac:dyDescent="0.25">
      <c r="A7105" t="s">
        <v>9285</v>
      </c>
      <c r="B7105">
        <v>13.3</v>
      </c>
      <c r="C7105">
        <v>0.3</v>
      </c>
    </row>
    <row r="7106" spans="1:3" ht="15" customHeight="1" x14ac:dyDescent="0.25">
      <c r="A7106" t="s">
        <v>9286</v>
      </c>
      <c r="B7106">
        <v>13.3</v>
      </c>
      <c r="C7106">
        <v>0.3</v>
      </c>
    </row>
    <row r="7107" spans="1:3" ht="15" customHeight="1" x14ac:dyDescent="0.25">
      <c r="A7107" t="s">
        <v>9287</v>
      </c>
      <c r="B7107">
        <v>13.3</v>
      </c>
      <c r="C7107">
        <v>0.3</v>
      </c>
    </row>
    <row r="7108" spans="1:3" ht="15" customHeight="1" x14ac:dyDescent="0.25">
      <c r="A7108" t="s">
        <v>9288</v>
      </c>
      <c r="B7108">
        <v>6.6</v>
      </c>
    </row>
    <row r="7109" spans="1:3" ht="15" customHeight="1" x14ac:dyDescent="0.25">
      <c r="A7109" t="s">
        <v>9289</v>
      </c>
      <c r="B7109">
        <v>6.6</v>
      </c>
    </row>
    <row r="7110" spans="1:3" ht="15" customHeight="1" x14ac:dyDescent="0.25">
      <c r="A7110" t="s">
        <v>9290</v>
      </c>
      <c r="B7110">
        <v>6.6</v>
      </c>
      <c r="C7110">
        <v>0.3</v>
      </c>
    </row>
    <row r="7111" spans="1:3" ht="15" customHeight="1" x14ac:dyDescent="0.25">
      <c r="A7111" t="s">
        <v>9291</v>
      </c>
      <c r="B7111">
        <v>6.6</v>
      </c>
      <c r="C7111">
        <v>0.3</v>
      </c>
    </row>
    <row r="7112" spans="1:3" ht="15" customHeight="1" x14ac:dyDescent="0.25">
      <c r="A7112" t="s">
        <v>9292</v>
      </c>
      <c r="B7112">
        <v>6.6</v>
      </c>
    </row>
    <row r="7113" spans="1:3" ht="15" customHeight="1" x14ac:dyDescent="0.25">
      <c r="A7113" t="s">
        <v>9293</v>
      </c>
      <c r="B7113">
        <v>6.6</v>
      </c>
      <c r="C7113">
        <v>0.3</v>
      </c>
    </row>
    <row r="7114" spans="1:3" ht="15" customHeight="1" x14ac:dyDescent="0.25">
      <c r="A7114" t="s">
        <v>9294</v>
      </c>
      <c r="B7114">
        <v>6.6</v>
      </c>
      <c r="C7114">
        <v>0.3</v>
      </c>
    </row>
    <row r="7115" spans="1:3" ht="15" customHeight="1" x14ac:dyDescent="0.25">
      <c r="A7115" t="s">
        <v>9295</v>
      </c>
      <c r="B7115">
        <v>6.6</v>
      </c>
      <c r="C7115">
        <v>0.3</v>
      </c>
    </row>
    <row r="7116" spans="1:3" ht="15" customHeight="1" x14ac:dyDescent="0.25">
      <c r="A7116" t="s">
        <v>9296</v>
      </c>
      <c r="B7116">
        <v>6.6</v>
      </c>
    </row>
    <row r="7117" spans="1:3" ht="15" customHeight="1" x14ac:dyDescent="0.25">
      <c r="A7117" t="s">
        <v>9297</v>
      </c>
      <c r="B7117">
        <v>6.6</v>
      </c>
      <c r="C7117">
        <v>0.3</v>
      </c>
    </row>
    <row r="7118" spans="1:3" ht="15" customHeight="1" x14ac:dyDescent="0.25">
      <c r="A7118" t="s">
        <v>9298</v>
      </c>
      <c r="B7118">
        <v>6.6</v>
      </c>
      <c r="C7118">
        <v>0.3</v>
      </c>
    </row>
    <row r="7119" spans="1:3" ht="15" customHeight="1" x14ac:dyDescent="0.25">
      <c r="A7119" t="s">
        <v>9299</v>
      </c>
      <c r="B7119">
        <v>6.6</v>
      </c>
      <c r="C7119">
        <v>0.3</v>
      </c>
    </row>
    <row r="7120" spans="1:3" ht="15" customHeight="1" x14ac:dyDescent="0.25">
      <c r="A7120" t="s">
        <v>9300</v>
      </c>
      <c r="B7120">
        <v>6.6</v>
      </c>
    </row>
    <row r="7121" spans="1:3" ht="15" customHeight="1" x14ac:dyDescent="0.25">
      <c r="A7121" t="s">
        <v>9301</v>
      </c>
      <c r="B7121">
        <v>6.6</v>
      </c>
      <c r="C7121">
        <v>0.3</v>
      </c>
    </row>
    <row r="7122" spans="1:3" ht="15" customHeight="1" x14ac:dyDescent="0.25">
      <c r="A7122" t="s">
        <v>9302</v>
      </c>
      <c r="B7122">
        <v>6.6</v>
      </c>
      <c r="C7122">
        <v>0.3</v>
      </c>
    </row>
    <row r="7123" spans="1:3" ht="15" customHeight="1" x14ac:dyDescent="0.25">
      <c r="A7123" t="s">
        <v>9303</v>
      </c>
      <c r="B7123">
        <v>6.6</v>
      </c>
    </row>
    <row r="7124" spans="1:3" ht="15" customHeight="1" x14ac:dyDescent="0.25">
      <c r="A7124" t="s">
        <v>9304</v>
      </c>
      <c r="B7124">
        <v>6.6</v>
      </c>
      <c r="C7124">
        <v>0.3</v>
      </c>
    </row>
    <row r="7125" spans="1:3" ht="15" customHeight="1" x14ac:dyDescent="0.25">
      <c r="A7125" t="s">
        <v>9305</v>
      </c>
      <c r="B7125">
        <v>6.6</v>
      </c>
      <c r="C7125">
        <v>0.3</v>
      </c>
    </row>
    <row r="7126" spans="1:3" ht="15" customHeight="1" x14ac:dyDescent="0.25">
      <c r="A7126" t="s">
        <v>9306</v>
      </c>
      <c r="B7126">
        <v>6.6</v>
      </c>
      <c r="C7126">
        <v>0.3</v>
      </c>
    </row>
    <row r="7127" spans="1:3" ht="15" customHeight="1" x14ac:dyDescent="0.25">
      <c r="A7127" t="s">
        <v>9307</v>
      </c>
      <c r="B7127">
        <v>6.6</v>
      </c>
      <c r="C7127">
        <v>0.3</v>
      </c>
    </row>
    <row r="7128" spans="1:3" ht="15" customHeight="1" x14ac:dyDescent="0.25">
      <c r="A7128" t="s">
        <v>9308</v>
      </c>
      <c r="B7128">
        <v>6.6</v>
      </c>
      <c r="C7128">
        <v>0.3</v>
      </c>
    </row>
    <row r="7129" spans="1:3" ht="15" customHeight="1" x14ac:dyDescent="0.25">
      <c r="A7129" t="s">
        <v>9309</v>
      </c>
      <c r="B7129">
        <v>6.6</v>
      </c>
      <c r="C7129">
        <v>0.3</v>
      </c>
    </row>
    <row r="7130" spans="1:3" ht="15" customHeight="1" x14ac:dyDescent="0.25">
      <c r="A7130" t="s">
        <v>9310</v>
      </c>
      <c r="B7130">
        <v>6.6</v>
      </c>
      <c r="C7130">
        <v>0.3</v>
      </c>
    </row>
    <row r="7131" spans="1:3" ht="15" customHeight="1" x14ac:dyDescent="0.25">
      <c r="A7131" t="s">
        <v>9311</v>
      </c>
      <c r="B7131">
        <v>6.6</v>
      </c>
      <c r="C7131">
        <v>0.3</v>
      </c>
    </row>
    <row r="7132" spans="1:3" ht="15" customHeight="1" x14ac:dyDescent="0.25">
      <c r="A7132" t="s">
        <v>9312</v>
      </c>
      <c r="B7132">
        <v>6.6</v>
      </c>
      <c r="C7132">
        <v>0.3</v>
      </c>
    </row>
    <row r="7133" spans="1:3" ht="15" customHeight="1" x14ac:dyDescent="0.25">
      <c r="A7133" t="s">
        <v>9313</v>
      </c>
      <c r="B7133">
        <v>6.6</v>
      </c>
      <c r="C7133">
        <v>0.3</v>
      </c>
    </row>
    <row r="7134" spans="1:3" ht="15" customHeight="1" x14ac:dyDescent="0.25">
      <c r="A7134" t="s">
        <v>9314</v>
      </c>
      <c r="B7134">
        <v>6.6</v>
      </c>
    </row>
    <row r="7135" spans="1:3" ht="15" customHeight="1" x14ac:dyDescent="0.25">
      <c r="A7135" t="s">
        <v>9315</v>
      </c>
      <c r="B7135">
        <v>6.6</v>
      </c>
      <c r="C7135">
        <v>0.3</v>
      </c>
    </row>
    <row r="7136" spans="1:3" ht="15" customHeight="1" x14ac:dyDescent="0.25">
      <c r="A7136" t="s">
        <v>9316</v>
      </c>
      <c r="B7136">
        <v>6.6</v>
      </c>
    </row>
    <row r="7137" spans="1:3" ht="15" customHeight="1" x14ac:dyDescent="0.25">
      <c r="A7137" t="s">
        <v>9317</v>
      </c>
      <c r="B7137">
        <v>6.6</v>
      </c>
      <c r="C7137">
        <v>0.3</v>
      </c>
    </row>
    <row r="7138" spans="1:3" ht="15" customHeight="1" x14ac:dyDescent="0.25">
      <c r="A7138" t="s">
        <v>9318</v>
      </c>
      <c r="B7138">
        <v>6.6</v>
      </c>
      <c r="C7138">
        <v>0.3</v>
      </c>
    </row>
    <row r="7139" spans="1:3" ht="15" customHeight="1" x14ac:dyDescent="0.25">
      <c r="A7139" t="s">
        <v>9319</v>
      </c>
      <c r="B7139">
        <v>6.6</v>
      </c>
    </row>
    <row r="7140" spans="1:3" ht="15" customHeight="1" x14ac:dyDescent="0.25">
      <c r="A7140" t="s">
        <v>9320</v>
      </c>
      <c r="B7140">
        <v>6.6</v>
      </c>
    </row>
    <row r="7141" spans="1:3" ht="15" customHeight="1" x14ac:dyDescent="0.25">
      <c r="A7141" t="s">
        <v>9321</v>
      </c>
      <c r="B7141">
        <v>6.6</v>
      </c>
      <c r="C7141">
        <v>0.3</v>
      </c>
    </row>
    <row r="7142" spans="1:3" ht="15" customHeight="1" x14ac:dyDescent="0.25">
      <c r="A7142" t="s">
        <v>9322</v>
      </c>
      <c r="B7142">
        <v>6.6</v>
      </c>
      <c r="C7142">
        <v>0.3</v>
      </c>
    </row>
    <row r="7143" spans="1:3" ht="15" customHeight="1" x14ac:dyDescent="0.25">
      <c r="A7143" t="s">
        <v>9323</v>
      </c>
      <c r="B7143">
        <v>6.6</v>
      </c>
    </row>
    <row r="7144" spans="1:3" ht="15" customHeight="1" x14ac:dyDescent="0.25">
      <c r="A7144" t="s">
        <v>9324</v>
      </c>
      <c r="B7144">
        <v>6.6</v>
      </c>
    </row>
    <row r="7145" spans="1:3" ht="15" customHeight="1" x14ac:dyDescent="0.25">
      <c r="A7145" t="s">
        <v>9325</v>
      </c>
      <c r="B7145">
        <v>13</v>
      </c>
    </row>
    <row r="7146" spans="1:3" ht="15" customHeight="1" x14ac:dyDescent="0.25">
      <c r="A7146" t="s">
        <v>9326</v>
      </c>
      <c r="B7146">
        <v>13</v>
      </c>
      <c r="C7146">
        <v>0.3</v>
      </c>
    </row>
    <row r="7147" spans="1:3" ht="15" customHeight="1" x14ac:dyDescent="0.25">
      <c r="A7147" t="s">
        <v>9327</v>
      </c>
      <c r="B7147">
        <v>13</v>
      </c>
      <c r="C7147">
        <v>0.3</v>
      </c>
    </row>
    <row r="7148" spans="1:3" ht="15" customHeight="1" x14ac:dyDescent="0.25">
      <c r="A7148" t="s">
        <v>9328</v>
      </c>
      <c r="B7148">
        <v>13</v>
      </c>
    </row>
    <row r="7149" spans="1:3" ht="15" customHeight="1" x14ac:dyDescent="0.25">
      <c r="A7149" t="s">
        <v>9329</v>
      </c>
      <c r="B7149">
        <v>13</v>
      </c>
      <c r="C7149">
        <v>0.3</v>
      </c>
    </row>
    <row r="7150" spans="1:3" ht="15" customHeight="1" x14ac:dyDescent="0.25">
      <c r="A7150" t="s">
        <v>9330</v>
      </c>
      <c r="B7150">
        <v>13</v>
      </c>
      <c r="C7150">
        <v>0.3</v>
      </c>
    </row>
    <row r="7151" spans="1:3" ht="15" customHeight="1" x14ac:dyDescent="0.25">
      <c r="A7151" t="s">
        <v>9331</v>
      </c>
      <c r="B7151">
        <v>13</v>
      </c>
    </row>
    <row r="7152" spans="1:3" ht="15" customHeight="1" x14ac:dyDescent="0.25">
      <c r="A7152" t="s">
        <v>9332</v>
      </c>
      <c r="B7152">
        <v>13.1</v>
      </c>
    </row>
    <row r="7153" spans="1:3" ht="15" customHeight="1" x14ac:dyDescent="0.25">
      <c r="A7153" t="s">
        <v>9333</v>
      </c>
      <c r="B7153">
        <v>13.1</v>
      </c>
    </row>
    <row r="7154" spans="1:3" ht="15" customHeight="1" x14ac:dyDescent="0.25">
      <c r="A7154" t="s">
        <v>9334</v>
      </c>
      <c r="B7154">
        <v>13.1</v>
      </c>
      <c r="C7154">
        <v>0.3</v>
      </c>
    </row>
    <row r="7155" spans="1:3" ht="15" customHeight="1" x14ac:dyDescent="0.25">
      <c r="A7155" t="s">
        <v>9335</v>
      </c>
      <c r="B7155">
        <v>13.1</v>
      </c>
      <c r="C7155">
        <v>0.3</v>
      </c>
    </row>
    <row r="7156" spans="1:3" ht="15" customHeight="1" x14ac:dyDescent="0.25">
      <c r="A7156" t="s">
        <v>9336</v>
      </c>
      <c r="B7156">
        <v>13.1</v>
      </c>
      <c r="C7156">
        <v>0.3</v>
      </c>
    </row>
    <row r="7157" spans="1:3" ht="15" customHeight="1" x14ac:dyDescent="0.25">
      <c r="A7157" t="s">
        <v>9337</v>
      </c>
      <c r="B7157">
        <v>13.1</v>
      </c>
      <c r="C7157">
        <v>0.3</v>
      </c>
    </row>
    <row r="7158" spans="1:3" ht="15" customHeight="1" x14ac:dyDescent="0.25">
      <c r="A7158" t="s">
        <v>9338</v>
      </c>
      <c r="B7158">
        <v>13.1</v>
      </c>
      <c r="C7158">
        <v>0.3</v>
      </c>
    </row>
    <row r="7159" spans="1:3" ht="15" customHeight="1" x14ac:dyDescent="0.25">
      <c r="A7159" t="s">
        <v>9339</v>
      </c>
      <c r="B7159">
        <v>10.4</v>
      </c>
      <c r="C7159">
        <v>0.3</v>
      </c>
    </row>
    <row r="7160" spans="1:3" ht="15" customHeight="1" x14ac:dyDescent="0.25">
      <c r="A7160" t="s">
        <v>9340</v>
      </c>
      <c r="B7160">
        <v>10.4</v>
      </c>
      <c r="C7160">
        <v>0.3</v>
      </c>
    </row>
    <row r="7161" spans="1:3" ht="15" customHeight="1" x14ac:dyDescent="0.25">
      <c r="A7161" t="s">
        <v>9341</v>
      </c>
      <c r="B7161">
        <v>10.4</v>
      </c>
      <c r="C7161">
        <v>0.3</v>
      </c>
    </row>
    <row r="7162" spans="1:3" ht="15" customHeight="1" x14ac:dyDescent="0.25">
      <c r="A7162" t="s">
        <v>9342</v>
      </c>
      <c r="B7162">
        <v>10.4</v>
      </c>
      <c r="C7162">
        <v>0.3</v>
      </c>
    </row>
    <row r="7163" spans="1:3" ht="15" customHeight="1" x14ac:dyDescent="0.25">
      <c r="A7163" t="s">
        <v>9343</v>
      </c>
      <c r="B7163">
        <v>10.4</v>
      </c>
    </row>
    <row r="7164" spans="1:3" ht="15" customHeight="1" x14ac:dyDescent="0.25">
      <c r="A7164" t="s">
        <v>9344</v>
      </c>
      <c r="B7164">
        <v>10.4</v>
      </c>
      <c r="C7164">
        <v>0.3</v>
      </c>
    </row>
    <row r="7165" spans="1:3" ht="15" customHeight="1" x14ac:dyDescent="0.25">
      <c r="A7165" t="s">
        <v>9345</v>
      </c>
      <c r="B7165">
        <v>10.4</v>
      </c>
      <c r="C7165">
        <v>0.3</v>
      </c>
    </row>
    <row r="7166" spans="1:3" ht="15" customHeight="1" x14ac:dyDescent="0.25">
      <c r="A7166" t="s">
        <v>9346</v>
      </c>
      <c r="B7166">
        <v>10.4</v>
      </c>
      <c r="C7166">
        <v>0.3</v>
      </c>
    </row>
    <row r="7167" spans="1:3" ht="15" customHeight="1" x14ac:dyDescent="0.25">
      <c r="A7167" t="s">
        <v>9347</v>
      </c>
      <c r="B7167">
        <v>10.4</v>
      </c>
      <c r="C7167">
        <v>0.3</v>
      </c>
    </row>
    <row r="7168" spans="1:3" ht="15" customHeight="1" x14ac:dyDescent="0.25">
      <c r="A7168" t="s">
        <v>9348</v>
      </c>
      <c r="B7168">
        <v>10.4</v>
      </c>
      <c r="C7168">
        <v>0.3</v>
      </c>
    </row>
    <row r="7169" spans="1:3" ht="15" customHeight="1" x14ac:dyDescent="0.25">
      <c r="A7169" t="s">
        <v>9349</v>
      </c>
      <c r="B7169">
        <v>10.4</v>
      </c>
      <c r="C7169">
        <v>0.3</v>
      </c>
    </row>
    <row r="7170" spans="1:3" ht="15" customHeight="1" x14ac:dyDescent="0.25">
      <c r="A7170" t="s">
        <v>9350</v>
      </c>
      <c r="B7170">
        <v>10.4</v>
      </c>
      <c r="C7170">
        <v>0.3</v>
      </c>
    </row>
    <row r="7171" spans="1:3" ht="15" customHeight="1" x14ac:dyDescent="0.25">
      <c r="A7171" t="s">
        <v>9351</v>
      </c>
      <c r="B7171">
        <v>10.4</v>
      </c>
      <c r="C7171">
        <v>0.3</v>
      </c>
    </row>
    <row r="7172" spans="1:3" ht="15" customHeight="1" x14ac:dyDescent="0.25">
      <c r="A7172" t="s">
        <v>9352</v>
      </c>
      <c r="B7172">
        <v>10.4</v>
      </c>
      <c r="C7172">
        <v>0.3</v>
      </c>
    </row>
    <row r="7173" spans="1:3" ht="15" customHeight="1" x14ac:dyDescent="0.25">
      <c r="A7173" t="s">
        <v>9353</v>
      </c>
      <c r="B7173">
        <v>10.4</v>
      </c>
    </row>
    <row r="7174" spans="1:3" ht="15" customHeight="1" x14ac:dyDescent="0.25">
      <c r="A7174" t="s">
        <v>9354</v>
      </c>
      <c r="B7174">
        <v>10.4</v>
      </c>
      <c r="C7174">
        <v>0.3</v>
      </c>
    </row>
    <row r="7175" spans="1:3" ht="15" customHeight="1" x14ac:dyDescent="0.25">
      <c r="A7175" t="s">
        <v>9355</v>
      </c>
      <c r="B7175">
        <v>10.4</v>
      </c>
      <c r="C7175">
        <v>0.3</v>
      </c>
    </row>
    <row r="7176" spans="1:3" ht="15" customHeight="1" x14ac:dyDescent="0.25">
      <c r="A7176" t="s">
        <v>9356</v>
      </c>
      <c r="B7176">
        <v>10.4</v>
      </c>
      <c r="C7176">
        <v>0.3</v>
      </c>
    </row>
    <row r="7177" spans="1:3" ht="15" customHeight="1" x14ac:dyDescent="0.25">
      <c r="A7177" t="s">
        <v>9357</v>
      </c>
      <c r="B7177">
        <v>10.4</v>
      </c>
      <c r="C7177">
        <v>0.3</v>
      </c>
    </row>
    <row r="7178" spans="1:3" ht="15" customHeight="1" x14ac:dyDescent="0.25">
      <c r="A7178" t="s">
        <v>9358</v>
      </c>
      <c r="B7178">
        <v>10.4</v>
      </c>
      <c r="C7178">
        <v>0.3</v>
      </c>
    </row>
    <row r="7179" spans="1:3" ht="15" customHeight="1" x14ac:dyDescent="0.25">
      <c r="A7179" t="s">
        <v>9359</v>
      </c>
      <c r="B7179">
        <v>10.4</v>
      </c>
      <c r="C7179">
        <v>0.3</v>
      </c>
    </row>
    <row r="7180" spans="1:3" ht="15" customHeight="1" x14ac:dyDescent="0.25">
      <c r="A7180" t="s">
        <v>9360</v>
      </c>
      <c r="B7180">
        <v>10.4</v>
      </c>
    </row>
    <row r="7181" spans="1:3" ht="15" customHeight="1" x14ac:dyDescent="0.25">
      <c r="A7181" t="s">
        <v>9361</v>
      </c>
      <c r="B7181">
        <v>12.3</v>
      </c>
      <c r="C7181">
        <v>0.3</v>
      </c>
    </row>
    <row r="7182" spans="1:3" ht="15" customHeight="1" x14ac:dyDescent="0.25">
      <c r="A7182" t="s">
        <v>9362</v>
      </c>
      <c r="B7182">
        <v>12.3</v>
      </c>
      <c r="C7182">
        <v>0.3</v>
      </c>
    </row>
    <row r="7183" spans="1:3" ht="15" customHeight="1" x14ac:dyDescent="0.25">
      <c r="A7183" t="s">
        <v>9363</v>
      </c>
      <c r="B7183">
        <v>12.3</v>
      </c>
      <c r="C7183">
        <v>0.3</v>
      </c>
    </row>
    <row r="7184" spans="1:3" ht="15" customHeight="1" x14ac:dyDescent="0.25">
      <c r="A7184" t="s">
        <v>9364</v>
      </c>
      <c r="B7184">
        <v>12.3</v>
      </c>
      <c r="C7184">
        <v>0.3</v>
      </c>
    </row>
    <row r="7185" spans="1:3" ht="15" customHeight="1" x14ac:dyDescent="0.25">
      <c r="A7185" t="s">
        <v>9365</v>
      </c>
      <c r="B7185">
        <v>12.3</v>
      </c>
      <c r="C7185">
        <v>0.3</v>
      </c>
    </row>
    <row r="7186" spans="1:3" ht="15" customHeight="1" x14ac:dyDescent="0.25">
      <c r="A7186" t="s">
        <v>9366</v>
      </c>
      <c r="B7186">
        <v>12.3</v>
      </c>
    </row>
    <row r="7187" spans="1:3" ht="15" customHeight="1" x14ac:dyDescent="0.25">
      <c r="A7187" t="s">
        <v>9367</v>
      </c>
      <c r="B7187">
        <v>12.3</v>
      </c>
      <c r="C7187">
        <v>0.3</v>
      </c>
    </row>
    <row r="7188" spans="1:3" ht="15" customHeight="1" x14ac:dyDescent="0.25">
      <c r="A7188" t="s">
        <v>9368</v>
      </c>
      <c r="B7188">
        <v>12.3</v>
      </c>
      <c r="C7188">
        <v>0.3</v>
      </c>
    </row>
    <row r="7189" spans="1:3" ht="15" customHeight="1" x14ac:dyDescent="0.25">
      <c r="A7189" t="s">
        <v>9369</v>
      </c>
      <c r="B7189">
        <v>12.3</v>
      </c>
      <c r="C7189">
        <v>0.3</v>
      </c>
    </row>
    <row r="7190" spans="1:3" ht="15" customHeight="1" x14ac:dyDescent="0.25">
      <c r="A7190" t="s">
        <v>9370</v>
      </c>
      <c r="B7190">
        <v>12.3</v>
      </c>
    </row>
    <row r="7191" spans="1:3" ht="15" customHeight="1" x14ac:dyDescent="0.25">
      <c r="A7191" t="s">
        <v>9371</v>
      </c>
      <c r="B7191">
        <v>12.3</v>
      </c>
      <c r="C7191">
        <v>0.3</v>
      </c>
    </row>
    <row r="7192" spans="1:3" ht="15" customHeight="1" x14ac:dyDescent="0.25">
      <c r="A7192" t="s">
        <v>9372</v>
      </c>
      <c r="B7192">
        <v>12.3</v>
      </c>
    </row>
    <row r="7193" spans="1:3" ht="15" customHeight="1" x14ac:dyDescent="0.25">
      <c r="A7193" t="s">
        <v>9373</v>
      </c>
      <c r="B7193">
        <v>24.7</v>
      </c>
      <c r="C7193">
        <v>0.3</v>
      </c>
    </row>
    <row r="7194" spans="1:3" ht="15" customHeight="1" x14ac:dyDescent="0.25">
      <c r="A7194" t="s">
        <v>9374</v>
      </c>
      <c r="B7194">
        <v>24.7</v>
      </c>
      <c r="C7194">
        <v>0.3</v>
      </c>
    </row>
    <row r="7195" spans="1:3" ht="15" customHeight="1" x14ac:dyDescent="0.25">
      <c r="A7195" t="s">
        <v>9375</v>
      </c>
      <c r="B7195">
        <v>24.7</v>
      </c>
      <c r="C7195">
        <v>0.3</v>
      </c>
    </row>
    <row r="7196" spans="1:3" ht="15" customHeight="1" x14ac:dyDescent="0.25">
      <c r="A7196" t="s">
        <v>9376</v>
      </c>
      <c r="B7196">
        <v>24.7</v>
      </c>
      <c r="C7196">
        <v>0.3</v>
      </c>
    </row>
    <row r="7197" spans="1:3" ht="15" customHeight="1" x14ac:dyDescent="0.25">
      <c r="A7197" t="s">
        <v>9377</v>
      </c>
      <c r="B7197">
        <v>24.7</v>
      </c>
      <c r="C7197">
        <v>0.3</v>
      </c>
    </row>
    <row r="7198" spans="1:3" ht="15" customHeight="1" x14ac:dyDescent="0.25">
      <c r="A7198" t="s">
        <v>9378</v>
      </c>
      <c r="B7198">
        <v>24.7</v>
      </c>
      <c r="C7198">
        <v>0.3</v>
      </c>
    </row>
    <row r="7199" spans="1:3" ht="15" customHeight="1" x14ac:dyDescent="0.25">
      <c r="A7199" t="s">
        <v>9379</v>
      </c>
      <c r="B7199">
        <v>24.7</v>
      </c>
      <c r="C7199">
        <v>0.3</v>
      </c>
    </row>
    <row r="7200" spans="1:3" ht="15" customHeight="1" x14ac:dyDescent="0.25">
      <c r="A7200" t="s">
        <v>9380</v>
      </c>
      <c r="B7200">
        <v>24.7</v>
      </c>
      <c r="C7200">
        <v>0.3</v>
      </c>
    </row>
    <row r="7201" spans="1:2" ht="15" customHeight="1" x14ac:dyDescent="0.25">
      <c r="A7201" t="s">
        <v>9381</v>
      </c>
      <c r="B7201">
        <v>10.199999999999999</v>
      </c>
    </row>
    <row r="7202" spans="1:2" ht="15" customHeight="1" x14ac:dyDescent="0.25">
      <c r="A7202" t="s">
        <v>9382</v>
      </c>
      <c r="B7202">
        <v>10.199999999999999</v>
      </c>
    </row>
    <row r="7203" spans="1:2" ht="15" customHeight="1" x14ac:dyDescent="0.25">
      <c r="A7203" t="s">
        <v>9383</v>
      </c>
      <c r="B7203">
        <v>10.199999999999999</v>
      </c>
    </row>
    <row r="7204" spans="1:2" ht="15" customHeight="1" x14ac:dyDescent="0.25">
      <c r="A7204" t="s">
        <v>9384</v>
      </c>
      <c r="B7204">
        <v>10.199999999999999</v>
      </c>
    </row>
    <row r="7205" spans="1:2" ht="15" customHeight="1" x14ac:dyDescent="0.25">
      <c r="A7205" t="s">
        <v>9385</v>
      </c>
      <c r="B7205">
        <v>10.199999999999999</v>
      </c>
    </row>
    <row r="7206" spans="1:2" ht="15" customHeight="1" x14ac:dyDescent="0.25">
      <c r="A7206" t="s">
        <v>9386</v>
      </c>
      <c r="B7206">
        <v>10.199999999999999</v>
      </c>
    </row>
    <row r="7207" spans="1:2" ht="15" customHeight="1" x14ac:dyDescent="0.25">
      <c r="A7207" t="s">
        <v>9387</v>
      </c>
      <c r="B7207">
        <v>10.199999999999999</v>
      </c>
    </row>
    <row r="7208" spans="1:2" ht="15" customHeight="1" x14ac:dyDescent="0.25">
      <c r="A7208" t="s">
        <v>9388</v>
      </c>
      <c r="B7208">
        <v>10.199999999999999</v>
      </c>
    </row>
    <row r="7209" spans="1:2" ht="15" customHeight="1" x14ac:dyDescent="0.25">
      <c r="A7209" t="s">
        <v>9389</v>
      </c>
      <c r="B7209">
        <v>10.5</v>
      </c>
    </row>
    <row r="7210" spans="1:2" ht="15" customHeight="1" x14ac:dyDescent="0.25">
      <c r="A7210" t="s">
        <v>9390</v>
      </c>
      <c r="B7210">
        <v>10.5</v>
      </c>
    </row>
    <row r="7211" spans="1:2" ht="15" customHeight="1" x14ac:dyDescent="0.25">
      <c r="A7211" t="s">
        <v>9391</v>
      </c>
      <c r="B7211">
        <v>10.5</v>
      </c>
    </row>
    <row r="7212" spans="1:2" ht="15" customHeight="1" x14ac:dyDescent="0.25">
      <c r="A7212" t="s">
        <v>9392</v>
      </c>
      <c r="B7212">
        <v>10.5</v>
      </c>
    </row>
    <row r="7213" spans="1:2" ht="15" customHeight="1" x14ac:dyDescent="0.25">
      <c r="A7213" t="s">
        <v>9393</v>
      </c>
      <c r="B7213">
        <v>10.5</v>
      </c>
    </row>
    <row r="7214" spans="1:2" ht="15" customHeight="1" x14ac:dyDescent="0.25">
      <c r="A7214" t="s">
        <v>9394</v>
      </c>
      <c r="B7214">
        <v>10.5</v>
      </c>
    </row>
    <row r="7215" spans="1:2" ht="15" customHeight="1" x14ac:dyDescent="0.25">
      <c r="A7215" t="s">
        <v>9395</v>
      </c>
      <c r="B7215">
        <v>10.5</v>
      </c>
    </row>
    <row r="7216" spans="1:2" ht="15" customHeight="1" x14ac:dyDescent="0.25">
      <c r="A7216" t="s">
        <v>9396</v>
      </c>
      <c r="B7216">
        <v>10.5</v>
      </c>
    </row>
    <row r="7217" spans="1:3" ht="15" customHeight="1" x14ac:dyDescent="0.25">
      <c r="A7217" t="s">
        <v>9397</v>
      </c>
      <c r="B7217">
        <v>10.5</v>
      </c>
    </row>
    <row r="7218" spans="1:3" ht="15" customHeight="1" x14ac:dyDescent="0.25">
      <c r="A7218" t="s">
        <v>9398</v>
      </c>
      <c r="B7218">
        <v>10.5</v>
      </c>
    </row>
    <row r="7219" spans="1:3" ht="15" customHeight="1" x14ac:dyDescent="0.25">
      <c r="A7219" t="s">
        <v>9399</v>
      </c>
      <c r="B7219">
        <v>10.5</v>
      </c>
    </row>
    <row r="7220" spans="1:3" ht="15" customHeight="1" x14ac:dyDescent="0.25">
      <c r="A7220" t="s">
        <v>9400</v>
      </c>
      <c r="B7220">
        <v>10.5</v>
      </c>
    </row>
    <row r="7221" spans="1:3" ht="15" customHeight="1" x14ac:dyDescent="0.25">
      <c r="A7221" t="s">
        <v>9401</v>
      </c>
      <c r="B7221">
        <v>10.5</v>
      </c>
    </row>
    <row r="7222" spans="1:3" ht="15" customHeight="1" x14ac:dyDescent="0.25">
      <c r="A7222" t="s">
        <v>9402</v>
      </c>
      <c r="B7222">
        <v>10.5</v>
      </c>
    </row>
    <row r="7223" spans="1:3" ht="15" customHeight="1" x14ac:dyDescent="0.25">
      <c r="A7223" t="s">
        <v>9403</v>
      </c>
      <c r="B7223">
        <v>10.5</v>
      </c>
      <c r="C7223">
        <v>0.3</v>
      </c>
    </row>
    <row r="7224" spans="1:3" ht="15" customHeight="1" x14ac:dyDescent="0.25">
      <c r="A7224" t="s">
        <v>9404</v>
      </c>
      <c r="B7224">
        <v>10.5</v>
      </c>
    </row>
    <row r="7225" spans="1:3" ht="15" customHeight="1" x14ac:dyDescent="0.25">
      <c r="A7225" t="s">
        <v>9405</v>
      </c>
      <c r="B7225">
        <v>10.5</v>
      </c>
    </row>
    <row r="7226" spans="1:3" ht="15" customHeight="1" x14ac:dyDescent="0.25">
      <c r="A7226" t="s">
        <v>9406</v>
      </c>
      <c r="B7226">
        <v>10.5</v>
      </c>
    </row>
    <row r="7227" spans="1:3" ht="15" customHeight="1" x14ac:dyDescent="0.25">
      <c r="A7227" t="s">
        <v>9407</v>
      </c>
      <c r="B7227">
        <v>10.5</v>
      </c>
      <c r="C7227">
        <v>0.3</v>
      </c>
    </row>
    <row r="7228" spans="1:3" ht="15" customHeight="1" x14ac:dyDescent="0.25">
      <c r="A7228" t="s">
        <v>9408</v>
      </c>
      <c r="B7228">
        <v>10.5</v>
      </c>
    </row>
    <row r="7229" spans="1:3" ht="15" customHeight="1" x14ac:dyDescent="0.25">
      <c r="A7229" t="s">
        <v>9409</v>
      </c>
      <c r="B7229">
        <v>10.5</v>
      </c>
      <c r="C7229">
        <v>0.3</v>
      </c>
    </row>
    <row r="7230" spans="1:3" ht="15" customHeight="1" x14ac:dyDescent="0.25">
      <c r="A7230" t="s">
        <v>9410</v>
      </c>
      <c r="B7230">
        <v>10.5</v>
      </c>
      <c r="C7230">
        <v>0.3</v>
      </c>
    </row>
    <row r="7231" spans="1:3" ht="15" customHeight="1" x14ac:dyDescent="0.25">
      <c r="A7231" t="s">
        <v>9411</v>
      </c>
      <c r="B7231">
        <v>10.5</v>
      </c>
      <c r="C7231">
        <v>0.3</v>
      </c>
    </row>
    <row r="7232" spans="1:3" ht="15" customHeight="1" x14ac:dyDescent="0.25">
      <c r="A7232" t="s">
        <v>9412</v>
      </c>
      <c r="B7232">
        <v>10.5</v>
      </c>
      <c r="C7232">
        <v>0.3</v>
      </c>
    </row>
    <row r="7233" spans="1:3" ht="15" customHeight="1" x14ac:dyDescent="0.25">
      <c r="A7233" t="s">
        <v>9413</v>
      </c>
      <c r="B7233">
        <v>10.5</v>
      </c>
    </row>
    <row r="7234" spans="1:3" ht="15" customHeight="1" x14ac:dyDescent="0.25">
      <c r="A7234" t="s">
        <v>9414</v>
      </c>
      <c r="B7234">
        <v>10.5</v>
      </c>
      <c r="C7234">
        <v>0.3</v>
      </c>
    </row>
    <row r="7235" spans="1:3" ht="15" customHeight="1" x14ac:dyDescent="0.25">
      <c r="A7235" t="s">
        <v>9415</v>
      </c>
      <c r="B7235">
        <v>16.899999999999999</v>
      </c>
    </row>
    <row r="7236" spans="1:3" ht="15" customHeight="1" x14ac:dyDescent="0.25">
      <c r="A7236" t="s">
        <v>9416</v>
      </c>
      <c r="B7236">
        <v>16.899999999999999</v>
      </c>
    </row>
    <row r="7237" spans="1:3" ht="15" customHeight="1" x14ac:dyDescent="0.25">
      <c r="A7237" t="s">
        <v>9417</v>
      </c>
      <c r="B7237">
        <v>16.899999999999999</v>
      </c>
    </row>
    <row r="7238" spans="1:3" ht="15" customHeight="1" x14ac:dyDescent="0.25">
      <c r="A7238" t="s">
        <v>9418</v>
      </c>
      <c r="B7238">
        <v>16.899999999999999</v>
      </c>
    </row>
    <row r="7239" spans="1:3" ht="15" customHeight="1" x14ac:dyDescent="0.25">
      <c r="A7239" t="s">
        <v>9419</v>
      </c>
      <c r="B7239">
        <v>16.899999999999999</v>
      </c>
    </row>
    <row r="7240" spans="1:3" ht="15" customHeight="1" x14ac:dyDescent="0.25">
      <c r="A7240" t="s">
        <v>9420</v>
      </c>
      <c r="B7240">
        <v>16.899999999999999</v>
      </c>
      <c r="C7240">
        <v>0.3</v>
      </c>
    </row>
    <row r="7241" spans="1:3" ht="15" customHeight="1" x14ac:dyDescent="0.25">
      <c r="A7241" t="s">
        <v>9421</v>
      </c>
      <c r="B7241">
        <v>16.899999999999999</v>
      </c>
      <c r="C7241">
        <v>0.3</v>
      </c>
    </row>
    <row r="7242" spans="1:3" ht="15" customHeight="1" x14ac:dyDescent="0.25">
      <c r="A7242" t="s">
        <v>9422</v>
      </c>
      <c r="B7242">
        <v>16.899999999999999</v>
      </c>
    </row>
    <row r="7243" spans="1:3" ht="15" customHeight="1" x14ac:dyDescent="0.25">
      <c r="A7243" t="s">
        <v>9423</v>
      </c>
      <c r="B7243">
        <v>16.899999999999999</v>
      </c>
      <c r="C7243">
        <v>0.3</v>
      </c>
    </row>
    <row r="7244" spans="1:3" ht="15" customHeight="1" x14ac:dyDescent="0.25">
      <c r="A7244" t="s">
        <v>9424</v>
      </c>
      <c r="B7244">
        <v>16.899999999999999</v>
      </c>
      <c r="C7244">
        <v>0.3</v>
      </c>
    </row>
    <row r="7245" spans="1:3" ht="15" customHeight="1" x14ac:dyDescent="0.25">
      <c r="A7245" t="s">
        <v>9425</v>
      </c>
      <c r="B7245">
        <v>16.899999999999999</v>
      </c>
      <c r="C7245">
        <v>0.3</v>
      </c>
    </row>
    <row r="7246" spans="1:3" ht="15" customHeight="1" x14ac:dyDescent="0.25">
      <c r="A7246" t="s">
        <v>9426</v>
      </c>
      <c r="B7246">
        <v>16.899999999999999</v>
      </c>
      <c r="C7246">
        <v>0.3</v>
      </c>
    </row>
    <row r="7247" spans="1:3" ht="15" customHeight="1" x14ac:dyDescent="0.25">
      <c r="A7247" t="s">
        <v>9427</v>
      </c>
      <c r="B7247">
        <v>16.899999999999999</v>
      </c>
    </row>
    <row r="7248" spans="1:3" ht="15" customHeight="1" x14ac:dyDescent="0.25">
      <c r="A7248" t="s">
        <v>9428</v>
      </c>
      <c r="B7248">
        <v>16.899999999999999</v>
      </c>
      <c r="C7248">
        <v>0.3</v>
      </c>
    </row>
    <row r="7249" spans="1:3" ht="15" customHeight="1" x14ac:dyDescent="0.25">
      <c r="A7249" t="s">
        <v>9429</v>
      </c>
      <c r="B7249">
        <v>16.899999999999999</v>
      </c>
      <c r="C7249">
        <v>0.3</v>
      </c>
    </row>
    <row r="7250" spans="1:3" ht="15" customHeight="1" x14ac:dyDescent="0.25">
      <c r="A7250" t="s">
        <v>9430</v>
      </c>
      <c r="B7250">
        <v>16.899999999999999</v>
      </c>
      <c r="C7250">
        <v>0.3</v>
      </c>
    </row>
    <row r="7251" spans="1:3" ht="15" customHeight="1" x14ac:dyDescent="0.25">
      <c r="A7251" t="s">
        <v>9431</v>
      </c>
      <c r="B7251">
        <v>16.899999999999999</v>
      </c>
      <c r="C7251">
        <v>0.3</v>
      </c>
    </row>
    <row r="7252" spans="1:3" ht="15" customHeight="1" x14ac:dyDescent="0.25">
      <c r="A7252" t="s">
        <v>9432</v>
      </c>
      <c r="B7252">
        <v>16.899999999999999</v>
      </c>
      <c r="C7252">
        <v>0.3</v>
      </c>
    </row>
    <row r="7253" spans="1:3" ht="15" customHeight="1" x14ac:dyDescent="0.25">
      <c r="A7253" t="s">
        <v>9433</v>
      </c>
      <c r="B7253">
        <v>16.899999999999999</v>
      </c>
      <c r="C7253">
        <v>0.3</v>
      </c>
    </row>
    <row r="7254" spans="1:3" ht="15" customHeight="1" x14ac:dyDescent="0.25">
      <c r="A7254" t="s">
        <v>9434</v>
      </c>
      <c r="B7254">
        <v>16.899999999999999</v>
      </c>
    </row>
    <row r="7255" spans="1:3" ht="15" customHeight="1" x14ac:dyDescent="0.25">
      <c r="A7255" t="s">
        <v>9435</v>
      </c>
      <c r="B7255">
        <v>16.899999999999999</v>
      </c>
    </row>
    <row r="7256" spans="1:3" ht="15" customHeight="1" x14ac:dyDescent="0.25">
      <c r="A7256" t="s">
        <v>9436</v>
      </c>
      <c r="B7256">
        <v>16.899999999999999</v>
      </c>
    </row>
    <row r="7257" spans="1:3" ht="15" customHeight="1" x14ac:dyDescent="0.25">
      <c r="A7257" t="s">
        <v>9437</v>
      </c>
      <c r="B7257">
        <v>16.899999999999999</v>
      </c>
    </row>
    <row r="7258" spans="1:3" ht="15" customHeight="1" x14ac:dyDescent="0.25">
      <c r="A7258" t="s">
        <v>9438</v>
      </c>
      <c r="B7258">
        <v>16.899999999999999</v>
      </c>
    </row>
    <row r="7259" spans="1:3" ht="15" customHeight="1" x14ac:dyDescent="0.25">
      <c r="A7259" t="s">
        <v>9439</v>
      </c>
      <c r="B7259">
        <v>16.899999999999999</v>
      </c>
    </row>
    <row r="7260" spans="1:3" ht="15" customHeight="1" x14ac:dyDescent="0.25">
      <c r="A7260" t="s">
        <v>9440</v>
      </c>
      <c r="B7260">
        <v>16.899999999999999</v>
      </c>
    </row>
    <row r="7261" spans="1:3" ht="15" customHeight="1" x14ac:dyDescent="0.25">
      <c r="A7261" t="s">
        <v>9441</v>
      </c>
      <c r="B7261">
        <v>16.899999999999999</v>
      </c>
    </row>
    <row r="7262" spans="1:3" ht="15" customHeight="1" x14ac:dyDescent="0.25">
      <c r="A7262" t="s">
        <v>9442</v>
      </c>
      <c r="B7262">
        <v>16.899999999999999</v>
      </c>
      <c r="C7262">
        <v>0.3</v>
      </c>
    </row>
    <row r="7263" spans="1:3" ht="15" customHeight="1" x14ac:dyDescent="0.25">
      <c r="A7263" t="s">
        <v>9443</v>
      </c>
      <c r="B7263">
        <v>16.899999999999999</v>
      </c>
      <c r="C7263">
        <v>0.3</v>
      </c>
    </row>
    <row r="7264" spans="1:3" ht="15" customHeight="1" x14ac:dyDescent="0.25">
      <c r="A7264" t="s">
        <v>9444</v>
      </c>
      <c r="B7264">
        <v>16.899999999999999</v>
      </c>
    </row>
    <row r="7265" spans="1:3" ht="15" customHeight="1" x14ac:dyDescent="0.25">
      <c r="A7265" t="s">
        <v>9445</v>
      </c>
      <c r="B7265">
        <v>16.899999999999999</v>
      </c>
    </row>
    <row r="7266" spans="1:3" ht="15" customHeight="1" x14ac:dyDescent="0.25">
      <c r="A7266" t="s">
        <v>9446</v>
      </c>
      <c r="B7266">
        <v>16.899999999999999</v>
      </c>
      <c r="C7266">
        <v>0.3</v>
      </c>
    </row>
    <row r="7267" spans="1:3" ht="15" customHeight="1" x14ac:dyDescent="0.25">
      <c r="A7267" t="s">
        <v>9447</v>
      </c>
      <c r="B7267">
        <v>16.899999999999999</v>
      </c>
      <c r="C7267">
        <v>0.3</v>
      </c>
    </row>
    <row r="7268" spans="1:3" ht="15" customHeight="1" x14ac:dyDescent="0.25">
      <c r="A7268" t="s">
        <v>9448</v>
      </c>
      <c r="B7268">
        <v>16.899999999999999</v>
      </c>
      <c r="C7268">
        <v>0.3</v>
      </c>
    </row>
    <row r="7269" spans="1:3" ht="15" customHeight="1" x14ac:dyDescent="0.25">
      <c r="A7269" t="s">
        <v>9449</v>
      </c>
      <c r="B7269">
        <v>16.899999999999999</v>
      </c>
      <c r="C7269">
        <v>0.3</v>
      </c>
    </row>
    <row r="7270" spans="1:3" ht="15" customHeight="1" x14ac:dyDescent="0.25">
      <c r="A7270" t="s">
        <v>9450</v>
      </c>
      <c r="B7270">
        <v>16.899999999999999</v>
      </c>
      <c r="C7270">
        <v>0.3</v>
      </c>
    </row>
    <row r="7271" spans="1:3" ht="15" customHeight="1" x14ac:dyDescent="0.25">
      <c r="A7271" t="s">
        <v>9451</v>
      </c>
      <c r="B7271">
        <v>16.899999999999999</v>
      </c>
      <c r="C7271">
        <v>0.3</v>
      </c>
    </row>
    <row r="7272" spans="1:3" ht="15" customHeight="1" x14ac:dyDescent="0.25">
      <c r="A7272" t="s">
        <v>9452</v>
      </c>
      <c r="B7272">
        <v>16.899999999999999</v>
      </c>
      <c r="C7272">
        <v>0.3</v>
      </c>
    </row>
    <row r="7273" spans="1:3" ht="15" customHeight="1" x14ac:dyDescent="0.25">
      <c r="A7273" t="s">
        <v>9453</v>
      </c>
      <c r="B7273">
        <v>16.899999999999999</v>
      </c>
    </row>
    <row r="7274" spans="1:3" ht="15" customHeight="1" x14ac:dyDescent="0.25">
      <c r="A7274" t="s">
        <v>9454</v>
      </c>
      <c r="B7274">
        <v>16.899999999999999</v>
      </c>
    </row>
    <row r="7275" spans="1:3" ht="15" customHeight="1" x14ac:dyDescent="0.25">
      <c r="A7275" t="s">
        <v>9455</v>
      </c>
      <c r="B7275">
        <v>16.899999999999999</v>
      </c>
    </row>
    <row r="7276" spans="1:3" ht="15" customHeight="1" x14ac:dyDescent="0.25">
      <c r="A7276" t="s">
        <v>9456</v>
      </c>
      <c r="B7276">
        <v>12.3</v>
      </c>
    </row>
    <row r="7277" spans="1:3" ht="15" customHeight="1" x14ac:dyDescent="0.25">
      <c r="A7277" t="s">
        <v>9457</v>
      </c>
      <c r="B7277">
        <v>12.3</v>
      </c>
    </row>
    <row r="7278" spans="1:3" ht="15" customHeight="1" x14ac:dyDescent="0.25">
      <c r="A7278" t="s">
        <v>9458</v>
      </c>
      <c r="B7278">
        <v>12.3</v>
      </c>
    </row>
    <row r="7279" spans="1:3" ht="15" customHeight="1" x14ac:dyDescent="0.25">
      <c r="A7279" t="s">
        <v>9459</v>
      </c>
      <c r="B7279">
        <v>12.3</v>
      </c>
    </row>
    <row r="7280" spans="1:3" ht="15" customHeight="1" x14ac:dyDescent="0.25">
      <c r="A7280" t="s">
        <v>9460</v>
      </c>
      <c r="B7280">
        <v>12.3</v>
      </c>
    </row>
    <row r="7281" spans="1:3" ht="15" customHeight="1" x14ac:dyDescent="0.25">
      <c r="A7281" t="s">
        <v>9461</v>
      </c>
      <c r="B7281">
        <v>12.3</v>
      </c>
      <c r="C7281">
        <v>0.3</v>
      </c>
    </row>
    <row r="7282" spans="1:3" ht="15" customHeight="1" x14ac:dyDescent="0.25">
      <c r="A7282" t="s">
        <v>9462</v>
      </c>
      <c r="B7282">
        <v>12.3</v>
      </c>
      <c r="C7282">
        <v>0.3</v>
      </c>
    </row>
    <row r="7283" spans="1:3" ht="15" customHeight="1" x14ac:dyDescent="0.25">
      <c r="A7283" t="s">
        <v>9463</v>
      </c>
      <c r="B7283">
        <v>12.3</v>
      </c>
    </row>
    <row r="7284" spans="1:3" ht="15" customHeight="1" x14ac:dyDescent="0.25">
      <c r="A7284" t="s">
        <v>9464</v>
      </c>
      <c r="B7284">
        <v>12.3</v>
      </c>
    </row>
    <row r="7285" spans="1:3" ht="15" customHeight="1" x14ac:dyDescent="0.25">
      <c r="A7285" t="s">
        <v>9465</v>
      </c>
      <c r="B7285">
        <v>12.3</v>
      </c>
      <c r="C7285">
        <v>0.3</v>
      </c>
    </row>
    <row r="7286" spans="1:3" ht="15" customHeight="1" x14ac:dyDescent="0.25">
      <c r="A7286" t="s">
        <v>9466</v>
      </c>
      <c r="B7286">
        <v>12.3</v>
      </c>
      <c r="C7286">
        <v>0.3</v>
      </c>
    </row>
    <row r="7287" spans="1:3" ht="15" customHeight="1" x14ac:dyDescent="0.25">
      <c r="A7287" t="s">
        <v>9467</v>
      </c>
      <c r="B7287">
        <v>12.3</v>
      </c>
    </row>
    <row r="7288" spans="1:3" ht="15" customHeight="1" x14ac:dyDescent="0.25">
      <c r="A7288" t="s">
        <v>9468</v>
      </c>
      <c r="B7288">
        <v>12.3</v>
      </c>
    </row>
    <row r="7289" spans="1:3" ht="15" customHeight="1" x14ac:dyDescent="0.25">
      <c r="A7289" t="s">
        <v>9469</v>
      </c>
      <c r="B7289">
        <v>12.3</v>
      </c>
      <c r="C7289">
        <v>0.3</v>
      </c>
    </row>
    <row r="7290" spans="1:3" ht="15" customHeight="1" x14ac:dyDescent="0.25">
      <c r="A7290" t="s">
        <v>9470</v>
      </c>
      <c r="B7290">
        <v>12.3</v>
      </c>
    </row>
    <row r="7291" spans="1:3" ht="15" customHeight="1" x14ac:dyDescent="0.25">
      <c r="A7291" t="s">
        <v>9471</v>
      </c>
      <c r="B7291">
        <v>12.3</v>
      </c>
    </row>
    <row r="7292" spans="1:3" ht="15" customHeight="1" x14ac:dyDescent="0.25">
      <c r="A7292" t="s">
        <v>9472</v>
      </c>
      <c r="B7292">
        <v>12.3</v>
      </c>
    </row>
    <row r="7293" spans="1:3" ht="15" customHeight="1" x14ac:dyDescent="0.25">
      <c r="A7293" t="s">
        <v>9473</v>
      </c>
      <c r="B7293">
        <v>12.3</v>
      </c>
    </row>
    <row r="7294" spans="1:3" ht="15" customHeight="1" x14ac:dyDescent="0.25">
      <c r="A7294" t="s">
        <v>9474</v>
      </c>
      <c r="B7294">
        <v>12.3</v>
      </c>
    </row>
    <row r="7295" spans="1:3" ht="15" customHeight="1" x14ac:dyDescent="0.25">
      <c r="A7295" t="s">
        <v>9475</v>
      </c>
      <c r="B7295">
        <v>12.3</v>
      </c>
    </row>
    <row r="7296" spans="1:3" ht="15" customHeight="1" x14ac:dyDescent="0.25">
      <c r="A7296" t="s">
        <v>9476</v>
      </c>
      <c r="B7296">
        <v>12.3</v>
      </c>
      <c r="C7296">
        <v>0.3</v>
      </c>
    </row>
    <row r="7297" spans="1:3" ht="15" customHeight="1" x14ac:dyDescent="0.25">
      <c r="A7297" t="s">
        <v>9477</v>
      </c>
      <c r="B7297">
        <v>12.3</v>
      </c>
    </row>
    <row r="7298" spans="1:3" ht="15" customHeight="1" x14ac:dyDescent="0.25">
      <c r="A7298" t="s">
        <v>9478</v>
      </c>
      <c r="B7298">
        <v>20.3</v>
      </c>
    </row>
    <row r="7299" spans="1:3" ht="15" customHeight="1" x14ac:dyDescent="0.25">
      <c r="A7299" t="s">
        <v>9479</v>
      </c>
      <c r="B7299">
        <v>23.8</v>
      </c>
    </row>
    <row r="7300" spans="1:3" ht="15" customHeight="1" x14ac:dyDescent="0.25">
      <c r="A7300" t="s">
        <v>9480</v>
      </c>
      <c r="B7300">
        <v>23.8</v>
      </c>
    </row>
    <row r="7301" spans="1:3" ht="15" customHeight="1" x14ac:dyDescent="0.25">
      <c r="A7301" t="s">
        <v>9481</v>
      </c>
      <c r="B7301">
        <v>19.899999999999999</v>
      </c>
      <c r="C7301">
        <v>0.3</v>
      </c>
    </row>
    <row r="7302" spans="1:3" ht="15" customHeight="1" x14ac:dyDescent="0.25">
      <c r="A7302" t="s">
        <v>9482</v>
      </c>
      <c r="B7302">
        <v>22.4</v>
      </c>
    </row>
    <row r="7303" spans="1:3" ht="15" customHeight="1" x14ac:dyDescent="0.25">
      <c r="A7303" t="s">
        <v>9483</v>
      </c>
      <c r="B7303">
        <v>19.899999999999999</v>
      </c>
      <c r="C7303">
        <v>0.3</v>
      </c>
    </row>
    <row r="7304" spans="1:3" ht="15" customHeight="1" x14ac:dyDescent="0.25">
      <c r="A7304" t="s">
        <v>9484</v>
      </c>
      <c r="B7304">
        <v>22.4</v>
      </c>
      <c r="C7304">
        <v>0.3</v>
      </c>
    </row>
    <row r="7305" spans="1:3" ht="15" customHeight="1" x14ac:dyDescent="0.25">
      <c r="A7305" t="s">
        <v>9485</v>
      </c>
      <c r="B7305">
        <v>19.899999999999999</v>
      </c>
    </row>
    <row r="7306" spans="1:3" ht="15" customHeight="1" x14ac:dyDescent="0.25">
      <c r="A7306" t="s">
        <v>9486</v>
      </c>
      <c r="B7306">
        <v>22.4</v>
      </c>
    </row>
    <row r="7307" spans="1:3" ht="15" customHeight="1" x14ac:dyDescent="0.25">
      <c r="A7307" t="s">
        <v>9487</v>
      </c>
      <c r="B7307">
        <v>19.899999999999999</v>
      </c>
      <c r="C7307">
        <v>0.3</v>
      </c>
    </row>
    <row r="7308" spans="1:3" ht="15" customHeight="1" x14ac:dyDescent="0.25">
      <c r="A7308" t="s">
        <v>9488</v>
      </c>
      <c r="B7308">
        <v>22.4</v>
      </c>
    </row>
    <row r="7309" spans="1:3" ht="15" customHeight="1" x14ac:dyDescent="0.25">
      <c r="A7309" t="s">
        <v>9489</v>
      </c>
      <c r="B7309">
        <v>19.899999999999999</v>
      </c>
      <c r="C7309">
        <v>0.3</v>
      </c>
    </row>
    <row r="7310" spans="1:3" ht="15" customHeight="1" x14ac:dyDescent="0.25">
      <c r="A7310" t="s">
        <v>9490</v>
      </c>
      <c r="B7310">
        <v>22.4</v>
      </c>
      <c r="C7310">
        <v>0.3</v>
      </c>
    </row>
    <row r="7311" spans="1:3" ht="15" customHeight="1" x14ac:dyDescent="0.25">
      <c r="A7311" t="s">
        <v>9491</v>
      </c>
      <c r="B7311">
        <v>19.899999999999999</v>
      </c>
      <c r="C7311">
        <v>0.3</v>
      </c>
    </row>
    <row r="7312" spans="1:3" ht="15" customHeight="1" x14ac:dyDescent="0.25">
      <c r="A7312" t="s">
        <v>9492</v>
      </c>
      <c r="B7312">
        <v>22.4</v>
      </c>
      <c r="C7312">
        <v>0.3</v>
      </c>
    </row>
    <row r="7313" spans="1:3" ht="15" customHeight="1" x14ac:dyDescent="0.25">
      <c r="A7313" t="s">
        <v>9493</v>
      </c>
      <c r="B7313">
        <v>19.899999999999999</v>
      </c>
    </row>
    <row r="7314" spans="1:3" ht="15" customHeight="1" x14ac:dyDescent="0.25">
      <c r="A7314" t="s">
        <v>9494</v>
      </c>
      <c r="B7314">
        <v>22.4</v>
      </c>
      <c r="C7314">
        <v>0.3</v>
      </c>
    </row>
    <row r="7315" spans="1:3" ht="15" customHeight="1" x14ac:dyDescent="0.25">
      <c r="A7315" t="s">
        <v>9495</v>
      </c>
      <c r="B7315">
        <v>19.899999999999999</v>
      </c>
      <c r="C7315">
        <v>0.3</v>
      </c>
    </row>
    <row r="7316" spans="1:3" ht="15" customHeight="1" x14ac:dyDescent="0.25">
      <c r="A7316" t="s">
        <v>9496</v>
      </c>
      <c r="B7316">
        <v>19.899999999999999</v>
      </c>
      <c r="C7316">
        <v>0.3</v>
      </c>
    </row>
    <row r="7317" spans="1:3" ht="15" customHeight="1" x14ac:dyDescent="0.25">
      <c r="A7317" t="s">
        <v>9497</v>
      </c>
      <c r="B7317">
        <v>19.899999999999999</v>
      </c>
    </row>
    <row r="7318" spans="1:3" ht="15" customHeight="1" x14ac:dyDescent="0.25">
      <c r="A7318" t="s">
        <v>9498</v>
      </c>
      <c r="B7318">
        <v>19.899999999999999</v>
      </c>
      <c r="C7318">
        <v>0.3</v>
      </c>
    </row>
    <row r="7319" spans="1:3" ht="15" customHeight="1" x14ac:dyDescent="0.25">
      <c r="A7319" t="s">
        <v>9499</v>
      </c>
      <c r="B7319">
        <v>19.899999999999999</v>
      </c>
    </row>
    <row r="7320" spans="1:3" ht="15" customHeight="1" x14ac:dyDescent="0.25">
      <c r="A7320" t="s">
        <v>9500</v>
      </c>
      <c r="B7320">
        <v>19.899999999999999</v>
      </c>
      <c r="C7320">
        <v>0.3</v>
      </c>
    </row>
    <row r="7321" spans="1:3" ht="15" customHeight="1" x14ac:dyDescent="0.25">
      <c r="A7321" t="s">
        <v>9501</v>
      </c>
      <c r="B7321">
        <v>19.899999999999999</v>
      </c>
    </row>
    <row r="7322" spans="1:3" ht="15" customHeight="1" x14ac:dyDescent="0.25">
      <c r="A7322" t="s">
        <v>9502</v>
      </c>
      <c r="B7322">
        <v>22.4</v>
      </c>
    </row>
    <row r="7323" spans="1:3" ht="15" customHeight="1" x14ac:dyDescent="0.25">
      <c r="A7323" t="s">
        <v>9503</v>
      </c>
      <c r="B7323">
        <v>22.4</v>
      </c>
      <c r="C7323">
        <v>0.3</v>
      </c>
    </row>
    <row r="7324" spans="1:3" ht="15" customHeight="1" x14ac:dyDescent="0.25">
      <c r="A7324" t="s">
        <v>9504</v>
      </c>
      <c r="B7324">
        <v>19.899999999999999</v>
      </c>
    </row>
    <row r="7325" spans="1:3" ht="15" customHeight="1" x14ac:dyDescent="0.25">
      <c r="A7325" t="s">
        <v>9505</v>
      </c>
      <c r="B7325">
        <v>22.4</v>
      </c>
    </row>
    <row r="7326" spans="1:3" ht="15" customHeight="1" x14ac:dyDescent="0.25">
      <c r="A7326" t="s">
        <v>9506</v>
      </c>
      <c r="B7326">
        <v>56.9</v>
      </c>
    </row>
    <row r="7327" spans="1:3" ht="15" customHeight="1" x14ac:dyDescent="0.25">
      <c r="A7327" t="s">
        <v>9507</v>
      </c>
      <c r="B7327">
        <v>56.9</v>
      </c>
    </row>
    <row r="7328" spans="1:3" ht="15" customHeight="1" x14ac:dyDescent="0.25">
      <c r="A7328" t="s">
        <v>9508</v>
      </c>
      <c r="B7328">
        <v>56.9</v>
      </c>
    </row>
    <row r="7329" spans="1:3" ht="15" customHeight="1" x14ac:dyDescent="0.25">
      <c r="A7329" t="s">
        <v>9509</v>
      </c>
      <c r="B7329">
        <v>56.9</v>
      </c>
      <c r="C7329">
        <v>0.3</v>
      </c>
    </row>
    <row r="7330" spans="1:3" ht="15" customHeight="1" x14ac:dyDescent="0.25">
      <c r="A7330" t="s">
        <v>9510</v>
      </c>
      <c r="B7330">
        <v>73.3</v>
      </c>
    </row>
    <row r="7331" spans="1:3" ht="15" customHeight="1" x14ac:dyDescent="0.25">
      <c r="A7331" t="s">
        <v>9511</v>
      </c>
      <c r="B7331">
        <v>73.3</v>
      </c>
    </row>
    <row r="7332" spans="1:3" ht="15" customHeight="1" x14ac:dyDescent="0.25">
      <c r="A7332" t="s">
        <v>9512</v>
      </c>
      <c r="B7332">
        <v>73.3</v>
      </c>
    </row>
    <row r="7333" spans="1:3" ht="15" customHeight="1" x14ac:dyDescent="0.25">
      <c r="A7333" t="s">
        <v>9513</v>
      </c>
      <c r="B7333">
        <v>73.3</v>
      </c>
    </row>
    <row r="7334" spans="1:3" ht="15" customHeight="1" x14ac:dyDescent="0.25">
      <c r="A7334" t="s">
        <v>9514</v>
      </c>
      <c r="B7334">
        <v>73.3</v>
      </c>
      <c r="C7334">
        <v>0.3</v>
      </c>
    </row>
    <row r="7335" spans="1:3" ht="15" customHeight="1" x14ac:dyDescent="0.25">
      <c r="A7335" t="s">
        <v>9515</v>
      </c>
      <c r="B7335">
        <v>73.3</v>
      </c>
      <c r="C7335">
        <v>0.3</v>
      </c>
    </row>
    <row r="7336" spans="1:3" ht="15" customHeight="1" x14ac:dyDescent="0.25">
      <c r="A7336" t="s">
        <v>9516</v>
      </c>
      <c r="B7336">
        <v>73.3</v>
      </c>
    </row>
    <row r="7337" spans="1:3" ht="15" customHeight="1" x14ac:dyDescent="0.25">
      <c r="A7337" t="s">
        <v>9517</v>
      </c>
      <c r="B7337">
        <v>73.3</v>
      </c>
    </row>
    <row r="7338" spans="1:3" ht="15" customHeight="1" x14ac:dyDescent="0.25">
      <c r="A7338" t="s">
        <v>9518</v>
      </c>
      <c r="B7338">
        <v>73.3</v>
      </c>
    </row>
    <row r="7339" spans="1:3" ht="15" customHeight="1" x14ac:dyDescent="0.25">
      <c r="A7339" t="s">
        <v>9519</v>
      </c>
      <c r="B7339">
        <v>73.3</v>
      </c>
    </row>
    <row r="7340" spans="1:3" ht="15" customHeight="1" x14ac:dyDescent="0.25">
      <c r="A7340" t="s">
        <v>9520</v>
      </c>
      <c r="B7340">
        <v>73.3</v>
      </c>
    </row>
    <row r="7341" spans="1:3" ht="15" customHeight="1" x14ac:dyDescent="0.25">
      <c r="A7341" t="s">
        <v>9521</v>
      </c>
      <c r="B7341">
        <v>73.3</v>
      </c>
    </row>
    <row r="7342" spans="1:3" ht="15" customHeight="1" x14ac:dyDescent="0.25">
      <c r="A7342" t="s">
        <v>9522</v>
      </c>
      <c r="B7342">
        <v>73.3</v>
      </c>
    </row>
    <row r="7343" spans="1:3" ht="15" customHeight="1" x14ac:dyDescent="0.25">
      <c r="A7343" t="s">
        <v>9523</v>
      </c>
      <c r="B7343">
        <v>65.099999999999994</v>
      </c>
    </row>
    <row r="7344" spans="1:3" ht="15" customHeight="1" x14ac:dyDescent="0.25">
      <c r="A7344" t="s">
        <v>9524</v>
      </c>
      <c r="B7344">
        <v>65.099999999999994</v>
      </c>
    </row>
    <row r="7345" spans="1:3" ht="15" customHeight="1" x14ac:dyDescent="0.25">
      <c r="A7345" t="s">
        <v>9525</v>
      </c>
      <c r="B7345">
        <v>65.099999999999994</v>
      </c>
      <c r="C7345">
        <v>0.3</v>
      </c>
    </row>
    <row r="7346" spans="1:3" ht="15" customHeight="1" x14ac:dyDescent="0.25">
      <c r="A7346" t="s">
        <v>9526</v>
      </c>
      <c r="B7346">
        <v>65.099999999999994</v>
      </c>
    </row>
    <row r="7347" spans="1:3" ht="15" customHeight="1" x14ac:dyDescent="0.25">
      <c r="A7347" t="s">
        <v>9527</v>
      </c>
      <c r="B7347">
        <v>65.099999999999994</v>
      </c>
      <c r="C7347">
        <v>0.3</v>
      </c>
    </row>
    <row r="7348" spans="1:3" ht="15" customHeight="1" x14ac:dyDescent="0.25">
      <c r="A7348" t="s">
        <v>9528</v>
      </c>
      <c r="B7348">
        <v>65.099999999999994</v>
      </c>
    </row>
    <row r="7349" spans="1:3" ht="15" customHeight="1" x14ac:dyDescent="0.25">
      <c r="A7349" t="s">
        <v>9529</v>
      </c>
      <c r="B7349">
        <v>65.099999999999994</v>
      </c>
    </row>
    <row r="7350" spans="1:3" ht="15" customHeight="1" x14ac:dyDescent="0.25">
      <c r="A7350" t="s">
        <v>9530</v>
      </c>
      <c r="B7350">
        <v>65.099999999999994</v>
      </c>
    </row>
    <row r="7351" spans="1:3" ht="15" customHeight="1" x14ac:dyDescent="0.25">
      <c r="A7351" t="s">
        <v>9531</v>
      </c>
      <c r="B7351">
        <v>17.100000000000001</v>
      </c>
      <c r="C7351">
        <v>0.3</v>
      </c>
    </row>
    <row r="7352" spans="1:3" ht="15" customHeight="1" x14ac:dyDescent="0.25">
      <c r="A7352" t="s">
        <v>9532</v>
      </c>
      <c r="B7352">
        <v>17.100000000000001</v>
      </c>
      <c r="C7352">
        <v>0.3</v>
      </c>
    </row>
    <row r="7353" spans="1:3" ht="15" customHeight="1" x14ac:dyDescent="0.25">
      <c r="A7353" t="s">
        <v>9533</v>
      </c>
      <c r="B7353">
        <v>17.100000000000001</v>
      </c>
      <c r="C7353">
        <v>0.3</v>
      </c>
    </row>
    <row r="7354" spans="1:3" ht="15" customHeight="1" x14ac:dyDescent="0.25">
      <c r="A7354" t="s">
        <v>9534</v>
      </c>
      <c r="B7354">
        <v>17.100000000000001</v>
      </c>
      <c r="C7354">
        <v>0.3</v>
      </c>
    </row>
    <row r="7355" spans="1:3" ht="15" customHeight="1" x14ac:dyDescent="0.25">
      <c r="A7355" t="s">
        <v>9535</v>
      </c>
      <c r="B7355">
        <v>17.100000000000001</v>
      </c>
      <c r="C7355">
        <v>0.3</v>
      </c>
    </row>
    <row r="7356" spans="1:3" ht="15" customHeight="1" x14ac:dyDescent="0.25">
      <c r="A7356" t="s">
        <v>9536</v>
      </c>
      <c r="B7356">
        <v>17.100000000000001</v>
      </c>
      <c r="C7356">
        <v>0.3</v>
      </c>
    </row>
    <row r="7357" spans="1:3" ht="15" customHeight="1" x14ac:dyDescent="0.25">
      <c r="A7357" t="s">
        <v>9537</v>
      </c>
      <c r="B7357">
        <v>17.100000000000001</v>
      </c>
      <c r="C7357">
        <v>0.3</v>
      </c>
    </row>
    <row r="7358" spans="1:3" ht="15" customHeight="1" x14ac:dyDescent="0.25">
      <c r="A7358" t="s">
        <v>9538</v>
      </c>
      <c r="B7358">
        <v>17.100000000000001</v>
      </c>
      <c r="C7358">
        <v>0.3</v>
      </c>
    </row>
    <row r="7359" spans="1:3" ht="15" customHeight="1" x14ac:dyDescent="0.25">
      <c r="A7359" t="s">
        <v>9539</v>
      </c>
      <c r="B7359">
        <v>17.100000000000001</v>
      </c>
      <c r="C7359">
        <v>0.3</v>
      </c>
    </row>
    <row r="7360" spans="1:3" ht="15" customHeight="1" x14ac:dyDescent="0.25">
      <c r="A7360" t="s">
        <v>9540</v>
      </c>
      <c r="B7360">
        <v>17.100000000000001</v>
      </c>
      <c r="C7360">
        <v>0.3</v>
      </c>
    </row>
    <row r="7361" spans="1:3" ht="15" customHeight="1" x14ac:dyDescent="0.25">
      <c r="A7361" t="s">
        <v>9541</v>
      </c>
      <c r="B7361">
        <v>17.100000000000001</v>
      </c>
      <c r="C7361">
        <v>0.3</v>
      </c>
    </row>
    <row r="7362" spans="1:3" ht="15" customHeight="1" x14ac:dyDescent="0.25">
      <c r="A7362" t="s">
        <v>9542</v>
      </c>
      <c r="B7362">
        <v>17.100000000000001</v>
      </c>
      <c r="C7362">
        <v>0.3</v>
      </c>
    </row>
    <row r="7363" spans="1:3" ht="15" customHeight="1" x14ac:dyDescent="0.25">
      <c r="A7363" t="s">
        <v>9543</v>
      </c>
      <c r="B7363">
        <v>17.100000000000001</v>
      </c>
      <c r="C7363">
        <v>0.3</v>
      </c>
    </row>
    <row r="7364" spans="1:3" ht="15" customHeight="1" x14ac:dyDescent="0.25">
      <c r="A7364" t="s">
        <v>9544</v>
      </c>
      <c r="B7364">
        <v>17.100000000000001</v>
      </c>
      <c r="C7364">
        <v>0.3</v>
      </c>
    </row>
    <row r="7365" spans="1:3" ht="15" customHeight="1" x14ac:dyDescent="0.25">
      <c r="A7365" t="s">
        <v>9545</v>
      </c>
      <c r="B7365">
        <v>17.100000000000001</v>
      </c>
      <c r="C7365">
        <v>0.3</v>
      </c>
    </row>
    <row r="7366" spans="1:3" ht="15" customHeight="1" x14ac:dyDescent="0.25">
      <c r="A7366" t="s">
        <v>9546</v>
      </c>
      <c r="B7366">
        <v>17.100000000000001</v>
      </c>
      <c r="C7366">
        <v>0.3</v>
      </c>
    </row>
    <row r="7367" spans="1:3" ht="15" customHeight="1" x14ac:dyDescent="0.25">
      <c r="A7367" t="s">
        <v>9547</v>
      </c>
      <c r="B7367">
        <v>17.100000000000001</v>
      </c>
      <c r="C7367">
        <v>0.3</v>
      </c>
    </row>
    <row r="7368" spans="1:3" ht="15" customHeight="1" x14ac:dyDescent="0.25">
      <c r="A7368" t="s">
        <v>9548</v>
      </c>
      <c r="B7368">
        <v>17.100000000000001</v>
      </c>
      <c r="C7368">
        <v>0.3</v>
      </c>
    </row>
    <row r="7369" spans="1:3" ht="15" customHeight="1" x14ac:dyDescent="0.25">
      <c r="A7369" t="s">
        <v>9549</v>
      </c>
      <c r="B7369">
        <v>20.100000000000001</v>
      </c>
      <c r="C7369">
        <v>0.3</v>
      </c>
    </row>
    <row r="7370" spans="1:3" ht="15" customHeight="1" x14ac:dyDescent="0.25">
      <c r="A7370" t="s">
        <v>9550</v>
      </c>
      <c r="B7370">
        <v>20.100000000000001</v>
      </c>
      <c r="C7370">
        <v>0.3</v>
      </c>
    </row>
    <row r="7371" spans="1:3" ht="15" customHeight="1" x14ac:dyDescent="0.25">
      <c r="A7371" t="s">
        <v>9551</v>
      </c>
      <c r="B7371">
        <v>20.100000000000001</v>
      </c>
      <c r="C7371">
        <v>0.3</v>
      </c>
    </row>
    <row r="7372" spans="1:3" ht="15" customHeight="1" x14ac:dyDescent="0.25">
      <c r="A7372" t="s">
        <v>9552</v>
      </c>
      <c r="B7372">
        <v>20.100000000000001</v>
      </c>
      <c r="C7372">
        <v>0.3</v>
      </c>
    </row>
    <row r="7373" spans="1:3" ht="15" customHeight="1" x14ac:dyDescent="0.25">
      <c r="A7373" t="s">
        <v>9553</v>
      </c>
      <c r="B7373">
        <v>20.100000000000001</v>
      </c>
      <c r="C7373">
        <v>0.3</v>
      </c>
    </row>
    <row r="7374" spans="1:3" ht="15" customHeight="1" x14ac:dyDescent="0.25">
      <c r="A7374" t="s">
        <v>9554</v>
      </c>
      <c r="B7374">
        <v>20.100000000000001</v>
      </c>
      <c r="C7374">
        <v>0.3</v>
      </c>
    </row>
    <row r="7375" spans="1:3" ht="15" customHeight="1" x14ac:dyDescent="0.25">
      <c r="A7375" t="s">
        <v>9555</v>
      </c>
      <c r="B7375">
        <v>20.100000000000001</v>
      </c>
      <c r="C7375">
        <v>0.3</v>
      </c>
    </row>
    <row r="7376" spans="1:3" ht="15" customHeight="1" x14ac:dyDescent="0.25">
      <c r="A7376" t="s">
        <v>9556</v>
      </c>
      <c r="B7376">
        <v>20.100000000000001</v>
      </c>
      <c r="C7376">
        <v>0.3</v>
      </c>
    </row>
    <row r="7377" spans="1:3" ht="15" customHeight="1" x14ac:dyDescent="0.25">
      <c r="A7377" t="s">
        <v>9557</v>
      </c>
      <c r="B7377">
        <v>20.100000000000001</v>
      </c>
      <c r="C7377">
        <v>0.3</v>
      </c>
    </row>
    <row r="7378" spans="1:3" ht="15" customHeight="1" x14ac:dyDescent="0.25">
      <c r="A7378" t="s">
        <v>9558</v>
      </c>
      <c r="B7378">
        <v>20.100000000000001</v>
      </c>
      <c r="C7378">
        <v>0.3</v>
      </c>
    </row>
    <row r="7379" spans="1:3" ht="15" customHeight="1" x14ac:dyDescent="0.25">
      <c r="A7379" t="s">
        <v>9559</v>
      </c>
      <c r="B7379">
        <v>20.100000000000001</v>
      </c>
      <c r="C7379">
        <v>0.3</v>
      </c>
    </row>
    <row r="7380" spans="1:3" ht="15" customHeight="1" x14ac:dyDescent="0.25">
      <c r="A7380" t="s">
        <v>9560</v>
      </c>
      <c r="B7380">
        <v>20.100000000000001</v>
      </c>
      <c r="C7380">
        <v>0.3</v>
      </c>
    </row>
    <row r="7381" spans="1:3" ht="15" customHeight="1" x14ac:dyDescent="0.25">
      <c r="A7381" t="s">
        <v>9561</v>
      </c>
      <c r="B7381">
        <v>20.100000000000001</v>
      </c>
      <c r="C7381">
        <v>0.3</v>
      </c>
    </row>
    <row r="7382" spans="1:3" ht="15" customHeight="1" x14ac:dyDescent="0.25">
      <c r="A7382" t="s">
        <v>9562</v>
      </c>
      <c r="B7382">
        <v>20.100000000000001</v>
      </c>
      <c r="C7382">
        <v>0.3</v>
      </c>
    </row>
    <row r="7383" spans="1:3" ht="15" customHeight="1" x14ac:dyDescent="0.25">
      <c r="A7383" t="s">
        <v>9563</v>
      </c>
      <c r="B7383">
        <v>20.100000000000001</v>
      </c>
      <c r="C7383">
        <v>0.3</v>
      </c>
    </row>
    <row r="7384" spans="1:3" ht="15" customHeight="1" x14ac:dyDescent="0.25">
      <c r="A7384" t="s">
        <v>9564</v>
      </c>
      <c r="B7384">
        <v>20.100000000000001</v>
      </c>
      <c r="C7384">
        <v>0.3</v>
      </c>
    </row>
    <row r="7385" spans="1:3" ht="15" customHeight="1" x14ac:dyDescent="0.25">
      <c r="A7385" t="s">
        <v>9565</v>
      </c>
      <c r="B7385">
        <v>20.100000000000001</v>
      </c>
      <c r="C7385">
        <v>0.3</v>
      </c>
    </row>
    <row r="7386" spans="1:3" ht="15" customHeight="1" x14ac:dyDescent="0.25">
      <c r="A7386" t="s">
        <v>9566</v>
      </c>
      <c r="B7386">
        <v>20.100000000000001</v>
      </c>
      <c r="C7386">
        <v>0.3</v>
      </c>
    </row>
    <row r="7387" spans="1:3" ht="15" customHeight="1" x14ac:dyDescent="0.25">
      <c r="A7387" t="s">
        <v>9567</v>
      </c>
      <c r="B7387">
        <v>20.100000000000001</v>
      </c>
      <c r="C7387">
        <v>0.3</v>
      </c>
    </row>
    <row r="7388" spans="1:3" ht="15" customHeight="1" x14ac:dyDescent="0.25">
      <c r="A7388" t="s">
        <v>9568</v>
      </c>
      <c r="B7388">
        <v>20.100000000000001</v>
      </c>
      <c r="C7388">
        <v>0.3</v>
      </c>
    </row>
    <row r="7389" spans="1:3" ht="15" customHeight="1" x14ac:dyDescent="0.25">
      <c r="A7389" t="s">
        <v>9569</v>
      </c>
      <c r="B7389">
        <v>20.100000000000001</v>
      </c>
      <c r="C7389">
        <v>0.3</v>
      </c>
    </row>
    <row r="7390" spans="1:3" ht="15" customHeight="1" x14ac:dyDescent="0.25">
      <c r="A7390" t="s">
        <v>9570</v>
      </c>
      <c r="B7390">
        <v>20.100000000000001</v>
      </c>
      <c r="C7390">
        <v>0.3</v>
      </c>
    </row>
    <row r="7391" spans="1:3" ht="15" customHeight="1" x14ac:dyDescent="0.25">
      <c r="A7391" t="s">
        <v>9571</v>
      </c>
      <c r="B7391">
        <v>20.100000000000001</v>
      </c>
      <c r="C7391">
        <v>0.3</v>
      </c>
    </row>
    <row r="7392" spans="1:3" ht="15" customHeight="1" x14ac:dyDescent="0.25">
      <c r="A7392" t="s">
        <v>9572</v>
      </c>
      <c r="B7392">
        <v>23.9</v>
      </c>
      <c r="C7392">
        <v>0.3</v>
      </c>
    </row>
    <row r="7393" spans="1:3" ht="15" customHeight="1" x14ac:dyDescent="0.25">
      <c r="A7393" t="s">
        <v>9573</v>
      </c>
      <c r="B7393">
        <v>23.9</v>
      </c>
      <c r="C7393">
        <v>0.3</v>
      </c>
    </row>
    <row r="7394" spans="1:3" ht="15" customHeight="1" x14ac:dyDescent="0.25">
      <c r="A7394" t="s">
        <v>9574</v>
      </c>
      <c r="B7394">
        <v>23.9</v>
      </c>
      <c r="C7394">
        <v>0.3</v>
      </c>
    </row>
    <row r="7395" spans="1:3" ht="15" customHeight="1" x14ac:dyDescent="0.25">
      <c r="A7395" t="s">
        <v>9575</v>
      </c>
      <c r="B7395">
        <v>23.9</v>
      </c>
      <c r="C7395">
        <v>0.3</v>
      </c>
    </row>
    <row r="7396" spans="1:3" ht="15" customHeight="1" x14ac:dyDescent="0.25">
      <c r="A7396" t="s">
        <v>9576</v>
      </c>
      <c r="B7396">
        <v>23.9</v>
      </c>
      <c r="C7396">
        <v>0.3</v>
      </c>
    </row>
    <row r="7397" spans="1:3" ht="15" customHeight="1" x14ac:dyDescent="0.25">
      <c r="A7397" t="s">
        <v>9577</v>
      </c>
      <c r="B7397">
        <v>23.9</v>
      </c>
      <c r="C7397">
        <v>0.3</v>
      </c>
    </row>
    <row r="7398" spans="1:3" ht="15" customHeight="1" x14ac:dyDescent="0.25">
      <c r="A7398" t="s">
        <v>9578</v>
      </c>
      <c r="B7398">
        <v>23.9</v>
      </c>
      <c r="C7398">
        <v>0.3</v>
      </c>
    </row>
    <row r="7399" spans="1:3" ht="15" customHeight="1" x14ac:dyDescent="0.25">
      <c r="A7399" t="s">
        <v>9579</v>
      </c>
      <c r="B7399">
        <v>23.9</v>
      </c>
      <c r="C7399">
        <v>0.3</v>
      </c>
    </row>
    <row r="7400" spans="1:3" ht="15" customHeight="1" x14ac:dyDescent="0.25">
      <c r="A7400" t="s">
        <v>9580</v>
      </c>
      <c r="B7400">
        <v>23.9</v>
      </c>
      <c r="C7400">
        <v>0.3</v>
      </c>
    </row>
    <row r="7401" spans="1:3" ht="15" customHeight="1" x14ac:dyDescent="0.25">
      <c r="A7401" t="s">
        <v>9581</v>
      </c>
      <c r="B7401">
        <v>23.9</v>
      </c>
      <c r="C7401">
        <v>0.3</v>
      </c>
    </row>
    <row r="7402" spans="1:3" ht="15" customHeight="1" x14ac:dyDescent="0.25">
      <c r="A7402" t="s">
        <v>9582</v>
      </c>
      <c r="B7402">
        <v>23.9</v>
      </c>
      <c r="C7402">
        <v>0.3</v>
      </c>
    </row>
    <row r="7403" spans="1:3" ht="15" customHeight="1" x14ac:dyDescent="0.25">
      <c r="A7403" t="s">
        <v>9583</v>
      </c>
      <c r="B7403">
        <v>23.9</v>
      </c>
      <c r="C7403">
        <v>0.3</v>
      </c>
    </row>
    <row r="7404" spans="1:3" ht="15" customHeight="1" x14ac:dyDescent="0.25">
      <c r="A7404" t="s">
        <v>9584</v>
      </c>
      <c r="B7404">
        <v>23.9</v>
      </c>
      <c r="C7404">
        <v>0.3</v>
      </c>
    </row>
    <row r="7405" spans="1:3" ht="15" customHeight="1" x14ac:dyDescent="0.25">
      <c r="A7405" t="s">
        <v>9585</v>
      </c>
      <c r="B7405">
        <v>23.9</v>
      </c>
      <c r="C7405">
        <v>0.3</v>
      </c>
    </row>
    <row r="7406" spans="1:3" ht="15" customHeight="1" x14ac:dyDescent="0.25">
      <c r="A7406" t="s">
        <v>9586</v>
      </c>
      <c r="B7406">
        <v>24.4</v>
      </c>
      <c r="C7406">
        <v>0.3</v>
      </c>
    </row>
    <row r="7407" spans="1:3" ht="15" customHeight="1" x14ac:dyDescent="0.25">
      <c r="A7407" t="s">
        <v>9587</v>
      </c>
      <c r="B7407">
        <v>24.4</v>
      </c>
      <c r="C7407">
        <v>0.3</v>
      </c>
    </row>
    <row r="7408" spans="1:3" ht="15" customHeight="1" x14ac:dyDescent="0.25">
      <c r="A7408" t="s">
        <v>9588</v>
      </c>
      <c r="B7408">
        <v>24.4</v>
      </c>
      <c r="C7408">
        <v>0.3</v>
      </c>
    </row>
    <row r="7409" spans="1:3" ht="15" customHeight="1" x14ac:dyDescent="0.25">
      <c r="A7409" t="s">
        <v>9589</v>
      </c>
      <c r="B7409">
        <v>24.4</v>
      </c>
      <c r="C7409">
        <v>0.3</v>
      </c>
    </row>
    <row r="7410" spans="1:3" ht="15" customHeight="1" x14ac:dyDescent="0.25">
      <c r="A7410" t="s">
        <v>9590</v>
      </c>
      <c r="B7410">
        <v>24.4</v>
      </c>
      <c r="C7410">
        <v>0.3</v>
      </c>
    </row>
    <row r="7411" spans="1:3" ht="15" customHeight="1" x14ac:dyDescent="0.25">
      <c r="A7411" t="s">
        <v>9591</v>
      </c>
      <c r="B7411">
        <v>24.4</v>
      </c>
      <c r="C7411">
        <v>0.3</v>
      </c>
    </row>
    <row r="7412" spans="1:3" ht="15" customHeight="1" x14ac:dyDescent="0.25">
      <c r="A7412" t="s">
        <v>9592</v>
      </c>
      <c r="B7412">
        <v>24.4</v>
      </c>
      <c r="C7412">
        <v>0.3</v>
      </c>
    </row>
    <row r="7413" spans="1:3" ht="15" customHeight="1" x14ac:dyDescent="0.25">
      <c r="A7413" t="s">
        <v>9593</v>
      </c>
      <c r="B7413">
        <v>24.4</v>
      </c>
      <c r="C7413">
        <v>0.3</v>
      </c>
    </row>
    <row r="7414" spans="1:3" ht="15" customHeight="1" x14ac:dyDescent="0.25">
      <c r="A7414" t="s">
        <v>9594</v>
      </c>
      <c r="B7414">
        <v>24.4</v>
      </c>
      <c r="C7414">
        <v>0.3</v>
      </c>
    </row>
    <row r="7415" spans="1:3" ht="15" customHeight="1" x14ac:dyDescent="0.25">
      <c r="A7415" t="s">
        <v>9595</v>
      </c>
      <c r="B7415">
        <v>24.4</v>
      </c>
      <c r="C7415">
        <v>0.3</v>
      </c>
    </row>
    <row r="7416" spans="1:3" ht="15" customHeight="1" x14ac:dyDescent="0.25">
      <c r="A7416" t="s">
        <v>9596</v>
      </c>
      <c r="B7416">
        <v>24.4</v>
      </c>
      <c r="C7416">
        <v>0.3</v>
      </c>
    </row>
    <row r="7417" spans="1:3" ht="15" customHeight="1" x14ac:dyDescent="0.25">
      <c r="A7417" t="s">
        <v>9597</v>
      </c>
      <c r="B7417">
        <v>24.4</v>
      </c>
      <c r="C7417">
        <v>0.3</v>
      </c>
    </row>
    <row r="7418" spans="1:3" ht="15" customHeight="1" x14ac:dyDescent="0.25">
      <c r="A7418" t="s">
        <v>9598</v>
      </c>
      <c r="B7418">
        <v>24.4</v>
      </c>
      <c r="C7418">
        <v>0.3</v>
      </c>
    </row>
    <row r="7419" spans="1:3" ht="15" customHeight="1" x14ac:dyDescent="0.25">
      <c r="A7419" t="s">
        <v>9599</v>
      </c>
      <c r="B7419">
        <v>24.4</v>
      </c>
      <c r="C7419">
        <v>0.3</v>
      </c>
    </row>
    <row r="7420" spans="1:3" ht="15" customHeight="1" x14ac:dyDescent="0.25">
      <c r="A7420" t="s">
        <v>9600</v>
      </c>
      <c r="B7420">
        <v>24.4</v>
      </c>
      <c r="C7420">
        <v>0.3</v>
      </c>
    </row>
    <row r="7421" spans="1:3" ht="15" customHeight="1" x14ac:dyDescent="0.25">
      <c r="A7421" t="s">
        <v>9601</v>
      </c>
      <c r="B7421">
        <v>24.4</v>
      </c>
      <c r="C7421">
        <v>0.3</v>
      </c>
    </row>
    <row r="7422" spans="1:3" ht="15" customHeight="1" x14ac:dyDescent="0.25">
      <c r="A7422" t="s">
        <v>9602</v>
      </c>
      <c r="B7422">
        <v>24.4</v>
      </c>
      <c r="C7422">
        <v>0.3</v>
      </c>
    </row>
    <row r="7423" spans="1:3" ht="15" customHeight="1" x14ac:dyDescent="0.25">
      <c r="A7423" t="s">
        <v>9603</v>
      </c>
      <c r="B7423">
        <v>24.4</v>
      </c>
      <c r="C7423">
        <v>0.3</v>
      </c>
    </row>
    <row r="7424" spans="1:3" ht="15" customHeight="1" x14ac:dyDescent="0.25">
      <c r="A7424" t="s">
        <v>9604</v>
      </c>
      <c r="B7424">
        <v>17.3</v>
      </c>
      <c r="C7424">
        <v>0.3</v>
      </c>
    </row>
    <row r="7425" spans="1:3" ht="15" customHeight="1" x14ac:dyDescent="0.25">
      <c r="A7425" t="s">
        <v>755</v>
      </c>
      <c r="B7425">
        <v>17.3</v>
      </c>
      <c r="C7425">
        <v>0.3</v>
      </c>
    </row>
    <row r="7426" spans="1:3" ht="15" customHeight="1" x14ac:dyDescent="0.25">
      <c r="A7426" t="s">
        <v>9605</v>
      </c>
      <c r="B7426">
        <v>17.3</v>
      </c>
      <c r="C7426">
        <v>0.3</v>
      </c>
    </row>
    <row r="7427" spans="1:3" ht="15" customHeight="1" x14ac:dyDescent="0.25">
      <c r="A7427" t="s">
        <v>9606</v>
      </c>
      <c r="B7427">
        <v>17.3</v>
      </c>
      <c r="C7427">
        <v>0.3</v>
      </c>
    </row>
    <row r="7428" spans="1:3" ht="15" customHeight="1" x14ac:dyDescent="0.25">
      <c r="A7428" t="s">
        <v>9607</v>
      </c>
      <c r="B7428">
        <v>17.3</v>
      </c>
      <c r="C7428">
        <v>0.3</v>
      </c>
    </row>
    <row r="7429" spans="1:3" ht="15" customHeight="1" x14ac:dyDescent="0.25">
      <c r="A7429" t="s">
        <v>9608</v>
      </c>
      <c r="B7429">
        <v>17.3</v>
      </c>
      <c r="C7429">
        <v>0.3</v>
      </c>
    </row>
    <row r="7430" spans="1:3" ht="15" customHeight="1" x14ac:dyDescent="0.25">
      <c r="A7430" t="s">
        <v>9609</v>
      </c>
      <c r="B7430">
        <v>17.3</v>
      </c>
      <c r="C7430">
        <v>0.3</v>
      </c>
    </row>
    <row r="7431" spans="1:3" ht="15" customHeight="1" x14ac:dyDescent="0.25">
      <c r="A7431" t="s">
        <v>9610</v>
      </c>
      <c r="B7431">
        <v>17.3</v>
      </c>
      <c r="C7431">
        <v>0.3</v>
      </c>
    </row>
    <row r="7432" spans="1:3" ht="15" customHeight="1" x14ac:dyDescent="0.25">
      <c r="A7432" t="s">
        <v>9611</v>
      </c>
      <c r="B7432">
        <v>17.3</v>
      </c>
      <c r="C7432">
        <v>0.3</v>
      </c>
    </row>
    <row r="7433" spans="1:3" ht="15" customHeight="1" x14ac:dyDescent="0.25">
      <c r="A7433" t="s">
        <v>473</v>
      </c>
      <c r="B7433">
        <v>17.3</v>
      </c>
      <c r="C7433">
        <v>0.3</v>
      </c>
    </row>
    <row r="7434" spans="1:3" ht="15" customHeight="1" x14ac:dyDescent="0.25">
      <c r="A7434" t="s">
        <v>9612</v>
      </c>
      <c r="B7434">
        <v>17.3</v>
      </c>
      <c r="C7434">
        <v>0.3</v>
      </c>
    </row>
    <row r="7435" spans="1:3" ht="15" customHeight="1" x14ac:dyDescent="0.25">
      <c r="A7435" t="s">
        <v>9613</v>
      </c>
      <c r="B7435">
        <v>20.8</v>
      </c>
      <c r="C7435">
        <v>0.3</v>
      </c>
    </row>
    <row r="7436" spans="1:3" ht="15" customHeight="1" x14ac:dyDescent="0.25">
      <c r="A7436" t="s">
        <v>9614</v>
      </c>
      <c r="B7436">
        <v>20.8</v>
      </c>
      <c r="C7436">
        <v>0.3</v>
      </c>
    </row>
    <row r="7437" spans="1:3" ht="15" customHeight="1" x14ac:dyDescent="0.25">
      <c r="A7437" t="s">
        <v>9615</v>
      </c>
      <c r="B7437">
        <v>20.8</v>
      </c>
      <c r="C7437">
        <v>0.3</v>
      </c>
    </row>
    <row r="7438" spans="1:3" ht="15" customHeight="1" x14ac:dyDescent="0.25">
      <c r="A7438" t="s">
        <v>9616</v>
      </c>
      <c r="B7438">
        <v>20.8</v>
      </c>
      <c r="C7438">
        <v>0.3</v>
      </c>
    </row>
    <row r="7439" spans="1:3" ht="15" customHeight="1" x14ac:dyDescent="0.25">
      <c r="A7439" t="s">
        <v>9617</v>
      </c>
      <c r="B7439">
        <v>20.8</v>
      </c>
      <c r="C7439">
        <v>0.3</v>
      </c>
    </row>
    <row r="7440" spans="1:3" ht="15" customHeight="1" x14ac:dyDescent="0.25">
      <c r="A7440" t="s">
        <v>9618</v>
      </c>
      <c r="B7440">
        <v>20.8</v>
      </c>
      <c r="C7440">
        <v>0.3</v>
      </c>
    </row>
    <row r="7441" spans="1:3" ht="15" customHeight="1" x14ac:dyDescent="0.25">
      <c r="A7441" t="s">
        <v>9619</v>
      </c>
      <c r="B7441">
        <v>20.8</v>
      </c>
      <c r="C7441">
        <v>0.3</v>
      </c>
    </row>
    <row r="7442" spans="1:3" ht="15" customHeight="1" x14ac:dyDescent="0.25">
      <c r="A7442" t="s">
        <v>1083</v>
      </c>
      <c r="B7442">
        <v>20.8</v>
      </c>
      <c r="C7442">
        <v>0.3</v>
      </c>
    </row>
    <row r="7443" spans="1:3" ht="15" customHeight="1" x14ac:dyDescent="0.25">
      <c r="A7443" t="s">
        <v>9620</v>
      </c>
      <c r="B7443">
        <v>20.8</v>
      </c>
      <c r="C7443">
        <v>0.3</v>
      </c>
    </row>
    <row r="7444" spans="1:3" ht="15" customHeight="1" x14ac:dyDescent="0.25">
      <c r="A7444" t="s">
        <v>9621</v>
      </c>
      <c r="B7444">
        <v>20.8</v>
      </c>
      <c r="C7444">
        <v>0.3</v>
      </c>
    </row>
    <row r="7445" spans="1:3" ht="15" customHeight="1" x14ac:dyDescent="0.25">
      <c r="A7445" t="s">
        <v>9622</v>
      </c>
      <c r="B7445">
        <v>19.8</v>
      </c>
      <c r="C7445">
        <v>0.15</v>
      </c>
    </row>
    <row r="7446" spans="1:3" ht="15" customHeight="1" x14ac:dyDescent="0.25">
      <c r="A7446" t="s">
        <v>9623</v>
      </c>
      <c r="B7446">
        <v>19.8</v>
      </c>
      <c r="C7446">
        <v>0.15</v>
      </c>
    </row>
    <row r="7447" spans="1:3" ht="15" customHeight="1" x14ac:dyDescent="0.25">
      <c r="A7447" t="s">
        <v>9624</v>
      </c>
      <c r="B7447">
        <v>19.8</v>
      </c>
      <c r="C7447">
        <v>0.15</v>
      </c>
    </row>
    <row r="7448" spans="1:3" ht="15" customHeight="1" x14ac:dyDescent="0.25">
      <c r="A7448" t="s">
        <v>9625</v>
      </c>
      <c r="B7448">
        <v>19.8</v>
      </c>
      <c r="C7448">
        <v>0.15</v>
      </c>
    </row>
    <row r="7449" spans="1:3" ht="15" customHeight="1" x14ac:dyDescent="0.25">
      <c r="A7449" t="s">
        <v>9626</v>
      </c>
      <c r="B7449">
        <v>16.100000000000001</v>
      </c>
      <c r="C7449">
        <v>0.15</v>
      </c>
    </row>
    <row r="7450" spans="1:3" ht="15" customHeight="1" x14ac:dyDescent="0.25">
      <c r="A7450" t="s">
        <v>9627</v>
      </c>
      <c r="B7450">
        <v>16.100000000000001</v>
      </c>
      <c r="C7450">
        <v>0.15</v>
      </c>
    </row>
    <row r="7451" spans="1:3" ht="15" customHeight="1" x14ac:dyDescent="0.25">
      <c r="A7451" t="s">
        <v>9628</v>
      </c>
      <c r="B7451">
        <v>16.100000000000001</v>
      </c>
      <c r="C7451">
        <v>0.15</v>
      </c>
    </row>
    <row r="7452" spans="1:3" ht="15" customHeight="1" x14ac:dyDescent="0.25">
      <c r="A7452" t="s">
        <v>9629</v>
      </c>
      <c r="B7452">
        <v>16.100000000000001</v>
      </c>
      <c r="C7452">
        <v>0.15</v>
      </c>
    </row>
    <row r="7453" spans="1:3" ht="15" customHeight="1" x14ac:dyDescent="0.25">
      <c r="A7453" t="s">
        <v>9630</v>
      </c>
      <c r="B7453">
        <v>17</v>
      </c>
      <c r="C7453">
        <v>0.3</v>
      </c>
    </row>
    <row r="7454" spans="1:3" ht="15" customHeight="1" x14ac:dyDescent="0.25">
      <c r="A7454" t="s">
        <v>9631</v>
      </c>
      <c r="B7454">
        <v>8.8000000000000007</v>
      </c>
    </row>
    <row r="7455" spans="1:3" ht="15" customHeight="1" x14ac:dyDescent="0.25">
      <c r="A7455" t="s">
        <v>9632</v>
      </c>
      <c r="B7455">
        <v>8.8000000000000007</v>
      </c>
    </row>
    <row r="7456" spans="1:3" ht="15" customHeight="1" x14ac:dyDescent="0.25">
      <c r="A7456" t="s">
        <v>9633</v>
      </c>
      <c r="B7456">
        <v>9.6</v>
      </c>
      <c r="C7456">
        <v>0.3</v>
      </c>
    </row>
    <row r="7457" spans="1:3" ht="15" customHeight="1" x14ac:dyDescent="0.25">
      <c r="A7457" t="s">
        <v>9634</v>
      </c>
      <c r="B7457">
        <v>11.6</v>
      </c>
    </row>
    <row r="7458" spans="1:3" ht="15" customHeight="1" x14ac:dyDescent="0.25">
      <c r="A7458" t="s">
        <v>9635</v>
      </c>
      <c r="B7458">
        <v>10.9</v>
      </c>
    </row>
    <row r="7459" spans="1:3" ht="15" customHeight="1" x14ac:dyDescent="0.25">
      <c r="A7459" t="s">
        <v>9636</v>
      </c>
      <c r="B7459">
        <v>9.6</v>
      </c>
    </row>
    <row r="7460" spans="1:3" ht="15" customHeight="1" x14ac:dyDescent="0.25">
      <c r="A7460" t="s">
        <v>9637</v>
      </c>
      <c r="B7460">
        <v>9.6</v>
      </c>
    </row>
    <row r="7461" spans="1:3" ht="15" customHeight="1" x14ac:dyDescent="0.25">
      <c r="A7461" t="s">
        <v>9638</v>
      </c>
      <c r="B7461">
        <v>140</v>
      </c>
    </row>
    <row r="7462" spans="1:3" ht="15" customHeight="1" x14ac:dyDescent="0.25">
      <c r="A7462" t="s">
        <v>9639</v>
      </c>
      <c r="B7462">
        <v>140</v>
      </c>
    </row>
    <row r="7463" spans="1:3" ht="15" customHeight="1" x14ac:dyDescent="0.25">
      <c r="A7463" t="s">
        <v>9640</v>
      </c>
      <c r="B7463">
        <v>140</v>
      </c>
    </row>
    <row r="7464" spans="1:3" ht="15" customHeight="1" x14ac:dyDescent="0.25">
      <c r="A7464" t="s">
        <v>9641</v>
      </c>
      <c r="B7464">
        <v>42.4</v>
      </c>
    </row>
    <row r="7465" spans="1:3" ht="15" customHeight="1" x14ac:dyDescent="0.25">
      <c r="A7465" t="s">
        <v>9642</v>
      </c>
      <c r="B7465">
        <v>42.4</v>
      </c>
    </row>
    <row r="7466" spans="1:3" ht="15" customHeight="1" x14ac:dyDescent="0.25">
      <c r="A7466" t="s">
        <v>9643</v>
      </c>
      <c r="B7466">
        <v>24.4</v>
      </c>
      <c r="C7466">
        <v>0.25</v>
      </c>
    </row>
    <row r="7467" spans="1:3" ht="15" customHeight="1" x14ac:dyDescent="0.25">
      <c r="A7467" t="s">
        <v>9644</v>
      </c>
      <c r="B7467">
        <v>24.4</v>
      </c>
      <c r="C7467">
        <v>0.25</v>
      </c>
    </row>
    <row r="7468" spans="1:3" ht="15" customHeight="1" x14ac:dyDescent="0.25">
      <c r="A7468" t="s">
        <v>9645</v>
      </c>
      <c r="B7468">
        <v>24.4</v>
      </c>
    </row>
    <row r="7469" spans="1:3" ht="15" customHeight="1" x14ac:dyDescent="0.25">
      <c r="A7469" t="s">
        <v>9646</v>
      </c>
      <c r="B7469">
        <v>24.4</v>
      </c>
      <c r="C7469">
        <v>0.25</v>
      </c>
    </row>
    <row r="7470" spans="1:3" ht="15" customHeight="1" x14ac:dyDescent="0.25">
      <c r="A7470" t="s">
        <v>9647</v>
      </c>
      <c r="B7470">
        <v>14.6</v>
      </c>
      <c r="C7470">
        <v>0.25</v>
      </c>
    </row>
    <row r="7471" spans="1:3" ht="15" customHeight="1" x14ac:dyDescent="0.25">
      <c r="A7471" t="s">
        <v>9648</v>
      </c>
      <c r="B7471">
        <v>14.6</v>
      </c>
    </row>
    <row r="7472" spans="1:3" ht="15" customHeight="1" x14ac:dyDescent="0.25">
      <c r="A7472" t="s">
        <v>9649</v>
      </c>
      <c r="B7472">
        <v>14.6</v>
      </c>
    </row>
    <row r="7473" spans="1:3" ht="15" customHeight="1" x14ac:dyDescent="0.25">
      <c r="A7473" t="s">
        <v>9650</v>
      </c>
      <c r="B7473">
        <v>14.6</v>
      </c>
      <c r="C7473">
        <v>0.25</v>
      </c>
    </row>
    <row r="7474" spans="1:3" ht="15" customHeight="1" x14ac:dyDescent="0.25">
      <c r="A7474" t="s">
        <v>9651</v>
      </c>
      <c r="B7474">
        <v>14.6</v>
      </c>
      <c r="C7474">
        <v>0.25</v>
      </c>
    </row>
    <row r="7475" spans="1:3" ht="15" customHeight="1" x14ac:dyDescent="0.25">
      <c r="A7475" t="s">
        <v>9652</v>
      </c>
      <c r="B7475">
        <v>14.6</v>
      </c>
    </row>
    <row r="7476" spans="1:3" ht="15" customHeight="1" x14ac:dyDescent="0.25">
      <c r="A7476" t="s">
        <v>9653</v>
      </c>
      <c r="B7476">
        <v>14.6</v>
      </c>
      <c r="C7476">
        <v>0.25</v>
      </c>
    </row>
    <row r="7477" spans="1:3" ht="15" customHeight="1" x14ac:dyDescent="0.25">
      <c r="A7477" t="s">
        <v>9654</v>
      </c>
      <c r="B7477">
        <v>14.6</v>
      </c>
      <c r="C7477">
        <v>0.25</v>
      </c>
    </row>
    <row r="7478" spans="1:3" ht="15" customHeight="1" x14ac:dyDescent="0.25">
      <c r="A7478" t="s">
        <v>9655</v>
      </c>
      <c r="B7478">
        <v>41.8</v>
      </c>
    </row>
    <row r="7479" spans="1:3" ht="15" customHeight="1" x14ac:dyDescent="0.25">
      <c r="A7479" t="s">
        <v>9656</v>
      </c>
      <c r="B7479">
        <v>34.5</v>
      </c>
    </row>
    <row r="7480" spans="1:3" ht="15" customHeight="1" x14ac:dyDescent="0.25">
      <c r="A7480" t="s">
        <v>9657</v>
      </c>
      <c r="B7480">
        <v>34.5</v>
      </c>
    </row>
    <row r="7481" spans="1:3" ht="15" customHeight="1" x14ac:dyDescent="0.25">
      <c r="A7481" t="s">
        <v>9658</v>
      </c>
      <c r="B7481">
        <v>41.8</v>
      </c>
    </row>
    <row r="7482" spans="1:3" ht="15" customHeight="1" x14ac:dyDescent="0.25">
      <c r="A7482" t="s">
        <v>9659</v>
      </c>
      <c r="B7482">
        <v>34.5</v>
      </c>
    </row>
    <row r="7483" spans="1:3" ht="15" customHeight="1" x14ac:dyDescent="0.25">
      <c r="A7483" t="s">
        <v>9660</v>
      </c>
      <c r="B7483">
        <v>41.8</v>
      </c>
    </row>
    <row r="7484" spans="1:3" ht="15" customHeight="1" x14ac:dyDescent="0.25">
      <c r="A7484" t="s">
        <v>9661</v>
      </c>
      <c r="B7484">
        <v>34.5</v>
      </c>
    </row>
    <row r="7485" spans="1:3" ht="15" customHeight="1" x14ac:dyDescent="0.25">
      <c r="A7485" t="s">
        <v>9662</v>
      </c>
      <c r="B7485">
        <v>36.299999999999997</v>
      </c>
    </row>
    <row r="7486" spans="1:3" ht="15" customHeight="1" x14ac:dyDescent="0.25">
      <c r="A7486" t="s">
        <v>9663</v>
      </c>
      <c r="B7486">
        <v>8.9</v>
      </c>
      <c r="C7486">
        <v>0.3</v>
      </c>
    </row>
    <row r="7487" spans="1:3" ht="15" customHeight="1" x14ac:dyDescent="0.25">
      <c r="A7487" t="s">
        <v>9664</v>
      </c>
      <c r="B7487">
        <v>8.3000000000000007</v>
      </c>
      <c r="C7487">
        <v>0.3</v>
      </c>
    </row>
    <row r="7488" spans="1:3" ht="15" customHeight="1" x14ac:dyDescent="0.25">
      <c r="A7488" t="s">
        <v>9665</v>
      </c>
      <c r="B7488">
        <v>9.3000000000000007</v>
      </c>
      <c r="C7488">
        <v>0.3</v>
      </c>
    </row>
    <row r="7489" spans="1:3" ht="15" customHeight="1" x14ac:dyDescent="0.25">
      <c r="A7489" t="s">
        <v>9666</v>
      </c>
      <c r="B7489">
        <v>11</v>
      </c>
      <c r="C7489">
        <v>0.3</v>
      </c>
    </row>
    <row r="7490" spans="1:3" ht="15" customHeight="1" x14ac:dyDescent="0.25">
      <c r="A7490" t="s">
        <v>9667</v>
      </c>
      <c r="B7490">
        <v>8.9</v>
      </c>
      <c r="C7490">
        <v>0.3</v>
      </c>
    </row>
    <row r="7491" spans="1:3" ht="15" customHeight="1" x14ac:dyDescent="0.25">
      <c r="A7491" t="s">
        <v>9668</v>
      </c>
      <c r="B7491">
        <v>8.3000000000000007</v>
      </c>
      <c r="C7491">
        <v>0.3</v>
      </c>
    </row>
    <row r="7492" spans="1:3" ht="15" customHeight="1" x14ac:dyDescent="0.25">
      <c r="A7492" t="s">
        <v>9669</v>
      </c>
      <c r="B7492">
        <v>9.3000000000000007</v>
      </c>
      <c r="C7492">
        <v>0.3</v>
      </c>
    </row>
    <row r="7493" spans="1:3" ht="15" customHeight="1" x14ac:dyDescent="0.25">
      <c r="A7493" t="s">
        <v>9670</v>
      </c>
      <c r="B7493">
        <v>8.9</v>
      </c>
      <c r="C7493">
        <v>0.3</v>
      </c>
    </row>
    <row r="7494" spans="1:3" ht="15" customHeight="1" x14ac:dyDescent="0.25">
      <c r="A7494" t="s">
        <v>9671</v>
      </c>
      <c r="B7494">
        <v>8.3000000000000007</v>
      </c>
      <c r="C7494">
        <v>0.3</v>
      </c>
    </row>
    <row r="7495" spans="1:3" ht="15" customHeight="1" x14ac:dyDescent="0.25">
      <c r="A7495" t="s">
        <v>9672</v>
      </c>
      <c r="B7495">
        <v>9.3000000000000007</v>
      </c>
      <c r="C7495">
        <v>0.3</v>
      </c>
    </row>
    <row r="7496" spans="1:3" ht="15" customHeight="1" x14ac:dyDescent="0.25">
      <c r="A7496" t="s">
        <v>9673</v>
      </c>
      <c r="B7496">
        <v>11</v>
      </c>
      <c r="C7496">
        <v>0.3</v>
      </c>
    </row>
    <row r="7497" spans="1:3" ht="15" customHeight="1" x14ac:dyDescent="0.25">
      <c r="A7497" t="s">
        <v>9674</v>
      </c>
      <c r="B7497">
        <v>8.9</v>
      </c>
      <c r="C7497">
        <v>0.3</v>
      </c>
    </row>
    <row r="7498" spans="1:3" ht="15" customHeight="1" x14ac:dyDescent="0.25">
      <c r="A7498" t="s">
        <v>9675</v>
      </c>
      <c r="B7498">
        <v>8.3000000000000007</v>
      </c>
      <c r="C7498">
        <v>0.3</v>
      </c>
    </row>
    <row r="7499" spans="1:3" ht="15" customHeight="1" x14ac:dyDescent="0.25">
      <c r="A7499" t="s">
        <v>9676</v>
      </c>
      <c r="B7499">
        <v>9.3000000000000007</v>
      </c>
      <c r="C7499">
        <v>0.3</v>
      </c>
    </row>
    <row r="7500" spans="1:3" ht="15" customHeight="1" x14ac:dyDescent="0.25">
      <c r="A7500" t="s">
        <v>9677</v>
      </c>
      <c r="B7500">
        <v>11</v>
      </c>
      <c r="C7500">
        <v>0.3</v>
      </c>
    </row>
    <row r="7501" spans="1:3" ht="15" customHeight="1" x14ac:dyDescent="0.25">
      <c r="A7501" t="s">
        <v>9678</v>
      </c>
      <c r="B7501">
        <v>9.9</v>
      </c>
      <c r="C7501">
        <v>0.3</v>
      </c>
    </row>
    <row r="7502" spans="1:3" ht="15" customHeight="1" x14ac:dyDescent="0.25">
      <c r="A7502" t="s">
        <v>9679</v>
      </c>
      <c r="B7502">
        <v>9.1999999999999993</v>
      </c>
      <c r="C7502">
        <v>0.3</v>
      </c>
    </row>
    <row r="7503" spans="1:3" ht="15" customHeight="1" x14ac:dyDescent="0.25">
      <c r="A7503" t="s">
        <v>9680</v>
      </c>
      <c r="B7503">
        <v>3.6</v>
      </c>
      <c r="C7503">
        <v>0.3</v>
      </c>
    </row>
    <row r="7504" spans="1:3" ht="15" customHeight="1" x14ac:dyDescent="0.25">
      <c r="A7504" t="s">
        <v>9681</v>
      </c>
      <c r="B7504">
        <v>3.6</v>
      </c>
      <c r="C7504">
        <v>0.3</v>
      </c>
    </row>
    <row r="7505" spans="1:3" ht="15" customHeight="1" x14ac:dyDescent="0.25">
      <c r="A7505" t="s">
        <v>9682</v>
      </c>
      <c r="B7505">
        <v>3.6</v>
      </c>
      <c r="C7505">
        <v>0.3</v>
      </c>
    </row>
    <row r="7506" spans="1:3" ht="15" customHeight="1" x14ac:dyDescent="0.25">
      <c r="A7506" t="s">
        <v>9683</v>
      </c>
      <c r="B7506">
        <v>3.6</v>
      </c>
      <c r="C7506">
        <v>0.3</v>
      </c>
    </row>
    <row r="7507" spans="1:3" ht="15" customHeight="1" x14ac:dyDescent="0.25">
      <c r="A7507" t="s">
        <v>9684</v>
      </c>
      <c r="B7507">
        <v>3.6</v>
      </c>
      <c r="C7507">
        <v>0.3</v>
      </c>
    </row>
    <row r="7508" spans="1:3" ht="15" customHeight="1" x14ac:dyDescent="0.25">
      <c r="A7508" t="s">
        <v>9685</v>
      </c>
      <c r="B7508">
        <v>3.6</v>
      </c>
      <c r="C7508">
        <v>0.3</v>
      </c>
    </row>
    <row r="7509" spans="1:3" ht="15" customHeight="1" x14ac:dyDescent="0.25">
      <c r="A7509" t="s">
        <v>9686</v>
      </c>
      <c r="B7509">
        <v>3.6</v>
      </c>
      <c r="C7509">
        <v>0.3</v>
      </c>
    </row>
    <row r="7510" spans="1:3" ht="15" customHeight="1" x14ac:dyDescent="0.25">
      <c r="A7510" t="s">
        <v>9687</v>
      </c>
      <c r="B7510">
        <v>3.6</v>
      </c>
      <c r="C7510">
        <v>0.3</v>
      </c>
    </row>
    <row r="7511" spans="1:3" ht="15" customHeight="1" x14ac:dyDescent="0.25">
      <c r="A7511" t="s">
        <v>9688</v>
      </c>
      <c r="B7511">
        <v>9.9</v>
      </c>
      <c r="C7511">
        <v>0.3</v>
      </c>
    </row>
    <row r="7512" spans="1:3" ht="15" customHeight="1" x14ac:dyDescent="0.25">
      <c r="A7512" t="s">
        <v>9689</v>
      </c>
      <c r="B7512">
        <v>9.1999999999999993</v>
      </c>
      <c r="C7512">
        <v>0.3</v>
      </c>
    </row>
    <row r="7513" spans="1:3" ht="15" customHeight="1" x14ac:dyDescent="0.25">
      <c r="A7513" t="s">
        <v>9690</v>
      </c>
      <c r="B7513">
        <v>9.9</v>
      </c>
      <c r="C7513">
        <v>0.3</v>
      </c>
    </row>
    <row r="7514" spans="1:3" ht="15" customHeight="1" x14ac:dyDescent="0.25">
      <c r="A7514" t="s">
        <v>9691</v>
      </c>
      <c r="B7514">
        <v>9.1999999999999993</v>
      </c>
      <c r="C7514">
        <v>0.3</v>
      </c>
    </row>
    <row r="7515" spans="1:3" ht="15" customHeight="1" x14ac:dyDescent="0.25">
      <c r="A7515" t="s">
        <v>9692</v>
      </c>
      <c r="B7515">
        <v>8.9</v>
      </c>
      <c r="C7515">
        <v>0.3</v>
      </c>
    </row>
    <row r="7516" spans="1:3" ht="15" customHeight="1" x14ac:dyDescent="0.25">
      <c r="A7516" t="s">
        <v>9693</v>
      </c>
      <c r="B7516">
        <v>8.3000000000000007</v>
      </c>
      <c r="C7516">
        <v>0.3</v>
      </c>
    </row>
    <row r="7517" spans="1:3" ht="15" customHeight="1" x14ac:dyDescent="0.25">
      <c r="A7517" t="s">
        <v>9694</v>
      </c>
      <c r="B7517">
        <v>9.3000000000000007</v>
      </c>
      <c r="C7517">
        <v>0.3</v>
      </c>
    </row>
    <row r="7518" spans="1:3" ht="15" customHeight="1" x14ac:dyDescent="0.25">
      <c r="A7518" t="s">
        <v>9695</v>
      </c>
      <c r="B7518">
        <v>8.9</v>
      </c>
      <c r="C7518">
        <v>0.3</v>
      </c>
    </row>
    <row r="7519" spans="1:3" ht="15" customHeight="1" x14ac:dyDescent="0.25">
      <c r="A7519" t="s">
        <v>9696</v>
      </c>
      <c r="B7519">
        <v>8.3000000000000007</v>
      </c>
      <c r="C7519">
        <v>0.3</v>
      </c>
    </row>
    <row r="7520" spans="1:3" ht="15" customHeight="1" x14ac:dyDescent="0.25">
      <c r="A7520" t="s">
        <v>9697</v>
      </c>
      <c r="B7520">
        <v>9.3000000000000007</v>
      </c>
      <c r="C7520">
        <v>0.3</v>
      </c>
    </row>
    <row r="7521" spans="1:3" ht="15" customHeight="1" x14ac:dyDescent="0.25">
      <c r="A7521" t="s">
        <v>9698</v>
      </c>
      <c r="B7521">
        <v>8.9</v>
      </c>
      <c r="C7521">
        <v>0.3</v>
      </c>
    </row>
    <row r="7522" spans="1:3" ht="15" customHeight="1" x14ac:dyDescent="0.25">
      <c r="A7522" t="s">
        <v>9699</v>
      </c>
      <c r="B7522">
        <v>8.3000000000000007</v>
      </c>
      <c r="C7522">
        <v>0.3</v>
      </c>
    </row>
    <row r="7523" spans="1:3" ht="15" customHeight="1" x14ac:dyDescent="0.25">
      <c r="A7523" t="s">
        <v>9700</v>
      </c>
      <c r="B7523">
        <v>9.3000000000000007</v>
      </c>
      <c r="C7523">
        <v>0.3</v>
      </c>
    </row>
    <row r="7524" spans="1:3" ht="15" customHeight="1" x14ac:dyDescent="0.25">
      <c r="A7524" t="s">
        <v>9701</v>
      </c>
      <c r="B7524">
        <v>9.9</v>
      </c>
      <c r="C7524">
        <v>0.3</v>
      </c>
    </row>
    <row r="7525" spans="1:3" ht="15" customHeight="1" x14ac:dyDescent="0.25">
      <c r="A7525" t="s">
        <v>9702</v>
      </c>
      <c r="B7525">
        <v>9.1999999999999993</v>
      </c>
      <c r="C7525">
        <v>0.3</v>
      </c>
    </row>
    <row r="7526" spans="1:3" ht="15" customHeight="1" x14ac:dyDescent="0.25">
      <c r="A7526" t="s">
        <v>9703</v>
      </c>
      <c r="B7526">
        <v>10.6</v>
      </c>
      <c r="C7526">
        <v>0.3</v>
      </c>
    </row>
    <row r="7527" spans="1:3" ht="15" customHeight="1" x14ac:dyDescent="0.25">
      <c r="A7527" t="s">
        <v>9704</v>
      </c>
      <c r="B7527">
        <v>10</v>
      </c>
      <c r="C7527">
        <v>0.3</v>
      </c>
    </row>
    <row r="7528" spans="1:3" ht="15" customHeight="1" x14ac:dyDescent="0.25">
      <c r="A7528" t="s">
        <v>9705</v>
      </c>
      <c r="B7528">
        <v>8.9</v>
      </c>
      <c r="C7528">
        <v>0.3</v>
      </c>
    </row>
    <row r="7529" spans="1:3" ht="15" customHeight="1" x14ac:dyDescent="0.25">
      <c r="A7529" t="s">
        <v>9706</v>
      </c>
      <c r="B7529">
        <v>8.3000000000000007</v>
      </c>
      <c r="C7529">
        <v>0.3</v>
      </c>
    </row>
    <row r="7530" spans="1:3" ht="15" customHeight="1" x14ac:dyDescent="0.25">
      <c r="A7530" t="s">
        <v>9707</v>
      </c>
      <c r="B7530">
        <v>8.9</v>
      </c>
      <c r="C7530">
        <v>0.3</v>
      </c>
    </row>
    <row r="7531" spans="1:3" ht="15" customHeight="1" x14ac:dyDescent="0.25">
      <c r="A7531" t="s">
        <v>9708</v>
      </c>
      <c r="B7531">
        <v>8.3000000000000007</v>
      </c>
      <c r="C7531">
        <v>0.3</v>
      </c>
    </row>
    <row r="7532" spans="1:3" ht="15" customHeight="1" x14ac:dyDescent="0.25">
      <c r="A7532" t="s">
        <v>9709</v>
      </c>
      <c r="B7532">
        <v>9.3000000000000007</v>
      </c>
      <c r="C7532">
        <v>0.3</v>
      </c>
    </row>
    <row r="7533" spans="1:3" ht="15" customHeight="1" x14ac:dyDescent="0.25">
      <c r="A7533" t="s">
        <v>9710</v>
      </c>
      <c r="B7533">
        <v>8.9</v>
      </c>
      <c r="C7533">
        <v>0.3</v>
      </c>
    </row>
    <row r="7534" spans="1:3" ht="15" customHeight="1" x14ac:dyDescent="0.25">
      <c r="A7534" t="s">
        <v>9711</v>
      </c>
      <c r="B7534">
        <v>8.3000000000000007</v>
      </c>
      <c r="C7534">
        <v>0.3</v>
      </c>
    </row>
    <row r="7535" spans="1:3" ht="15" customHeight="1" x14ac:dyDescent="0.25">
      <c r="A7535" t="s">
        <v>9712</v>
      </c>
      <c r="B7535">
        <v>9.3000000000000007</v>
      </c>
      <c r="C7535">
        <v>0.3</v>
      </c>
    </row>
    <row r="7536" spans="1:3" ht="15" customHeight="1" x14ac:dyDescent="0.25">
      <c r="A7536" t="s">
        <v>9713</v>
      </c>
      <c r="B7536">
        <v>8.3000000000000007</v>
      </c>
      <c r="C7536">
        <v>0.3</v>
      </c>
    </row>
    <row r="7537" spans="1:3" ht="15" customHeight="1" x14ac:dyDescent="0.25">
      <c r="A7537" t="s">
        <v>9714</v>
      </c>
      <c r="B7537">
        <v>9.3000000000000007</v>
      </c>
      <c r="C7537">
        <v>0.3</v>
      </c>
    </row>
    <row r="7538" spans="1:3" ht="15" customHeight="1" x14ac:dyDescent="0.25">
      <c r="A7538" t="s">
        <v>9715</v>
      </c>
      <c r="B7538">
        <v>9.1999999999999993</v>
      </c>
      <c r="C7538">
        <v>0.3</v>
      </c>
    </row>
    <row r="7539" spans="1:3" ht="15" customHeight="1" x14ac:dyDescent="0.25">
      <c r="A7539" t="s">
        <v>9716</v>
      </c>
      <c r="B7539">
        <v>8.5</v>
      </c>
      <c r="C7539">
        <v>0.3</v>
      </c>
    </row>
    <row r="7540" spans="1:3" ht="15" customHeight="1" x14ac:dyDescent="0.25">
      <c r="A7540" t="s">
        <v>9717</v>
      </c>
      <c r="B7540">
        <v>9.1999999999999993</v>
      </c>
      <c r="C7540">
        <v>0.3</v>
      </c>
    </row>
    <row r="7541" spans="1:3" ht="15" customHeight="1" x14ac:dyDescent="0.25">
      <c r="A7541" t="s">
        <v>9718</v>
      </c>
      <c r="B7541">
        <v>8.5</v>
      </c>
      <c r="C7541">
        <v>0.3</v>
      </c>
    </row>
    <row r="7542" spans="1:3" ht="15" customHeight="1" x14ac:dyDescent="0.25">
      <c r="A7542" t="s">
        <v>9719</v>
      </c>
      <c r="B7542">
        <v>8.9</v>
      </c>
      <c r="C7542">
        <v>0.3</v>
      </c>
    </row>
    <row r="7543" spans="1:3" ht="15" customHeight="1" x14ac:dyDescent="0.25">
      <c r="A7543" t="s">
        <v>9720</v>
      </c>
      <c r="B7543">
        <v>8.3000000000000007</v>
      </c>
      <c r="C7543">
        <v>0.3</v>
      </c>
    </row>
    <row r="7544" spans="1:3" ht="15" customHeight="1" x14ac:dyDescent="0.25">
      <c r="A7544" t="s">
        <v>9721</v>
      </c>
      <c r="B7544">
        <v>9.3000000000000007</v>
      </c>
      <c r="C7544">
        <v>0.3</v>
      </c>
    </row>
    <row r="7545" spans="1:3" ht="15" customHeight="1" x14ac:dyDescent="0.25">
      <c r="A7545" t="s">
        <v>9722</v>
      </c>
      <c r="B7545">
        <v>11</v>
      </c>
      <c r="C7545">
        <v>0.3</v>
      </c>
    </row>
    <row r="7546" spans="1:3" ht="15" customHeight="1" x14ac:dyDescent="0.25">
      <c r="A7546" t="s">
        <v>9723</v>
      </c>
      <c r="B7546">
        <v>8.9</v>
      </c>
      <c r="C7546">
        <v>0.3</v>
      </c>
    </row>
    <row r="7547" spans="1:3" ht="15" customHeight="1" x14ac:dyDescent="0.25">
      <c r="A7547" t="s">
        <v>9724</v>
      </c>
      <c r="B7547">
        <v>8.3000000000000007</v>
      </c>
      <c r="C7547">
        <v>0.3</v>
      </c>
    </row>
    <row r="7548" spans="1:3" ht="15" customHeight="1" x14ac:dyDescent="0.25">
      <c r="A7548" t="s">
        <v>9725</v>
      </c>
      <c r="B7548">
        <v>9.3000000000000007</v>
      </c>
      <c r="C7548">
        <v>0.3</v>
      </c>
    </row>
    <row r="7549" spans="1:3" ht="15" customHeight="1" x14ac:dyDescent="0.25">
      <c r="A7549" t="s">
        <v>9726</v>
      </c>
      <c r="B7549">
        <v>11</v>
      </c>
      <c r="C7549">
        <v>0.3</v>
      </c>
    </row>
    <row r="7550" spans="1:3" ht="15" customHeight="1" x14ac:dyDescent="0.25">
      <c r="A7550" t="s">
        <v>9727</v>
      </c>
      <c r="B7550">
        <v>8.9</v>
      </c>
      <c r="C7550">
        <v>0.3</v>
      </c>
    </row>
    <row r="7551" spans="1:3" ht="15" customHeight="1" x14ac:dyDescent="0.25">
      <c r="A7551" t="s">
        <v>9728</v>
      </c>
      <c r="B7551">
        <v>8.3000000000000007</v>
      </c>
      <c r="C7551">
        <v>0.3</v>
      </c>
    </row>
    <row r="7552" spans="1:3" ht="15" customHeight="1" x14ac:dyDescent="0.25">
      <c r="A7552" t="s">
        <v>9729</v>
      </c>
      <c r="B7552">
        <v>9.3000000000000007</v>
      </c>
      <c r="C7552">
        <v>0.3</v>
      </c>
    </row>
    <row r="7553" spans="1:3" ht="15" customHeight="1" x14ac:dyDescent="0.25">
      <c r="A7553" t="s">
        <v>9730</v>
      </c>
      <c r="B7553">
        <v>11</v>
      </c>
      <c r="C7553">
        <v>0.3</v>
      </c>
    </row>
    <row r="7554" spans="1:3" ht="15" customHeight="1" x14ac:dyDescent="0.25">
      <c r="A7554" t="s">
        <v>9731</v>
      </c>
      <c r="B7554">
        <v>10.6</v>
      </c>
      <c r="C7554">
        <v>0.3</v>
      </c>
    </row>
    <row r="7555" spans="1:3" ht="15" customHeight="1" x14ac:dyDescent="0.25">
      <c r="A7555" t="s">
        <v>9732</v>
      </c>
      <c r="B7555">
        <v>10</v>
      </c>
      <c r="C7555">
        <v>0.3</v>
      </c>
    </row>
    <row r="7556" spans="1:3" ht="15" customHeight="1" x14ac:dyDescent="0.25">
      <c r="A7556" t="s">
        <v>9733</v>
      </c>
      <c r="B7556">
        <v>9.3000000000000007</v>
      </c>
      <c r="C7556">
        <v>0.3</v>
      </c>
    </row>
    <row r="7557" spans="1:3" ht="15" customHeight="1" x14ac:dyDescent="0.25">
      <c r="A7557" t="s">
        <v>9734</v>
      </c>
      <c r="B7557">
        <v>8.9</v>
      </c>
      <c r="C7557">
        <v>0.3</v>
      </c>
    </row>
    <row r="7558" spans="1:3" ht="15" customHeight="1" x14ac:dyDescent="0.25">
      <c r="A7558" t="s">
        <v>9735</v>
      </c>
      <c r="B7558">
        <v>8.3000000000000007</v>
      </c>
      <c r="C7558">
        <v>0.3</v>
      </c>
    </row>
    <row r="7559" spans="1:3" ht="15" customHeight="1" x14ac:dyDescent="0.25">
      <c r="A7559" t="s">
        <v>9736</v>
      </c>
      <c r="B7559">
        <v>11</v>
      </c>
      <c r="C7559">
        <v>0.3</v>
      </c>
    </row>
    <row r="7560" spans="1:3" ht="15" customHeight="1" x14ac:dyDescent="0.25">
      <c r="A7560" t="s">
        <v>9737</v>
      </c>
      <c r="B7560">
        <v>8.9</v>
      </c>
      <c r="C7560">
        <v>0.3</v>
      </c>
    </row>
    <row r="7561" spans="1:3" ht="15" customHeight="1" x14ac:dyDescent="0.25">
      <c r="A7561" t="s">
        <v>9738</v>
      </c>
      <c r="B7561">
        <v>8.3000000000000007</v>
      </c>
      <c r="C7561">
        <v>0.3</v>
      </c>
    </row>
    <row r="7562" spans="1:3" ht="15" customHeight="1" x14ac:dyDescent="0.25">
      <c r="A7562" t="s">
        <v>9739</v>
      </c>
      <c r="B7562">
        <v>9.3000000000000007</v>
      </c>
      <c r="C7562">
        <v>0.3</v>
      </c>
    </row>
    <row r="7563" spans="1:3" ht="15" customHeight="1" x14ac:dyDescent="0.25">
      <c r="A7563" t="s">
        <v>9740</v>
      </c>
      <c r="B7563">
        <v>11</v>
      </c>
      <c r="C7563">
        <v>0.3</v>
      </c>
    </row>
    <row r="7564" spans="1:3" ht="15" customHeight="1" x14ac:dyDescent="0.25">
      <c r="A7564" t="s">
        <v>9741</v>
      </c>
      <c r="B7564">
        <v>8.3000000000000007</v>
      </c>
      <c r="C7564">
        <v>0.3</v>
      </c>
    </row>
    <row r="7565" spans="1:3" ht="15" customHeight="1" x14ac:dyDescent="0.25">
      <c r="A7565" t="s">
        <v>9742</v>
      </c>
      <c r="B7565">
        <v>9.3000000000000007</v>
      </c>
      <c r="C7565">
        <v>0.3</v>
      </c>
    </row>
    <row r="7566" spans="1:3" ht="15" customHeight="1" x14ac:dyDescent="0.25">
      <c r="A7566" t="s">
        <v>9743</v>
      </c>
      <c r="B7566">
        <v>8.9</v>
      </c>
      <c r="C7566">
        <v>0.3</v>
      </c>
    </row>
    <row r="7567" spans="1:3" ht="15" customHeight="1" x14ac:dyDescent="0.25">
      <c r="A7567" t="s">
        <v>9744</v>
      </c>
      <c r="B7567">
        <v>8.3000000000000007</v>
      </c>
      <c r="C7567">
        <v>0.3</v>
      </c>
    </row>
    <row r="7568" spans="1:3" ht="15" customHeight="1" x14ac:dyDescent="0.25">
      <c r="A7568" t="s">
        <v>9745</v>
      </c>
      <c r="B7568">
        <v>9.3000000000000007</v>
      </c>
      <c r="C7568">
        <v>0.3</v>
      </c>
    </row>
    <row r="7569" spans="1:3" ht="15" customHeight="1" x14ac:dyDescent="0.25">
      <c r="A7569" t="s">
        <v>9746</v>
      </c>
      <c r="B7569">
        <v>11</v>
      </c>
      <c r="C7569">
        <v>0.3</v>
      </c>
    </row>
    <row r="7570" spans="1:3" ht="15" customHeight="1" x14ac:dyDescent="0.25">
      <c r="A7570" t="s">
        <v>9747</v>
      </c>
      <c r="B7570">
        <v>8.9</v>
      </c>
      <c r="C7570">
        <v>0.3</v>
      </c>
    </row>
    <row r="7571" spans="1:3" ht="15" customHeight="1" x14ac:dyDescent="0.25">
      <c r="A7571" t="s">
        <v>9748</v>
      </c>
      <c r="B7571">
        <v>8.3000000000000007</v>
      </c>
      <c r="C7571">
        <v>0.3</v>
      </c>
    </row>
    <row r="7572" spans="1:3" ht="15" customHeight="1" x14ac:dyDescent="0.25">
      <c r="A7572" t="s">
        <v>9749</v>
      </c>
      <c r="B7572">
        <v>9.3000000000000007</v>
      </c>
      <c r="C7572">
        <v>0.3</v>
      </c>
    </row>
    <row r="7573" spans="1:3" ht="15" customHeight="1" x14ac:dyDescent="0.25">
      <c r="A7573" t="s">
        <v>9750</v>
      </c>
      <c r="B7573">
        <v>11</v>
      </c>
      <c r="C7573">
        <v>0.3</v>
      </c>
    </row>
    <row r="7574" spans="1:3" ht="15" customHeight="1" x14ac:dyDescent="0.25">
      <c r="A7574" t="s">
        <v>9751</v>
      </c>
      <c r="B7574">
        <v>8.9</v>
      </c>
      <c r="C7574">
        <v>0.3</v>
      </c>
    </row>
    <row r="7575" spans="1:3" ht="15" customHeight="1" x14ac:dyDescent="0.25">
      <c r="A7575" t="s">
        <v>9752</v>
      </c>
      <c r="B7575">
        <v>8.3000000000000007</v>
      </c>
      <c r="C7575">
        <v>0.3</v>
      </c>
    </row>
    <row r="7576" spans="1:3" ht="15" customHeight="1" x14ac:dyDescent="0.25">
      <c r="A7576" t="s">
        <v>9753</v>
      </c>
      <c r="B7576">
        <v>9.3000000000000007</v>
      </c>
      <c r="C7576">
        <v>0.3</v>
      </c>
    </row>
    <row r="7577" spans="1:3" ht="15" customHeight="1" x14ac:dyDescent="0.25">
      <c r="A7577" t="s">
        <v>9754</v>
      </c>
      <c r="B7577">
        <v>11</v>
      </c>
      <c r="C7577">
        <v>0.3</v>
      </c>
    </row>
    <row r="7578" spans="1:3" ht="15" customHeight="1" x14ac:dyDescent="0.25">
      <c r="A7578" t="s">
        <v>9755</v>
      </c>
      <c r="B7578">
        <v>8.9</v>
      </c>
      <c r="C7578">
        <v>0.3</v>
      </c>
    </row>
    <row r="7579" spans="1:3" ht="15" customHeight="1" x14ac:dyDescent="0.25">
      <c r="A7579" t="s">
        <v>9756</v>
      </c>
      <c r="B7579">
        <v>8.3000000000000007</v>
      </c>
      <c r="C7579">
        <v>0.3</v>
      </c>
    </row>
    <row r="7580" spans="1:3" ht="15" customHeight="1" x14ac:dyDescent="0.25">
      <c r="A7580" t="s">
        <v>9757</v>
      </c>
      <c r="B7580">
        <v>9.3000000000000007</v>
      </c>
      <c r="C7580">
        <v>0.3</v>
      </c>
    </row>
    <row r="7581" spans="1:3" ht="15" customHeight="1" x14ac:dyDescent="0.25">
      <c r="A7581" t="s">
        <v>9758</v>
      </c>
      <c r="B7581">
        <v>11</v>
      </c>
      <c r="C7581">
        <v>0.3</v>
      </c>
    </row>
    <row r="7582" spans="1:3" ht="15" customHeight="1" x14ac:dyDescent="0.25">
      <c r="A7582" t="s">
        <v>9759</v>
      </c>
      <c r="B7582">
        <v>8.9</v>
      </c>
      <c r="C7582">
        <v>0.3</v>
      </c>
    </row>
    <row r="7583" spans="1:3" ht="15" customHeight="1" x14ac:dyDescent="0.25">
      <c r="A7583" t="s">
        <v>9760</v>
      </c>
      <c r="B7583">
        <v>8.3000000000000007</v>
      </c>
      <c r="C7583">
        <v>0.3</v>
      </c>
    </row>
    <row r="7584" spans="1:3" ht="15" customHeight="1" x14ac:dyDescent="0.25">
      <c r="A7584" t="s">
        <v>9761</v>
      </c>
      <c r="B7584">
        <v>9.3000000000000007</v>
      </c>
      <c r="C7584">
        <v>0.3</v>
      </c>
    </row>
    <row r="7585" spans="1:3" ht="15" customHeight="1" x14ac:dyDescent="0.25">
      <c r="A7585" t="s">
        <v>9762</v>
      </c>
      <c r="B7585">
        <v>11</v>
      </c>
      <c r="C7585">
        <v>0.3</v>
      </c>
    </row>
    <row r="7586" spans="1:3" ht="15" customHeight="1" x14ac:dyDescent="0.25">
      <c r="A7586" t="s">
        <v>9763</v>
      </c>
      <c r="B7586">
        <v>11</v>
      </c>
      <c r="C7586">
        <v>0.3</v>
      </c>
    </row>
    <row r="7587" spans="1:3" ht="15" customHeight="1" x14ac:dyDescent="0.25">
      <c r="A7587" t="s">
        <v>9764</v>
      </c>
      <c r="B7587">
        <v>8.3000000000000007</v>
      </c>
      <c r="C7587">
        <v>0.3</v>
      </c>
    </row>
    <row r="7588" spans="1:3" ht="15" customHeight="1" x14ac:dyDescent="0.25">
      <c r="A7588" t="s">
        <v>9765</v>
      </c>
      <c r="B7588">
        <v>11</v>
      </c>
      <c r="C7588">
        <v>0.3</v>
      </c>
    </row>
    <row r="7589" spans="1:3" ht="15" customHeight="1" x14ac:dyDescent="0.25">
      <c r="A7589" t="s">
        <v>9766</v>
      </c>
      <c r="B7589">
        <v>8.3000000000000007</v>
      </c>
      <c r="C7589">
        <v>0.3</v>
      </c>
    </row>
    <row r="7590" spans="1:3" ht="15" customHeight="1" x14ac:dyDescent="0.25">
      <c r="A7590" t="s">
        <v>9767</v>
      </c>
      <c r="B7590">
        <v>11</v>
      </c>
      <c r="C7590">
        <v>0.3</v>
      </c>
    </row>
    <row r="7591" spans="1:3" ht="15" customHeight="1" x14ac:dyDescent="0.25">
      <c r="A7591" t="s">
        <v>9768</v>
      </c>
      <c r="B7591">
        <v>8.3000000000000007</v>
      </c>
      <c r="C7591">
        <v>0.3</v>
      </c>
    </row>
    <row r="7592" spans="1:3" ht="15" customHeight="1" x14ac:dyDescent="0.25">
      <c r="A7592" t="s">
        <v>9769</v>
      </c>
      <c r="B7592">
        <v>11</v>
      </c>
      <c r="C7592">
        <v>0.3</v>
      </c>
    </row>
    <row r="7593" spans="1:3" ht="15" customHeight="1" x14ac:dyDescent="0.25">
      <c r="A7593" t="s">
        <v>9770</v>
      </c>
      <c r="B7593">
        <v>8.3000000000000007</v>
      </c>
      <c r="C7593">
        <v>0.3</v>
      </c>
    </row>
    <row r="7594" spans="1:3" ht="15" customHeight="1" x14ac:dyDescent="0.25">
      <c r="A7594" t="s">
        <v>9771</v>
      </c>
      <c r="B7594">
        <v>11</v>
      </c>
      <c r="C7594">
        <v>0.3</v>
      </c>
    </row>
    <row r="7595" spans="1:3" ht="15" customHeight="1" x14ac:dyDescent="0.25">
      <c r="A7595" t="s">
        <v>9772</v>
      </c>
      <c r="B7595">
        <v>8.6999999999999993</v>
      </c>
      <c r="C7595">
        <v>0.3</v>
      </c>
    </row>
    <row r="7596" spans="1:3" ht="15" customHeight="1" x14ac:dyDescent="0.25">
      <c r="A7596" t="s">
        <v>9773</v>
      </c>
      <c r="B7596">
        <v>8.6999999999999993</v>
      </c>
      <c r="C7596">
        <v>0.3</v>
      </c>
    </row>
    <row r="7597" spans="1:3" ht="15" customHeight="1" x14ac:dyDescent="0.25">
      <c r="A7597" t="s">
        <v>9774</v>
      </c>
      <c r="B7597">
        <v>8.6999999999999993</v>
      </c>
      <c r="C7597">
        <v>0.3</v>
      </c>
    </row>
    <row r="7598" spans="1:3" ht="15" customHeight="1" x14ac:dyDescent="0.25">
      <c r="A7598" t="s">
        <v>9775</v>
      </c>
      <c r="B7598">
        <v>9.1999999999999993</v>
      </c>
      <c r="C7598">
        <v>0.3</v>
      </c>
    </row>
    <row r="7599" spans="1:3" ht="15" customHeight="1" x14ac:dyDescent="0.25">
      <c r="A7599" t="s">
        <v>219</v>
      </c>
      <c r="B7599">
        <v>10</v>
      </c>
      <c r="C7599">
        <v>0.3</v>
      </c>
    </row>
    <row r="7600" spans="1:3" ht="15" customHeight="1" x14ac:dyDescent="0.25">
      <c r="A7600" t="s">
        <v>9776</v>
      </c>
      <c r="B7600">
        <v>8.9</v>
      </c>
      <c r="C7600">
        <v>0.3</v>
      </c>
    </row>
    <row r="7601" spans="1:3" ht="15" customHeight="1" x14ac:dyDescent="0.25">
      <c r="A7601" t="s">
        <v>9777</v>
      </c>
      <c r="B7601">
        <v>8.3000000000000007</v>
      </c>
      <c r="C7601">
        <v>0.3</v>
      </c>
    </row>
    <row r="7602" spans="1:3" ht="15" customHeight="1" x14ac:dyDescent="0.25">
      <c r="A7602" t="s">
        <v>9778</v>
      </c>
      <c r="B7602">
        <v>9.3000000000000007</v>
      </c>
      <c r="C7602">
        <v>0.3</v>
      </c>
    </row>
    <row r="7603" spans="1:3" ht="15" customHeight="1" x14ac:dyDescent="0.25">
      <c r="A7603" t="s">
        <v>9779</v>
      </c>
      <c r="B7603">
        <v>8.9</v>
      </c>
      <c r="C7603">
        <v>0.3</v>
      </c>
    </row>
    <row r="7604" spans="1:3" ht="15" customHeight="1" x14ac:dyDescent="0.25">
      <c r="A7604" t="s">
        <v>9780</v>
      </c>
      <c r="B7604">
        <v>8.3000000000000007</v>
      </c>
      <c r="C7604">
        <v>0.3</v>
      </c>
    </row>
    <row r="7605" spans="1:3" ht="15" customHeight="1" x14ac:dyDescent="0.25">
      <c r="A7605" t="s">
        <v>9781</v>
      </c>
      <c r="B7605">
        <v>9.3000000000000007</v>
      </c>
      <c r="C7605">
        <v>0.3</v>
      </c>
    </row>
    <row r="7606" spans="1:3" ht="15" customHeight="1" x14ac:dyDescent="0.25">
      <c r="A7606" t="s">
        <v>9782</v>
      </c>
      <c r="B7606">
        <v>8.9</v>
      </c>
      <c r="C7606">
        <v>0.3</v>
      </c>
    </row>
    <row r="7607" spans="1:3" ht="15" customHeight="1" x14ac:dyDescent="0.25">
      <c r="A7607" t="s">
        <v>9783</v>
      </c>
      <c r="B7607">
        <v>9.3000000000000007</v>
      </c>
      <c r="C7607">
        <v>0.3</v>
      </c>
    </row>
    <row r="7608" spans="1:3" ht="15" customHeight="1" x14ac:dyDescent="0.25">
      <c r="A7608" t="s">
        <v>9784</v>
      </c>
      <c r="B7608">
        <v>8.9</v>
      </c>
      <c r="C7608">
        <v>0.3</v>
      </c>
    </row>
    <row r="7609" spans="1:3" ht="15" customHeight="1" x14ac:dyDescent="0.25">
      <c r="A7609" t="s">
        <v>9785</v>
      </c>
      <c r="B7609">
        <v>9.3000000000000007</v>
      </c>
      <c r="C7609">
        <v>0.3</v>
      </c>
    </row>
    <row r="7610" spans="1:3" ht="15" customHeight="1" x14ac:dyDescent="0.25">
      <c r="A7610" t="s">
        <v>9786</v>
      </c>
      <c r="B7610">
        <v>8.9</v>
      </c>
      <c r="C7610">
        <v>0.3</v>
      </c>
    </row>
    <row r="7611" spans="1:3" ht="15" customHeight="1" x14ac:dyDescent="0.25">
      <c r="A7611" t="s">
        <v>9787</v>
      </c>
      <c r="B7611">
        <v>8.3000000000000007</v>
      </c>
      <c r="C7611">
        <v>0.3</v>
      </c>
    </row>
    <row r="7612" spans="1:3" ht="15" customHeight="1" x14ac:dyDescent="0.25">
      <c r="A7612" t="s">
        <v>9788</v>
      </c>
      <c r="B7612">
        <v>9.3000000000000007</v>
      </c>
      <c r="C7612">
        <v>0.3</v>
      </c>
    </row>
    <row r="7613" spans="1:3" ht="15" customHeight="1" x14ac:dyDescent="0.25">
      <c r="A7613" t="s">
        <v>9789</v>
      </c>
      <c r="B7613">
        <v>11</v>
      </c>
      <c r="C7613">
        <v>0.3</v>
      </c>
    </row>
    <row r="7614" spans="1:3" ht="15" customHeight="1" x14ac:dyDescent="0.25">
      <c r="A7614" t="s">
        <v>9790</v>
      </c>
      <c r="B7614">
        <v>8.9</v>
      </c>
      <c r="C7614">
        <v>0.3</v>
      </c>
    </row>
    <row r="7615" spans="1:3" ht="15" customHeight="1" x14ac:dyDescent="0.25">
      <c r="A7615" t="s">
        <v>9791</v>
      </c>
      <c r="B7615">
        <v>8.3000000000000007</v>
      </c>
      <c r="C7615">
        <v>0.3</v>
      </c>
    </row>
    <row r="7616" spans="1:3" ht="15" customHeight="1" x14ac:dyDescent="0.25">
      <c r="A7616" t="s">
        <v>9792</v>
      </c>
      <c r="B7616">
        <v>9.3000000000000007</v>
      </c>
      <c r="C7616">
        <v>0.3</v>
      </c>
    </row>
    <row r="7617" spans="1:3" ht="15" customHeight="1" x14ac:dyDescent="0.25">
      <c r="A7617" t="s">
        <v>9793</v>
      </c>
      <c r="B7617">
        <v>11</v>
      </c>
      <c r="C7617">
        <v>0.3</v>
      </c>
    </row>
    <row r="7618" spans="1:3" ht="15" customHeight="1" x14ac:dyDescent="0.25">
      <c r="A7618" t="s">
        <v>9794</v>
      </c>
      <c r="B7618">
        <v>11</v>
      </c>
      <c r="C7618">
        <v>0.3</v>
      </c>
    </row>
    <row r="7619" spans="1:3" ht="15" customHeight="1" x14ac:dyDescent="0.25">
      <c r="A7619" t="s">
        <v>9795</v>
      </c>
      <c r="B7619">
        <v>11</v>
      </c>
      <c r="C7619">
        <v>0.3</v>
      </c>
    </row>
    <row r="7620" spans="1:3" ht="15" customHeight="1" x14ac:dyDescent="0.25">
      <c r="A7620" t="s">
        <v>9796</v>
      </c>
      <c r="B7620">
        <v>11</v>
      </c>
      <c r="C7620">
        <v>0.3</v>
      </c>
    </row>
    <row r="7621" spans="1:3" ht="15" customHeight="1" x14ac:dyDescent="0.25">
      <c r="A7621" t="s">
        <v>9797</v>
      </c>
      <c r="B7621">
        <v>8.9</v>
      </c>
      <c r="C7621">
        <v>0.3</v>
      </c>
    </row>
    <row r="7622" spans="1:3" ht="15" customHeight="1" x14ac:dyDescent="0.25">
      <c r="A7622" t="s">
        <v>9798</v>
      </c>
      <c r="B7622">
        <v>8.3000000000000007</v>
      </c>
      <c r="C7622">
        <v>0.3</v>
      </c>
    </row>
    <row r="7623" spans="1:3" ht="15" customHeight="1" x14ac:dyDescent="0.25">
      <c r="A7623" t="s">
        <v>9799</v>
      </c>
      <c r="B7623">
        <v>9.3000000000000007</v>
      </c>
      <c r="C7623">
        <v>0.3</v>
      </c>
    </row>
    <row r="7624" spans="1:3" ht="15" customHeight="1" x14ac:dyDescent="0.25">
      <c r="A7624" t="s">
        <v>9800</v>
      </c>
      <c r="B7624">
        <v>11</v>
      </c>
      <c r="C7624">
        <v>0.3</v>
      </c>
    </row>
    <row r="7625" spans="1:3" ht="15" customHeight="1" x14ac:dyDescent="0.25">
      <c r="A7625" t="s">
        <v>9801</v>
      </c>
      <c r="B7625">
        <v>8.9</v>
      </c>
      <c r="C7625">
        <v>0.3</v>
      </c>
    </row>
    <row r="7626" spans="1:3" ht="15" customHeight="1" x14ac:dyDescent="0.25">
      <c r="A7626" t="s">
        <v>9802</v>
      </c>
      <c r="B7626">
        <v>8.3000000000000007</v>
      </c>
      <c r="C7626">
        <v>0.3</v>
      </c>
    </row>
    <row r="7627" spans="1:3" ht="15" customHeight="1" x14ac:dyDescent="0.25">
      <c r="A7627" t="s">
        <v>9803</v>
      </c>
      <c r="B7627">
        <v>9.3000000000000007</v>
      </c>
      <c r="C7627">
        <v>0.3</v>
      </c>
    </row>
    <row r="7628" spans="1:3" ht="15" customHeight="1" x14ac:dyDescent="0.25">
      <c r="A7628" t="s">
        <v>9804</v>
      </c>
      <c r="B7628">
        <v>11</v>
      </c>
      <c r="C7628">
        <v>0.3</v>
      </c>
    </row>
    <row r="7629" spans="1:3" ht="15" customHeight="1" x14ac:dyDescent="0.25">
      <c r="A7629" t="s">
        <v>9805</v>
      </c>
      <c r="B7629">
        <v>8.9</v>
      </c>
      <c r="C7629">
        <v>0.3</v>
      </c>
    </row>
    <row r="7630" spans="1:3" ht="15" customHeight="1" x14ac:dyDescent="0.25">
      <c r="A7630" t="s">
        <v>9806</v>
      </c>
      <c r="B7630">
        <v>8.3000000000000007</v>
      </c>
      <c r="C7630">
        <v>0.3</v>
      </c>
    </row>
    <row r="7631" spans="1:3" ht="15" customHeight="1" x14ac:dyDescent="0.25">
      <c r="A7631" t="s">
        <v>9807</v>
      </c>
      <c r="B7631">
        <v>9.3000000000000007</v>
      </c>
      <c r="C7631">
        <v>0.3</v>
      </c>
    </row>
    <row r="7632" spans="1:3" ht="15" customHeight="1" x14ac:dyDescent="0.25">
      <c r="A7632" t="s">
        <v>9808</v>
      </c>
      <c r="B7632">
        <v>11</v>
      </c>
      <c r="C7632">
        <v>0.3</v>
      </c>
    </row>
    <row r="7633" spans="1:3" ht="15" customHeight="1" x14ac:dyDescent="0.25">
      <c r="A7633" t="s">
        <v>9809</v>
      </c>
      <c r="B7633">
        <v>8.9</v>
      </c>
      <c r="C7633">
        <v>0.3</v>
      </c>
    </row>
    <row r="7634" spans="1:3" ht="15" customHeight="1" x14ac:dyDescent="0.25">
      <c r="A7634" t="s">
        <v>9810</v>
      </c>
      <c r="B7634">
        <v>8.3000000000000007</v>
      </c>
      <c r="C7634">
        <v>0.3</v>
      </c>
    </row>
    <row r="7635" spans="1:3" ht="15" customHeight="1" x14ac:dyDescent="0.25">
      <c r="A7635" t="s">
        <v>9811</v>
      </c>
      <c r="B7635">
        <v>9.3000000000000007</v>
      </c>
      <c r="C7635">
        <v>0.3</v>
      </c>
    </row>
    <row r="7636" spans="1:3" ht="15" customHeight="1" x14ac:dyDescent="0.25">
      <c r="A7636" t="s">
        <v>9812</v>
      </c>
      <c r="B7636">
        <v>11</v>
      </c>
      <c r="C7636">
        <v>0.3</v>
      </c>
    </row>
    <row r="7637" spans="1:3" ht="15" customHeight="1" x14ac:dyDescent="0.25">
      <c r="A7637" t="s">
        <v>9813</v>
      </c>
      <c r="B7637">
        <v>8.9</v>
      </c>
      <c r="C7637">
        <v>0.3</v>
      </c>
    </row>
    <row r="7638" spans="1:3" ht="15" customHeight="1" x14ac:dyDescent="0.25">
      <c r="A7638" t="s">
        <v>9814</v>
      </c>
      <c r="B7638">
        <v>8.3000000000000007</v>
      </c>
      <c r="C7638">
        <v>0.3</v>
      </c>
    </row>
    <row r="7639" spans="1:3" ht="15" customHeight="1" x14ac:dyDescent="0.25">
      <c r="A7639" t="s">
        <v>9815</v>
      </c>
      <c r="B7639">
        <v>9.3000000000000007</v>
      </c>
      <c r="C7639">
        <v>0.3</v>
      </c>
    </row>
    <row r="7640" spans="1:3" ht="15" customHeight="1" x14ac:dyDescent="0.25">
      <c r="A7640" t="s">
        <v>9816</v>
      </c>
      <c r="B7640">
        <v>11</v>
      </c>
      <c r="C7640">
        <v>0.3</v>
      </c>
    </row>
    <row r="7641" spans="1:3" ht="15" customHeight="1" x14ac:dyDescent="0.25">
      <c r="A7641" t="s">
        <v>9817</v>
      </c>
      <c r="B7641">
        <v>8.9</v>
      </c>
      <c r="C7641">
        <v>0.3</v>
      </c>
    </row>
    <row r="7642" spans="1:3" ht="15" customHeight="1" x14ac:dyDescent="0.25">
      <c r="A7642" t="s">
        <v>9818</v>
      </c>
      <c r="B7642">
        <v>8.3000000000000007</v>
      </c>
      <c r="C7642">
        <v>0.3</v>
      </c>
    </row>
    <row r="7643" spans="1:3" ht="15" customHeight="1" x14ac:dyDescent="0.25">
      <c r="A7643" t="s">
        <v>9819</v>
      </c>
      <c r="B7643">
        <v>9.3000000000000007</v>
      </c>
      <c r="C7643">
        <v>0.3</v>
      </c>
    </row>
    <row r="7644" spans="1:3" ht="15" customHeight="1" x14ac:dyDescent="0.25">
      <c r="A7644" t="s">
        <v>9820</v>
      </c>
      <c r="B7644">
        <v>11</v>
      </c>
      <c r="C7644">
        <v>0.3</v>
      </c>
    </row>
    <row r="7645" spans="1:3" ht="15" customHeight="1" x14ac:dyDescent="0.25">
      <c r="A7645" t="s">
        <v>9821</v>
      </c>
      <c r="B7645">
        <v>8.9</v>
      </c>
      <c r="C7645">
        <v>0.3</v>
      </c>
    </row>
    <row r="7646" spans="1:3" ht="15" customHeight="1" x14ac:dyDescent="0.25">
      <c r="A7646" t="s">
        <v>9822</v>
      </c>
      <c r="B7646">
        <v>8.3000000000000007</v>
      </c>
      <c r="C7646">
        <v>0.3</v>
      </c>
    </row>
    <row r="7647" spans="1:3" ht="15" customHeight="1" x14ac:dyDescent="0.25">
      <c r="A7647" t="s">
        <v>9823</v>
      </c>
      <c r="B7647">
        <v>9.3000000000000007</v>
      </c>
      <c r="C7647">
        <v>0.3</v>
      </c>
    </row>
    <row r="7648" spans="1:3" ht="15" customHeight="1" x14ac:dyDescent="0.25">
      <c r="A7648" t="s">
        <v>9824</v>
      </c>
      <c r="B7648">
        <v>11</v>
      </c>
      <c r="C7648">
        <v>0.3</v>
      </c>
    </row>
    <row r="7649" spans="1:3" ht="15" customHeight="1" x14ac:dyDescent="0.25">
      <c r="A7649" t="s">
        <v>9825</v>
      </c>
      <c r="B7649">
        <v>8.9</v>
      </c>
      <c r="C7649">
        <v>0.3</v>
      </c>
    </row>
    <row r="7650" spans="1:3" ht="15" customHeight="1" x14ac:dyDescent="0.25">
      <c r="A7650" t="s">
        <v>9826</v>
      </c>
      <c r="B7650">
        <v>8.3000000000000007</v>
      </c>
      <c r="C7650">
        <v>0.3</v>
      </c>
    </row>
    <row r="7651" spans="1:3" ht="15" customHeight="1" x14ac:dyDescent="0.25">
      <c r="A7651" t="s">
        <v>9827</v>
      </c>
      <c r="B7651">
        <v>9.3000000000000007</v>
      </c>
      <c r="C7651">
        <v>0.3</v>
      </c>
    </row>
    <row r="7652" spans="1:3" ht="15" customHeight="1" x14ac:dyDescent="0.25">
      <c r="A7652" t="s">
        <v>9828</v>
      </c>
      <c r="B7652">
        <v>11</v>
      </c>
      <c r="C7652">
        <v>0.3</v>
      </c>
    </row>
    <row r="7653" spans="1:3" ht="15" customHeight="1" x14ac:dyDescent="0.25">
      <c r="A7653" t="s">
        <v>9829</v>
      </c>
      <c r="B7653">
        <v>8.3000000000000007</v>
      </c>
      <c r="C7653">
        <v>0.3</v>
      </c>
    </row>
    <row r="7654" spans="1:3" ht="15" customHeight="1" x14ac:dyDescent="0.25">
      <c r="A7654" t="s">
        <v>9830</v>
      </c>
      <c r="B7654">
        <v>9.3000000000000007</v>
      </c>
      <c r="C7654">
        <v>0.3</v>
      </c>
    </row>
    <row r="7655" spans="1:3" ht="15" customHeight="1" x14ac:dyDescent="0.25">
      <c r="A7655" t="s">
        <v>9831</v>
      </c>
      <c r="B7655">
        <v>11</v>
      </c>
      <c r="C7655">
        <v>0.3</v>
      </c>
    </row>
    <row r="7656" spans="1:3" ht="15" customHeight="1" x14ac:dyDescent="0.25">
      <c r="A7656" t="s">
        <v>9832</v>
      </c>
      <c r="B7656">
        <v>8.3000000000000007</v>
      </c>
      <c r="C7656">
        <v>0.3</v>
      </c>
    </row>
    <row r="7657" spans="1:3" ht="15" customHeight="1" x14ac:dyDescent="0.25">
      <c r="A7657" t="s">
        <v>9833</v>
      </c>
      <c r="B7657">
        <v>9.3000000000000007</v>
      </c>
      <c r="C7657">
        <v>0.3</v>
      </c>
    </row>
    <row r="7658" spans="1:3" ht="15" customHeight="1" x14ac:dyDescent="0.25">
      <c r="A7658" t="s">
        <v>9834</v>
      </c>
      <c r="B7658">
        <v>11</v>
      </c>
      <c r="C7658">
        <v>0.3</v>
      </c>
    </row>
    <row r="7659" spans="1:3" ht="15" customHeight="1" x14ac:dyDescent="0.25">
      <c r="A7659" t="s">
        <v>9835</v>
      </c>
      <c r="B7659">
        <v>8.3000000000000007</v>
      </c>
      <c r="C7659">
        <v>0.3</v>
      </c>
    </row>
    <row r="7660" spans="1:3" ht="15" customHeight="1" x14ac:dyDescent="0.25">
      <c r="A7660" t="s">
        <v>9836</v>
      </c>
      <c r="B7660">
        <v>9.3000000000000007</v>
      </c>
      <c r="C7660">
        <v>0.3</v>
      </c>
    </row>
    <row r="7661" spans="1:3" ht="15" customHeight="1" x14ac:dyDescent="0.25">
      <c r="A7661" t="s">
        <v>9837</v>
      </c>
      <c r="B7661">
        <v>11</v>
      </c>
      <c r="C7661">
        <v>0.3</v>
      </c>
    </row>
    <row r="7662" spans="1:3" ht="15" customHeight="1" x14ac:dyDescent="0.25">
      <c r="A7662" t="s">
        <v>9838</v>
      </c>
      <c r="B7662">
        <v>8.3000000000000007</v>
      </c>
      <c r="C7662">
        <v>0.3</v>
      </c>
    </row>
    <row r="7663" spans="1:3" ht="15" customHeight="1" x14ac:dyDescent="0.25">
      <c r="A7663" t="s">
        <v>9839</v>
      </c>
      <c r="B7663">
        <v>11</v>
      </c>
      <c r="C7663">
        <v>0.3</v>
      </c>
    </row>
    <row r="7664" spans="1:3" ht="15" customHeight="1" x14ac:dyDescent="0.25">
      <c r="A7664" t="s">
        <v>9840</v>
      </c>
      <c r="B7664">
        <v>9.9</v>
      </c>
      <c r="C7664">
        <v>0.3</v>
      </c>
    </row>
    <row r="7665" spans="1:3" ht="15" customHeight="1" x14ac:dyDescent="0.25">
      <c r="A7665" t="s">
        <v>9841</v>
      </c>
      <c r="B7665">
        <v>9.1999999999999993</v>
      </c>
      <c r="C7665">
        <v>0.3</v>
      </c>
    </row>
    <row r="7666" spans="1:3" ht="15" customHeight="1" x14ac:dyDescent="0.25">
      <c r="A7666" t="s">
        <v>9842</v>
      </c>
      <c r="B7666">
        <v>9.9</v>
      </c>
      <c r="C7666">
        <v>0.3</v>
      </c>
    </row>
    <row r="7667" spans="1:3" ht="15" customHeight="1" x14ac:dyDescent="0.25">
      <c r="A7667" t="s">
        <v>9843</v>
      </c>
      <c r="B7667">
        <v>9.1999999999999993</v>
      </c>
      <c r="C7667">
        <v>0.3</v>
      </c>
    </row>
    <row r="7668" spans="1:3" ht="15" customHeight="1" x14ac:dyDescent="0.25">
      <c r="A7668" t="s">
        <v>9844</v>
      </c>
      <c r="B7668">
        <v>11</v>
      </c>
      <c r="C7668">
        <v>0.3</v>
      </c>
    </row>
    <row r="7669" spans="1:3" ht="15" customHeight="1" x14ac:dyDescent="0.25">
      <c r="A7669" t="s">
        <v>9845</v>
      </c>
      <c r="B7669">
        <v>8.9</v>
      </c>
      <c r="C7669">
        <v>0.3</v>
      </c>
    </row>
    <row r="7670" spans="1:3" ht="15" customHeight="1" x14ac:dyDescent="0.25">
      <c r="A7670" t="s">
        <v>9846</v>
      </c>
      <c r="B7670">
        <v>8.3000000000000007</v>
      </c>
      <c r="C7670">
        <v>0.3</v>
      </c>
    </row>
    <row r="7671" spans="1:3" ht="15" customHeight="1" x14ac:dyDescent="0.25">
      <c r="A7671" t="s">
        <v>9847</v>
      </c>
      <c r="B7671">
        <v>9.3000000000000007</v>
      </c>
      <c r="C7671">
        <v>0.3</v>
      </c>
    </row>
    <row r="7672" spans="1:3" ht="15" customHeight="1" x14ac:dyDescent="0.25">
      <c r="A7672" t="s">
        <v>9848</v>
      </c>
      <c r="B7672">
        <v>8.9</v>
      </c>
      <c r="C7672">
        <v>0.3</v>
      </c>
    </row>
    <row r="7673" spans="1:3" ht="15" customHeight="1" x14ac:dyDescent="0.25">
      <c r="A7673" t="s">
        <v>9849</v>
      </c>
      <c r="B7673">
        <v>8.3000000000000007</v>
      </c>
      <c r="C7673">
        <v>0.3</v>
      </c>
    </row>
    <row r="7674" spans="1:3" ht="15" customHeight="1" x14ac:dyDescent="0.25">
      <c r="A7674" t="s">
        <v>9850</v>
      </c>
      <c r="B7674">
        <v>9.3000000000000007</v>
      </c>
      <c r="C7674">
        <v>0.3</v>
      </c>
    </row>
    <row r="7675" spans="1:3" ht="15" customHeight="1" x14ac:dyDescent="0.25">
      <c r="A7675" t="s">
        <v>9851</v>
      </c>
      <c r="B7675">
        <v>8.9</v>
      </c>
      <c r="C7675">
        <v>0.3</v>
      </c>
    </row>
    <row r="7676" spans="1:3" ht="15" customHeight="1" x14ac:dyDescent="0.25">
      <c r="A7676" t="s">
        <v>9852</v>
      </c>
      <c r="B7676">
        <v>8.3000000000000007</v>
      </c>
      <c r="C7676">
        <v>0.3</v>
      </c>
    </row>
    <row r="7677" spans="1:3" ht="15" customHeight="1" x14ac:dyDescent="0.25">
      <c r="A7677" t="s">
        <v>9853</v>
      </c>
      <c r="B7677">
        <v>9.3000000000000007</v>
      </c>
      <c r="C7677">
        <v>0.3</v>
      </c>
    </row>
    <row r="7678" spans="1:3" ht="15" customHeight="1" x14ac:dyDescent="0.25">
      <c r="A7678" t="s">
        <v>9854</v>
      </c>
      <c r="B7678">
        <v>117.6</v>
      </c>
    </row>
    <row r="7679" spans="1:3" ht="15" customHeight="1" x14ac:dyDescent="0.25">
      <c r="A7679" t="s">
        <v>9855</v>
      </c>
      <c r="B7679">
        <v>117.6</v>
      </c>
    </row>
    <row r="7680" spans="1:3" ht="15" customHeight="1" x14ac:dyDescent="0.25">
      <c r="A7680" t="s">
        <v>9856</v>
      </c>
      <c r="B7680">
        <v>32.299999999999997</v>
      </c>
      <c r="C7680">
        <v>0.4</v>
      </c>
    </row>
    <row r="7681" spans="1:3" ht="15" customHeight="1" x14ac:dyDescent="0.25">
      <c r="A7681" t="s">
        <v>9857</v>
      </c>
      <c r="B7681">
        <v>32.299999999999997</v>
      </c>
      <c r="C7681">
        <v>0.4</v>
      </c>
    </row>
    <row r="7682" spans="1:3" ht="15" customHeight="1" x14ac:dyDescent="0.25">
      <c r="A7682" t="s">
        <v>9858</v>
      </c>
      <c r="B7682">
        <v>32.299999999999997</v>
      </c>
      <c r="C7682">
        <v>0.4</v>
      </c>
    </row>
    <row r="7683" spans="1:3" ht="15" customHeight="1" x14ac:dyDescent="0.25">
      <c r="A7683" t="s">
        <v>9859</v>
      </c>
      <c r="B7683">
        <v>32.299999999999997</v>
      </c>
      <c r="C7683">
        <v>0.4</v>
      </c>
    </row>
    <row r="7684" spans="1:3" ht="15" customHeight="1" x14ac:dyDescent="0.25">
      <c r="A7684" t="s">
        <v>9860</v>
      </c>
      <c r="B7684">
        <v>32.299999999999997</v>
      </c>
    </row>
    <row r="7685" spans="1:3" ht="15" customHeight="1" x14ac:dyDescent="0.25">
      <c r="A7685" t="s">
        <v>9861</v>
      </c>
      <c r="B7685">
        <v>32.299999999999997</v>
      </c>
      <c r="C7685">
        <v>0.4</v>
      </c>
    </row>
    <row r="7686" spans="1:3" ht="15" customHeight="1" x14ac:dyDescent="0.25">
      <c r="A7686" t="s">
        <v>9862</v>
      </c>
      <c r="B7686">
        <v>32.299999999999997</v>
      </c>
    </row>
    <row r="7687" spans="1:3" ht="15" customHeight="1" x14ac:dyDescent="0.25">
      <c r="A7687" t="s">
        <v>9863</v>
      </c>
      <c r="B7687">
        <v>32.299999999999997</v>
      </c>
    </row>
    <row r="7688" spans="1:3" ht="15" customHeight="1" x14ac:dyDescent="0.25">
      <c r="A7688" t="s">
        <v>9864</v>
      </c>
      <c r="B7688">
        <v>32.299999999999997</v>
      </c>
    </row>
    <row r="7689" spans="1:3" ht="15" customHeight="1" x14ac:dyDescent="0.25">
      <c r="A7689" t="s">
        <v>9865</v>
      </c>
      <c r="B7689">
        <v>32.299999999999997</v>
      </c>
    </row>
    <row r="7690" spans="1:3" ht="15" customHeight="1" x14ac:dyDescent="0.25">
      <c r="A7690" t="s">
        <v>9866</v>
      </c>
      <c r="B7690">
        <v>15.9</v>
      </c>
      <c r="C7690">
        <v>0.4</v>
      </c>
    </row>
    <row r="7691" spans="1:3" ht="15" customHeight="1" x14ac:dyDescent="0.25">
      <c r="A7691" t="s">
        <v>9867</v>
      </c>
      <c r="B7691">
        <v>27.5</v>
      </c>
      <c r="C7691">
        <v>0.4</v>
      </c>
    </row>
    <row r="7692" spans="1:3" ht="15" customHeight="1" x14ac:dyDescent="0.25">
      <c r="A7692" t="s">
        <v>9868</v>
      </c>
      <c r="B7692">
        <v>15.9</v>
      </c>
      <c r="C7692">
        <v>0.4</v>
      </c>
    </row>
    <row r="7693" spans="1:3" ht="15" customHeight="1" x14ac:dyDescent="0.25">
      <c r="A7693" t="s">
        <v>9869</v>
      </c>
      <c r="B7693">
        <v>27.5</v>
      </c>
    </row>
    <row r="7694" spans="1:3" ht="15" customHeight="1" x14ac:dyDescent="0.25">
      <c r="A7694" t="s">
        <v>9870</v>
      </c>
      <c r="B7694">
        <v>15.9</v>
      </c>
      <c r="C7694">
        <v>0.4</v>
      </c>
    </row>
    <row r="7695" spans="1:3" ht="15" customHeight="1" x14ac:dyDescent="0.25">
      <c r="A7695" t="s">
        <v>9871</v>
      </c>
      <c r="B7695">
        <v>27.5</v>
      </c>
      <c r="C7695">
        <v>0.4</v>
      </c>
    </row>
    <row r="7696" spans="1:3" ht="15" customHeight="1" x14ac:dyDescent="0.25">
      <c r="A7696" t="s">
        <v>9872</v>
      </c>
      <c r="B7696">
        <v>15.9</v>
      </c>
      <c r="C7696">
        <v>0.4</v>
      </c>
    </row>
    <row r="7697" spans="1:3" ht="15" customHeight="1" x14ac:dyDescent="0.25">
      <c r="A7697" t="s">
        <v>9873</v>
      </c>
      <c r="B7697">
        <v>27.5</v>
      </c>
      <c r="C7697">
        <v>0.4</v>
      </c>
    </row>
    <row r="7698" spans="1:3" ht="15" customHeight="1" x14ac:dyDescent="0.25">
      <c r="A7698" t="s">
        <v>9874</v>
      </c>
      <c r="B7698">
        <v>145.4</v>
      </c>
    </row>
    <row r="7699" spans="1:3" ht="15" customHeight="1" x14ac:dyDescent="0.25">
      <c r="A7699" t="s">
        <v>9875</v>
      </c>
      <c r="B7699">
        <v>145.4</v>
      </c>
      <c r="C7699">
        <v>0.08</v>
      </c>
    </row>
    <row r="7700" spans="1:3" ht="15" customHeight="1" x14ac:dyDescent="0.25">
      <c r="A7700" t="s">
        <v>9876</v>
      </c>
      <c r="B7700">
        <v>188.5</v>
      </c>
      <c r="C7700">
        <v>0.03</v>
      </c>
    </row>
    <row r="7701" spans="1:3" ht="15" customHeight="1" x14ac:dyDescent="0.25">
      <c r="A7701" t="s">
        <v>9877</v>
      </c>
      <c r="B7701">
        <v>188.5</v>
      </c>
      <c r="C7701">
        <v>0.03</v>
      </c>
    </row>
    <row r="7702" spans="1:3" ht="15" customHeight="1" x14ac:dyDescent="0.25">
      <c r="A7702" t="s">
        <v>9878</v>
      </c>
      <c r="B7702">
        <v>222.5</v>
      </c>
      <c r="C7702">
        <v>0.03</v>
      </c>
    </row>
    <row r="7703" spans="1:3" ht="15" customHeight="1" x14ac:dyDescent="0.25">
      <c r="A7703" t="s">
        <v>9879</v>
      </c>
      <c r="B7703">
        <v>222.5</v>
      </c>
      <c r="C7703">
        <v>0.03</v>
      </c>
    </row>
    <row r="7704" spans="1:3" ht="15" customHeight="1" x14ac:dyDescent="0.25">
      <c r="A7704" t="s">
        <v>9880</v>
      </c>
      <c r="B7704">
        <v>222.5</v>
      </c>
      <c r="C7704">
        <v>0.03</v>
      </c>
    </row>
    <row r="7705" spans="1:3" ht="15" customHeight="1" x14ac:dyDescent="0.25">
      <c r="A7705" t="s">
        <v>9881</v>
      </c>
      <c r="B7705">
        <v>188.5</v>
      </c>
      <c r="C7705">
        <v>0.03</v>
      </c>
    </row>
    <row r="7706" spans="1:3" ht="15" customHeight="1" x14ac:dyDescent="0.25">
      <c r="A7706" t="s">
        <v>9882</v>
      </c>
      <c r="B7706">
        <v>222.5</v>
      </c>
      <c r="C7706">
        <v>0.03</v>
      </c>
    </row>
    <row r="7707" spans="1:3" ht="15" customHeight="1" x14ac:dyDescent="0.25">
      <c r="A7707" t="s">
        <v>9883</v>
      </c>
      <c r="B7707">
        <v>222.5</v>
      </c>
      <c r="C7707">
        <v>0.03</v>
      </c>
    </row>
    <row r="7708" spans="1:3" ht="15" customHeight="1" x14ac:dyDescent="0.25">
      <c r="A7708" t="s">
        <v>9884</v>
      </c>
      <c r="B7708">
        <v>188.5</v>
      </c>
      <c r="C7708">
        <v>0.03</v>
      </c>
    </row>
    <row r="7709" spans="1:3" ht="15" customHeight="1" x14ac:dyDescent="0.25">
      <c r="A7709" t="s">
        <v>9885</v>
      </c>
      <c r="B7709">
        <v>188.5</v>
      </c>
      <c r="C7709">
        <v>0.03</v>
      </c>
    </row>
    <row r="7710" spans="1:3" ht="15" customHeight="1" x14ac:dyDescent="0.25">
      <c r="A7710" t="s">
        <v>9886</v>
      </c>
      <c r="B7710">
        <v>163.9</v>
      </c>
      <c r="C7710">
        <v>0.03</v>
      </c>
    </row>
    <row r="7711" spans="1:3" ht="15" customHeight="1" x14ac:dyDescent="0.25">
      <c r="A7711" t="s">
        <v>9887</v>
      </c>
      <c r="B7711">
        <v>192.5</v>
      </c>
      <c r="C7711">
        <v>0.03</v>
      </c>
    </row>
    <row r="7712" spans="1:3" ht="15" customHeight="1" x14ac:dyDescent="0.25">
      <c r="A7712" t="s">
        <v>9888</v>
      </c>
      <c r="B7712">
        <v>192.5</v>
      </c>
      <c r="C7712">
        <v>0.03</v>
      </c>
    </row>
    <row r="7713" spans="1:3" ht="15" customHeight="1" x14ac:dyDescent="0.25">
      <c r="A7713" t="s">
        <v>9889</v>
      </c>
      <c r="B7713">
        <v>163.9</v>
      </c>
      <c r="C7713">
        <v>0.03</v>
      </c>
    </row>
    <row r="7714" spans="1:3" ht="15" customHeight="1" x14ac:dyDescent="0.25">
      <c r="A7714" t="s">
        <v>9890</v>
      </c>
      <c r="B7714">
        <v>163.9</v>
      </c>
      <c r="C7714">
        <v>0.03</v>
      </c>
    </row>
    <row r="7715" spans="1:3" ht="15" customHeight="1" x14ac:dyDescent="0.25">
      <c r="A7715" t="s">
        <v>9891</v>
      </c>
      <c r="B7715">
        <v>163.9</v>
      </c>
      <c r="C7715">
        <v>0.03</v>
      </c>
    </row>
    <row r="7716" spans="1:3" ht="15" customHeight="1" x14ac:dyDescent="0.25">
      <c r="A7716" t="s">
        <v>9892</v>
      </c>
      <c r="B7716">
        <v>54.2</v>
      </c>
      <c r="C7716">
        <v>0.4</v>
      </c>
    </row>
    <row r="7717" spans="1:3" ht="15" customHeight="1" x14ac:dyDescent="0.25">
      <c r="A7717" t="s">
        <v>9893</v>
      </c>
      <c r="B7717">
        <v>54.2</v>
      </c>
    </row>
    <row r="7718" spans="1:3" ht="15" customHeight="1" x14ac:dyDescent="0.25">
      <c r="A7718" t="s">
        <v>9894</v>
      </c>
      <c r="B7718">
        <v>50.8</v>
      </c>
    </row>
    <row r="7719" spans="1:3" ht="15" customHeight="1" x14ac:dyDescent="0.25">
      <c r="A7719" t="s">
        <v>9895</v>
      </c>
      <c r="B7719">
        <v>50.8</v>
      </c>
    </row>
    <row r="7720" spans="1:3" ht="15" customHeight="1" x14ac:dyDescent="0.25">
      <c r="A7720" t="s">
        <v>9896</v>
      </c>
      <c r="B7720">
        <v>50.8</v>
      </c>
    </row>
    <row r="7721" spans="1:3" ht="15" customHeight="1" x14ac:dyDescent="0.25">
      <c r="A7721" t="s">
        <v>9897</v>
      </c>
      <c r="B7721">
        <v>54.2</v>
      </c>
      <c r="C7721">
        <v>0.4</v>
      </c>
    </row>
    <row r="7722" spans="1:3" ht="15" customHeight="1" x14ac:dyDescent="0.25">
      <c r="A7722" t="s">
        <v>9898</v>
      </c>
      <c r="B7722">
        <v>54.2</v>
      </c>
      <c r="C7722">
        <v>0.4</v>
      </c>
    </row>
    <row r="7723" spans="1:3" ht="15" customHeight="1" x14ac:dyDescent="0.25">
      <c r="A7723" t="s">
        <v>9899</v>
      </c>
      <c r="B7723">
        <v>54.2</v>
      </c>
      <c r="C7723">
        <v>0.4</v>
      </c>
    </row>
    <row r="7724" spans="1:3" ht="15" customHeight="1" x14ac:dyDescent="0.25">
      <c r="A7724" t="s">
        <v>9900</v>
      </c>
      <c r="B7724">
        <v>53.6</v>
      </c>
    </row>
    <row r="7725" spans="1:3" ht="15" customHeight="1" x14ac:dyDescent="0.25">
      <c r="A7725" t="s">
        <v>9901</v>
      </c>
      <c r="B7725">
        <v>53.6</v>
      </c>
      <c r="C7725">
        <v>0.4</v>
      </c>
    </row>
    <row r="7726" spans="1:3" ht="15" customHeight="1" x14ac:dyDescent="0.25">
      <c r="A7726" t="s">
        <v>9902</v>
      </c>
      <c r="B7726">
        <v>70.2</v>
      </c>
      <c r="C7726">
        <v>0.08</v>
      </c>
    </row>
    <row r="7727" spans="1:3" ht="15" customHeight="1" x14ac:dyDescent="0.25">
      <c r="A7727" t="s">
        <v>9903</v>
      </c>
      <c r="B7727">
        <v>70.2</v>
      </c>
      <c r="C7727">
        <v>0.08</v>
      </c>
    </row>
    <row r="7728" spans="1:3" ht="15" customHeight="1" x14ac:dyDescent="0.25">
      <c r="A7728" t="s">
        <v>9904</v>
      </c>
      <c r="B7728">
        <v>63.2</v>
      </c>
      <c r="C7728">
        <v>0.08</v>
      </c>
    </row>
    <row r="7729" spans="1:3" ht="15" customHeight="1" x14ac:dyDescent="0.25">
      <c r="A7729" t="s">
        <v>9905</v>
      </c>
      <c r="B7729">
        <v>63.2</v>
      </c>
      <c r="C7729">
        <v>0.08</v>
      </c>
    </row>
    <row r="7730" spans="1:3" ht="15" customHeight="1" x14ac:dyDescent="0.25">
      <c r="A7730" t="s">
        <v>9906</v>
      </c>
      <c r="B7730">
        <v>63.2</v>
      </c>
      <c r="C7730">
        <v>0.08</v>
      </c>
    </row>
    <row r="7731" spans="1:3" ht="15" customHeight="1" x14ac:dyDescent="0.25">
      <c r="A7731" t="s">
        <v>9907</v>
      </c>
      <c r="B7731">
        <v>70.2</v>
      </c>
      <c r="C7731">
        <v>0.08</v>
      </c>
    </row>
    <row r="7732" spans="1:3" ht="15" customHeight="1" x14ac:dyDescent="0.25">
      <c r="A7732" t="s">
        <v>9908</v>
      </c>
      <c r="B7732">
        <v>76.400000000000006</v>
      </c>
      <c r="C7732">
        <v>0.08</v>
      </c>
    </row>
    <row r="7733" spans="1:3" ht="15" customHeight="1" x14ac:dyDescent="0.25">
      <c r="A7733" t="s">
        <v>9909</v>
      </c>
      <c r="B7733">
        <v>76.400000000000006</v>
      </c>
      <c r="C7733">
        <v>0.08</v>
      </c>
    </row>
    <row r="7734" spans="1:3" ht="15" customHeight="1" x14ac:dyDescent="0.25">
      <c r="A7734" t="s">
        <v>9910</v>
      </c>
      <c r="B7734">
        <v>76.400000000000006</v>
      </c>
      <c r="C7734">
        <v>0.08</v>
      </c>
    </row>
    <row r="7735" spans="1:3" ht="15" customHeight="1" x14ac:dyDescent="0.25">
      <c r="A7735" t="s">
        <v>9911</v>
      </c>
      <c r="B7735">
        <v>76.400000000000006</v>
      </c>
      <c r="C7735">
        <v>0.08</v>
      </c>
    </row>
    <row r="7736" spans="1:3" ht="15" customHeight="1" x14ac:dyDescent="0.25">
      <c r="A7736" t="s">
        <v>9912</v>
      </c>
      <c r="B7736">
        <v>76.400000000000006</v>
      </c>
      <c r="C7736">
        <v>0.08</v>
      </c>
    </row>
    <row r="7737" spans="1:3" ht="15" customHeight="1" x14ac:dyDescent="0.25">
      <c r="A7737" t="s">
        <v>9913</v>
      </c>
      <c r="B7737">
        <v>76.400000000000006</v>
      </c>
      <c r="C7737">
        <v>0.08</v>
      </c>
    </row>
    <row r="7738" spans="1:3" ht="15" customHeight="1" x14ac:dyDescent="0.25">
      <c r="A7738" t="s">
        <v>9914</v>
      </c>
      <c r="B7738">
        <v>64.7</v>
      </c>
      <c r="C7738">
        <v>0.08</v>
      </c>
    </row>
    <row r="7739" spans="1:3" ht="15" customHeight="1" x14ac:dyDescent="0.25">
      <c r="A7739" t="s">
        <v>9915</v>
      </c>
      <c r="B7739">
        <v>64.7</v>
      </c>
      <c r="C7739">
        <v>0.08</v>
      </c>
    </row>
    <row r="7740" spans="1:3" ht="15" customHeight="1" x14ac:dyDescent="0.25">
      <c r="A7740" t="s">
        <v>9916</v>
      </c>
      <c r="B7740">
        <v>64.7</v>
      </c>
      <c r="C7740">
        <v>0.08</v>
      </c>
    </row>
    <row r="7741" spans="1:3" ht="15" customHeight="1" x14ac:dyDescent="0.25">
      <c r="A7741" t="s">
        <v>9917</v>
      </c>
      <c r="B7741">
        <v>70.2</v>
      </c>
      <c r="C7741">
        <v>0.08</v>
      </c>
    </row>
    <row r="7742" spans="1:3" ht="15" customHeight="1" x14ac:dyDescent="0.25">
      <c r="A7742" t="s">
        <v>9918</v>
      </c>
      <c r="B7742">
        <v>70.2</v>
      </c>
      <c r="C7742">
        <v>0.08</v>
      </c>
    </row>
    <row r="7743" spans="1:3" ht="15" customHeight="1" x14ac:dyDescent="0.25">
      <c r="A7743" t="s">
        <v>9919</v>
      </c>
      <c r="B7743">
        <v>69.599999999999994</v>
      </c>
      <c r="C7743">
        <v>0.08</v>
      </c>
    </row>
    <row r="7744" spans="1:3" ht="15" customHeight="1" x14ac:dyDescent="0.25">
      <c r="A7744" t="s">
        <v>9920</v>
      </c>
      <c r="B7744">
        <v>69.599999999999994</v>
      </c>
      <c r="C7744">
        <v>0.08</v>
      </c>
    </row>
    <row r="7745" spans="1:2" ht="15" customHeight="1" x14ac:dyDescent="0.25">
      <c r="A7745" t="s">
        <v>9921</v>
      </c>
      <c r="B7745">
        <v>20.3</v>
      </c>
    </row>
    <row r="7746" spans="1:2" ht="15" customHeight="1" x14ac:dyDescent="0.25">
      <c r="A7746" t="s">
        <v>9922</v>
      </c>
      <c r="B7746">
        <v>20.3</v>
      </c>
    </row>
    <row r="7747" spans="1:2" ht="15" customHeight="1" x14ac:dyDescent="0.25">
      <c r="A7747" t="s">
        <v>9923</v>
      </c>
      <c r="B7747">
        <v>20.3</v>
      </c>
    </row>
    <row r="7748" spans="1:2" ht="15" customHeight="1" x14ac:dyDescent="0.25">
      <c r="A7748" t="s">
        <v>9924</v>
      </c>
      <c r="B7748">
        <v>20.3</v>
      </c>
    </row>
    <row r="7749" spans="1:2" ht="15" customHeight="1" x14ac:dyDescent="0.25">
      <c r="A7749" t="s">
        <v>9925</v>
      </c>
      <c r="B7749">
        <v>43.7</v>
      </c>
    </row>
    <row r="7750" spans="1:2" ht="15" customHeight="1" x14ac:dyDescent="0.25">
      <c r="A7750" t="s">
        <v>9926</v>
      </c>
      <c r="B7750">
        <v>21.6</v>
      </c>
    </row>
    <row r="7751" spans="1:2" ht="15" customHeight="1" x14ac:dyDescent="0.25">
      <c r="A7751" t="s">
        <v>9927</v>
      </c>
      <c r="B7751">
        <v>21.6</v>
      </c>
    </row>
    <row r="7752" spans="1:2" ht="15" customHeight="1" x14ac:dyDescent="0.25">
      <c r="A7752" t="s">
        <v>9928</v>
      </c>
      <c r="B7752">
        <v>21.6</v>
      </c>
    </row>
    <row r="7753" spans="1:2" ht="15" customHeight="1" x14ac:dyDescent="0.25">
      <c r="A7753" t="s">
        <v>9929</v>
      </c>
      <c r="B7753">
        <v>21.6</v>
      </c>
    </row>
    <row r="7754" spans="1:2" ht="15" customHeight="1" x14ac:dyDescent="0.25">
      <c r="A7754" t="s">
        <v>9930</v>
      </c>
      <c r="B7754">
        <v>43.4</v>
      </c>
    </row>
    <row r="7755" spans="1:2" ht="15" customHeight="1" x14ac:dyDescent="0.25">
      <c r="A7755" t="s">
        <v>9931</v>
      </c>
      <c r="B7755">
        <v>43.4</v>
      </c>
    </row>
    <row r="7756" spans="1:2" ht="15" customHeight="1" x14ac:dyDescent="0.25">
      <c r="A7756" t="s">
        <v>9932</v>
      </c>
      <c r="B7756">
        <v>43.4</v>
      </c>
    </row>
    <row r="7757" spans="1:2" ht="15" customHeight="1" x14ac:dyDescent="0.25">
      <c r="A7757" t="s">
        <v>9933</v>
      </c>
      <c r="B7757">
        <v>26.4</v>
      </c>
    </row>
    <row r="7758" spans="1:2" ht="15" customHeight="1" x14ac:dyDescent="0.25">
      <c r="A7758" t="s">
        <v>9934</v>
      </c>
      <c r="B7758">
        <v>26.4</v>
      </c>
    </row>
    <row r="7759" spans="1:2" ht="15" customHeight="1" x14ac:dyDescent="0.25">
      <c r="A7759" t="s">
        <v>9935</v>
      </c>
      <c r="B7759">
        <v>26.4</v>
      </c>
    </row>
    <row r="7760" spans="1:2" ht="15" customHeight="1" x14ac:dyDescent="0.25">
      <c r="A7760" t="s">
        <v>9936</v>
      </c>
      <c r="B7760">
        <v>26.4</v>
      </c>
    </row>
    <row r="7761" spans="1:3" ht="15" customHeight="1" x14ac:dyDescent="0.25">
      <c r="A7761" t="s">
        <v>9937</v>
      </c>
      <c r="B7761">
        <v>26.4</v>
      </c>
    </row>
    <row r="7762" spans="1:3" ht="15" customHeight="1" x14ac:dyDescent="0.25">
      <c r="A7762" t="s">
        <v>9938</v>
      </c>
      <c r="B7762">
        <v>26.4</v>
      </c>
      <c r="C7762">
        <v>0.4</v>
      </c>
    </row>
    <row r="7763" spans="1:3" ht="15" customHeight="1" x14ac:dyDescent="0.25">
      <c r="A7763" t="s">
        <v>9939</v>
      </c>
      <c r="B7763">
        <v>26.4</v>
      </c>
      <c r="C7763">
        <v>0.4</v>
      </c>
    </row>
    <row r="7764" spans="1:3" ht="15" customHeight="1" x14ac:dyDescent="0.25">
      <c r="A7764" t="s">
        <v>9940</v>
      </c>
      <c r="B7764">
        <v>26.4</v>
      </c>
    </row>
    <row r="7765" spans="1:3" ht="15" customHeight="1" x14ac:dyDescent="0.25">
      <c r="A7765" t="s">
        <v>9941</v>
      </c>
      <c r="B7765">
        <v>26.4</v>
      </c>
    </row>
    <row r="7766" spans="1:3" ht="15" customHeight="1" x14ac:dyDescent="0.25">
      <c r="A7766" t="s">
        <v>9942</v>
      </c>
      <c r="B7766">
        <v>26.4</v>
      </c>
    </row>
    <row r="7767" spans="1:3" ht="15" customHeight="1" x14ac:dyDescent="0.25">
      <c r="A7767" t="s">
        <v>9943</v>
      </c>
      <c r="B7767">
        <v>26.4</v>
      </c>
    </row>
    <row r="7768" spans="1:3" ht="15" customHeight="1" x14ac:dyDescent="0.25">
      <c r="A7768" t="s">
        <v>9944</v>
      </c>
      <c r="B7768">
        <v>26.4</v>
      </c>
    </row>
    <row r="7769" spans="1:3" ht="15" customHeight="1" x14ac:dyDescent="0.25">
      <c r="A7769" t="s">
        <v>9945</v>
      </c>
      <c r="B7769">
        <v>26.4</v>
      </c>
    </row>
    <row r="7770" spans="1:3" ht="15" customHeight="1" x14ac:dyDescent="0.25">
      <c r="A7770" t="s">
        <v>9946</v>
      </c>
      <c r="B7770">
        <v>26.4</v>
      </c>
    </row>
    <row r="7771" spans="1:3" ht="15" customHeight="1" x14ac:dyDescent="0.25">
      <c r="A7771" t="s">
        <v>9947</v>
      </c>
      <c r="B7771">
        <v>26.4</v>
      </c>
    </row>
    <row r="7772" spans="1:3" ht="15" customHeight="1" x14ac:dyDescent="0.25">
      <c r="A7772" t="s">
        <v>9948</v>
      </c>
      <c r="B7772">
        <v>26.4</v>
      </c>
    </row>
    <row r="7773" spans="1:3" ht="15" customHeight="1" x14ac:dyDescent="0.25">
      <c r="A7773" t="s">
        <v>9949</v>
      </c>
      <c r="B7773">
        <v>26.4</v>
      </c>
    </row>
    <row r="7774" spans="1:3" ht="15" customHeight="1" x14ac:dyDescent="0.25">
      <c r="A7774" t="s">
        <v>9950</v>
      </c>
      <c r="B7774">
        <v>26.4</v>
      </c>
    </row>
    <row r="7775" spans="1:3" ht="15" customHeight="1" x14ac:dyDescent="0.25">
      <c r="A7775" t="s">
        <v>9951</v>
      </c>
      <c r="B7775">
        <v>26.4</v>
      </c>
    </row>
    <row r="7776" spans="1:3" ht="15" customHeight="1" x14ac:dyDescent="0.25">
      <c r="A7776" t="s">
        <v>9952</v>
      </c>
      <c r="B7776">
        <v>45.7</v>
      </c>
    </row>
    <row r="7777" spans="1:3" ht="15" customHeight="1" x14ac:dyDescent="0.25">
      <c r="A7777" t="s">
        <v>9953</v>
      </c>
      <c r="B7777">
        <v>45.7</v>
      </c>
    </row>
    <row r="7778" spans="1:3" ht="15" customHeight="1" x14ac:dyDescent="0.25">
      <c r="A7778" t="s">
        <v>9954</v>
      </c>
      <c r="B7778">
        <v>45.7</v>
      </c>
    </row>
    <row r="7779" spans="1:3" ht="15" customHeight="1" x14ac:dyDescent="0.25">
      <c r="A7779" t="s">
        <v>9955</v>
      </c>
      <c r="B7779">
        <v>45.7</v>
      </c>
    </row>
    <row r="7780" spans="1:3" ht="15" customHeight="1" x14ac:dyDescent="0.25">
      <c r="A7780" t="s">
        <v>9956</v>
      </c>
      <c r="B7780">
        <v>45.7</v>
      </c>
      <c r="C7780">
        <v>0.4</v>
      </c>
    </row>
    <row r="7781" spans="1:3" ht="15" customHeight="1" x14ac:dyDescent="0.25">
      <c r="A7781" t="s">
        <v>9957</v>
      </c>
      <c r="B7781">
        <v>45.7</v>
      </c>
    </row>
    <row r="7782" spans="1:3" ht="15" customHeight="1" x14ac:dyDescent="0.25">
      <c r="A7782" t="s">
        <v>9958</v>
      </c>
      <c r="B7782">
        <v>45.7</v>
      </c>
    </row>
    <row r="7783" spans="1:3" ht="15" customHeight="1" x14ac:dyDescent="0.25">
      <c r="A7783" t="s">
        <v>9959</v>
      </c>
      <c r="B7783">
        <v>45.7</v>
      </c>
      <c r="C7783">
        <v>0.4</v>
      </c>
    </row>
    <row r="7784" spans="1:3" ht="15" customHeight="1" x14ac:dyDescent="0.25">
      <c r="A7784" t="s">
        <v>9960</v>
      </c>
      <c r="B7784">
        <v>45.7</v>
      </c>
    </row>
    <row r="7785" spans="1:3" ht="15" customHeight="1" x14ac:dyDescent="0.25">
      <c r="A7785" t="s">
        <v>9961</v>
      </c>
      <c r="B7785">
        <v>36.200000000000003</v>
      </c>
    </row>
    <row r="7786" spans="1:3" ht="15" customHeight="1" x14ac:dyDescent="0.25">
      <c r="A7786" t="s">
        <v>9962</v>
      </c>
      <c r="B7786">
        <v>36.200000000000003</v>
      </c>
      <c r="C7786">
        <v>0.4</v>
      </c>
    </row>
    <row r="7787" spans="1:3" ht="15" customHeight="1" x14ac:dyDescent="0.25">
      <c r="A7787" t="s">
        <v>9963</v>
      </c>
      <c r="B7787">
        <v>36.200000000000003</v>
      </c>
    </row>
    <row r="7788" spans="1:3" ht="15" customHeight="1" x14ac:dyDescent="0.25">
      <c r="A7788" t="s">
        <v>9964</v>
      </c>
      <c r="B7788">
        <v>36.200000000000003</v>
      </c>
    </row>
    <row r="7789" spans="1:3" ht="15" customHeight="1" x14ac:dyDescent="0.25">
      <c r="A7789" t="s">
        <v>9965</v>
      </c>
      <c r="B7789">
        <v>36.200000000000003</v>
      </c>
      <c r="C7789">
        <v>0.4</v>
      </c>
    </row>
    <row r="7790" spans="1:3" ht="15" customHeight="1" x14ac:dyDescent="0.25">
      <c r="A7790" t="s">
        <v>9966</v>
      </c>
      <c r="B7790">
        <v>36.200000000000003</v>
      </c>
    </row>
    <row r="7791" spans="1:3" ht="15" customHeight="1" x14ac:dyDescent="0.25">
      <c r="A7791" t="s">
        <v>9967</v>
      </c>
      <c r="B7791">
        <v>36.200000000000003</v>
      </c>
      <c r="C7791">
        <v>0.4</v>
      </c>
    </row>
    <row r="7792" spans="1:3" ht="15" customHeight="1" x14ac:dyDescent="0.25">
      <c r="A7792" t="s">
        <v>9968</v>
      </c>
      <c r="B7792">
        <v>36.200000000000003</v>
      </c>
    </row>
    <row r="7793" spans="1:3" ht="15" customHeight="1" x14ac:dyDescent="0.25">
      <c r="A7793" t="s">
        <v>9969</v>
      </c>
      <c r="B7793">
        <v>36.200000000000003</v>
      </c>
      <c r="C7793">
        <v>0.4</v>
      </c>
    </row>
    <row r="7794" spans="1:3" ht="15" customHeight="1" x14ac:dyDescent="0.25">
      <c r="A7794" t="s">
        <v>9970</v>
      </c>
      <c r="B7794">
        <v>36.200000000000003</v>
      </c>
      <c r="C7794">
        <v>0.4</v>
      </c>
    </row>
    <row r="7795" spans="1:3" ht="15" customHeight="1" x14ac:dyDescent="0.25">
      <c r="A7795" t="s">
        <v>9971</v>
      </c>
      <c r="B7795">
        <v>36.200000000000003</v>
      </c>
    </row>
    <row r="7796" spans="1:3" ht="15" customHeight="1" x14ac:dyDescent="0.25">
      <c r="A7796" t="s">
        <v>9972</v>
      </c>
      <c r="B7796">
        <v>36.200000000000003</v>
      </c>
      <c r="C7796">
        <v>0.4</v>
      </c>
    </row>
    <row r="7797" spans="1:3" ht="15" customHeight="1" x14ac:dyDescent="0.25">
      <c r="A7797" t="s">
        <v>9973</v>
      </c>
      <c r="B7797">
        <v>36.200000000000003</v>
      </c>
      <c r="C7797">
        <v>0.4</v>
      </c>
    </row>
    <row r="7798" spans="1:3" ht="15" customHeight="1" x14ac:dyDescent="0.25">
      <c r="A7798" t="s">
        <v>9974</v>
      </c>
      <c r="B7798">
        <v>36.200000000000003</v>
      </c>
    </row>
    <row r="7799" spans="1:3" ht="15" customHeight="1" x14ac:dyDescent="0.25">
      <c r="A7799" t="s">
        <v>9975</v>
      </c>
      <c r="B7799">
        <v>45.1</v>
      </c>
    </row>
    <row r="7800" spans="1:3" ht="15" customHeight="1" x14ac:dyDescent="0.25">
      <c r="A7800" t="s">
        <v>9976</v>
      </c>
      <c r="B7800">
        <v>27.2</v>
      </c>
    </row>
    <row r="7801" spans="1:3" ht="15" customHeight="1" x14ac:dyDescent="0.25">
      <c r="A7801" t="s">
        <v>9977</v>
      </c>
      <c r="B7801">
        <v>27.2</v>
      </c>
    </row>
    <row r="7802" spans="1:3" ht="15" customHeight="1" x14ac:dyDescent="0.25">
      <c r="A7802" t="s">
        <v>9978</v>
      </c>
      <c r="B7802">
        <v>56.9</v>
      </c>
    </row>
    <row r="7803" spans="1:3" ht="15" customHeight="1" x14ac:dyDescent="0.25">
      <c r="A7803" t="s">
        <v>9979</v>
      </c>
      <c r="B7803">
        <v>56.9</v>
      </c>
    </row>
    <row r="7804" spans="1:3" ht="15" customHeight="1" x14ac:dyDescent="0.25">
      <c r="A7804" t="s">
        <v>9980</v>
      </c>
      <c r="B7804">
        <v>36.1</v>
      </c>
      <c r="C7804">
        <v>0.4</v>
      </c>
    </row>
    <row r="7805" spans="1:3" ht="15" customHeight="1" x14ac:dyDescent="0.25">
      <c r="A7805" t="s">
        <v>9981</v>
      </c>
      <c r="B7805">
        <v>36.1</v>
      </c>
      <c r="C7805">
        <v>0.4</v>
      </c>
    </row>
    <row r="7806" spans="1:3" ht="15" customHeight="1" x14ac:dyDescent="0.25">
      <c r="A7806" t="s">
        <v>9982</v>
      </c>
      <c r="B7806">
        <v>36.1</v>
      </c>
      <c r="C7806">
        <v>0.4</v>
      </c>
    </row>
    <row r="7807" spans="1:3" ht="15" customHeight="1" x14ac:dyDescent="0.25">
      <c r="A7807" t="s">
        <v>9983</v>
      </c>
      <c r="B7807">
        <v>45.4</v>
      </c>
    </row>
    <row r="7808" spans="1:3" ht="15" customHeight="1" x14ac:dyDescent="0.25">
      <c r="A7808" t="s">
        <v>9984</v>
      </c>
      <c r="B7808">
        <v>42.7</v>
      </c>
      <c r="C7808">
        <v>0.4</v>
      </c>
    </row>
    <row r="7809" spans="1:3" ht="15" customHeight="1" x14ac:dyDescent="0.25">
      <c r="A7809" t="s">
        <v>9985</v>
      </c>
      <c r="B7809">
        <v>50.6</v>
      </c>
      <c r="C7809">
        <v>0.4</v>
      </c>
    </row>
    <row r="7810" spans="1:3" ht="15" customHeight="1" x14ac:dyDescent="0.25">
      <c r="A7810" t="s">
        <v>9986</v>
      </c>
      <c r="B7810">
        <v>42.7</v>
      </c>
      <c r="C7810">
        <v>0.4</v>
      </c>
    </row>
    <row r="7811" spans="1:3" ht="15" customHeight="1" x14ac:dyDescent="0.25">
      <c r="A7811" t="s">
        <v>9987</v>
      </c>
      <c r="B7811">
        <v>50.6</v>
      </c>
    </row>
    <row r="7812" spans="1:3" ht="15" customHeight="1" x14ac:dyDescent="0.25">
      <c r="A7812" t="s">
        <v>9988</v>
      </c>
      <c r="B7812">
        <v>50.6</v>
      </c>
    </row>
    <row r="7813" spans="1:3" ht="15" customHeight="1" x14ac:dyDescent="0.25">
      <c r="A7813" t="s">
        <v>9989</v>
      </c>
      <c r="B7813">
        <v>45.4</v>
      </c>
    </row>
    <row r="7814" spans="1:3" ht="15" customHeight="1" x14ac:dyDescent="0.25">
      <c r="A7814" t="s">
        <v>9990</v>
      </c>
      <c r="B7814">
        <v>45.1</v>
      </c>
    </row>
    <row r="7815" spans="1:3" ht="15" customHeight="1" x14ac:dyDescent="0.25">
      <c r="A7815" t="s">
        <v>9991</v>
      </c>
      <c r="B7815">
        <v>42.7</v>
      </c>
    </row>
    <row r="7816" spans="1:3" ht="15" customHeight="1" x14ac:dyDescent="0.25">
      <c r="A7816" t="s">
        <v>9992</v>
      </c>
      <c r="B7816">
        <v>24.1</v>
      </c>
    </row>
    <row r="7817" spans="1:3" ht="15" customHeight="1" x14ac:dyDescent="0.25">
      <c r="A7817" t="s">
        <v>9993</v>
      </c>
      <c r="B7817">
        <v>28.9</v>
      </c>
      <c r="C7817">
        <v>0.4</v>
      </c>
    </row>
    <row r="7818" spans="1:3" ht="15" customHeight="1" x14ac:dyDescent="0.25">
      <c r="A7818" t="s">
        <v>9994</v>
      </c>
      <c r="B7818">
        <v>28.9</v>
      </c>
      <c r="C7818">
        <v>0.4</v>
      </c>
    </row>
    <row r="7819" spans="1:3" ht="15" customHeight="1" x14ac:dyDescent="0.25">
      <c r="A7819" t="s">
        <v>9995</v>
      </c>
      <c r="B7819">
        <v>32</v>
      </c>
    </row>
    <row r="7820" spans="1:3" ht="15" customHeight="1" x14ac:dyDescent="0.25">
      <c r="A7820" t="s">
        <v>9996</v>
      </c>
      <c r="B7820">
        <v>29.5</v>
      </c>
      <c r="C7820">
        <v>0.4</v>
      </c>
    </row>
    <row r="7821" spans="1:3" ht="15" customHeight="1" x14ac:dyDescent="0.25">
      <c r="A7821" t="s">
        <v>9997</v>
      </c>
      <c r="B7821">
        <v>28.9</v>
      </c>
      <c r="C7821">
        <v>0.4</v>
      </c>
    </row>
    <row r="7822" spans="1:3" ht="15" customHeight="1" x14ac:dyDescent="0.25">
      <c r="A7822" t="s">
        <v>9998</v>
      </c>
      <c r="B7822">
        <v>32</v>
      </c>
    </row>
    <row r="7823" spans="1:3" ht="15" customHeight="1" x14ac:dyDescent="0.25">
      <c r="A7823" t="s">
        <v>9999</v>
      </c>
      <c r="B7823">
        <v>28.9</v>
      </c>
      <c r="C7823">
        <v>0.4</v>
      </c>
    </row>
    <row r="7824" spans="1:3" ht="15" customHeight="1" x14ac:dyDescent="0.25">
      <c r="A7824" t="s">
        <v>10000</v>
      </c>
      <c r="B7824">
        <v>28.9</v>
      </c>
    </row>
    <row r="7825" spans="1:3" ht="15" customHeight="1" x14ac:dyDescent="0.25">
      <c r="A7825" t="s">
        <v>10001</v>
      </c>
      <c r="B7825">
        <v>32</v>
      </c>
    </row>
    <row r="7826" spans="1:3" ht="15" customHeight="1" x14ac:dyDescent="0.25">
      <c r="A7826" t="s">
        <v>10002</v>
      </c>
      <c r="B7826">
        <v>28.9</v>
      </c>
    </row>
    <row r="7827" spans="1:3" ht="15" customHeight="1" x14ac:dyDescent="0.25">
      <c r="A7827" t="s">
        <v>10003</v>
      </c>
      <c r="B7827">
        <v>32</v>
      </c>
    </row>
    <row r="7828" spans="1:3" ht="15" customHeight="1" x14ac:dyDescent="0.25">
      <c r="A7828" t="s">
        <v>10004</v>
      </c>
      <c r="B7828">
        <v>28.9</v>
      </c>
      <c r="C7828">
        <v>0.4</v>
      </c>
    </row>
    <row r="7829" spans="1:3" ht="15" customHeight="1" x14ac:dyDescent="0.25">
      <c r="A7829" t="s">
        <v>10005</v>
      </c>
      <c r="B7829">
        <v>31.4</v>
      </c>
    </row>
    <row r="7830" spans="1:3" ht="15" customHeight="1" x14ac:dyDescent="0.25">
      <c r="A7830" t="s">
        <v>10006</v>
      </c>
      <c r="B7830">
        <v>46.1</v>
      </c>
    </row>
    <row r="7831" spans="1:3" ht="15" customHeight="1" x14ac:dyDescent="0.25">
      <c r="A7831" t="s">
        <v>10007</v>
      </c>
      <c r="B7831">
        <v>47.8</v>
      </c>
      <c r="C7831">
        <v>0.4</v>
      </c>
    </row>
    <row r="7832" spans="1:3" ht="15" customHeight="1" x14ac:dyDescent="0.25">
      <c r="A7832" t="s">
        <v>10008</v>
      </c>
      <c r="B7832">
        <v>47.8</v>
      </c>
    </row>
    <row r="7833" spans="1:3" ht="15" customHeight="1" x14ac:dyDescent="0.25">
      <c r="A7833" t="s">
        <v>10009</v>
      </c>
      <c r="B7833">
        <v>46.1</v>
      </c>
      <c r="C7833">
        <v>0.4</v>
      </c>
    </row>
    <row r="7834" spans="1:3" ht="15" customHeight="1" x14ac:dyDescent="0.25">
      <c r="A7834" t="s">
        <v>10010</v>
      </c>
      <c r="B7834">
        <v>52.9</v>
      </c>
    </row>
    <row r="7835" spans="1:3" ht="15" customHeight="1" x14ac:dyDescent="0.25">
      <c r="A7835" t="s">
        <v>10011</v>
      </c>
      <c r="B7835">
        <v>47.8</v>
      </c>
    </row>
    <row r="7836" spans="1:3" ht="15" customHeight="1" x14ac:dyDescent="0.25">
      <c r="A7836" t="s">
        <v>10012</v>
      </c>
      <c r="B7836">
        <v>35.4</v>
      </c>
      <c r="C7836">
        <v>0.2</v>
      </c>
    </row>
    <row r="7837" spans="1:3" ht="15" customHeight="1" x14ac:dyDescent="0.25">
      <c r="A7837" t="s">
        <v>10013</v>
      </c>
      <c r="B7837">
        <v>4.0999999999999996</v>
      </c>
      <c r="C7837">
        <v>0.25</v>
      </c>
    </row>
    <row r="7838" spans="1:3" ht="15" customHeight="1" x14ac:dyDescent="0.25">
      <c r="A7838" t="s">
        <v>10014</v>
      </c>
      <c r="B7838">
        <v>4.0999999999999996</v>
      </c>
      <c r="C7838">
        <v>0.25</v>
      </c>
    </row>
    <row r="7839" spans="1:3" ht="15" customHeight="1" x14ac:dyDescent="0.25">
      <c r="A7839" t="s">
        <v>10015</v>
      </c>
      <c r="B7839">
        <v>4.0999999999999996</v>
      </c>
      <c r="C7839">
        <v>0.25</v>
      </c>
    </row>
    <row r="7840" spans="1:3" ht="15" customHeight="1" x14ac:dyDescent="0.25">
      <c r="A7840" t="s">
        <v>10016</v>
      </c>
      <c r="B7840">
        <v>7.6</v>
      </c>
    </row>
    <row r="7841" spans="1:3" ht="15" customHeight="1" x14ac:dyDescent="0.25">
      <c r="A7841" t="s">
        <v>10017</v>
      </c>
      <c r="B7841">
        <v>7.6</v>
      </c>
    </row>
    <row r="7842" spans="1:3" ht="15" customHeight="1" x14ac:dyDescent="0.25">
      <c r="A7842" t="s">
        <v>10018</v>
      </c>
      <c r="B7842">
        <v>7.6</v>
      </c>
    </row>
    <row r="7843" spans="1:3" ht="15" customHeight="1" x14ac:dyDescent="0.25">
      <c r="A7843" t="s">
        <v>10019</v>
      </c>
      <c r="B7843">
        <v>7.6</v>
      </c>
      <c r="C7843">
        <v>0.25</v>
      </c>
    </row>
    <row r="7844" spans="1:3" ht="15" customHeight="1" x14ac:dyDescent="0.25">
      <c r="A7844" t="s">
        <v>10020</v>
      </c>
      <c r="B7844">
        <v>7.6</v>
      </c>
      <c r="C7844">
        <v>0.25</v>
      </c>
    </row>
    <row r="7845" spans="1:3" ht="15" customHeight="1" x14ac:dyDescent="0.25">
      <c r="A7845" t="s">
        <v>10021</v>
      </c>
      <c r="B7845">
        <v>7.6</v>
      </c>
      <c r="C7845">
        <v>0.25</v>
      </c>
    </row>
    <row r="7846" spans="1:3" ht="15" customHeight="1" x14ac:dyDescent="0.25">
      <c r="A7846" t="s">
        <v>10022</v>
      </c>
      <c r="B7846">
        <v>11.1</v>
      </c>
    </row>
    <row r="7847" spans="1:3" ht="15" customHeight="1" x14ac:dyDescent="0.25">
      <c r="A7847" t="s">
        <v>10023</v>
      </c>
      <c r="B7847">
        <v>11.1</v>
      </c>
      <c r="C7847">
        <v>0.35</v>
      </c>
    </row>
    <row r="7848" spans="1:3" ht="15" customHeight="1" x14ac:dyDescent="0.25">
      <c r="A7848" t="s">
        <v>10024</v>
      </c>
      <c r="B7848">
        <v>11.1</v>
      </c>
      <c r="C7848">
        <v>0.35</v>
      </c>
    </row>
    <row r="7849" spans="1:3" ht="15" customHeight="1" x14ac:dyDescent="0.25">
      <c r="A7849" t="s">
        <v>10025</v>
      </c>
      <c r="B7849">
        <v>12.5</v>
      </c>
      <c r="C7849">
        <v>0.35</v>
      </c>
    </row>
    <row r="7850" spans="1:3" ht="15" customHeight="1" x14ac:dyDescent="0.25">
      <c r="A7850" t="s">
        <v>10026</v>
      </c>
      <c r="B7850">
        <v>11.1</v>
      </c>
      <c r="C7850">
        <v>0.35</v>
      </c>
    </row>
    <row r="7851" spans="1:3" ht="15" customHeight="1" x14ac:dyDescent="0.25">
      <c r="A7851" t="s">
        <v>10027</v>
      </c>
      <c r="B7851">
        <v>11.1</v>
      </c>
    </row>
    <row r="7852" spans="1:3" ht="15" customHeight="1" x14ac:dyDescent="0.25">
      <c r="A7852" t="s">
        <v>10028</v>
      </c>
      <c r="B7852">
        <v>11.1</v>
      </c>
      <c r="C7852">
        <v>0.35</v>
      </c>
    </row>
    <row r="7853" spans="1:3" ht="15" customHeight="1" x14ac:dyDescent="0.25">
      <c r="A7853" t="s">
        <v>10029</v>
      </c>
      <c r="B7853">
        <v>11.1</v>
      </c>
      <c r="C7853">
        <v>0.35</v>
      </c>
    </row>
    <row r="7854" spans="1:3" ht="15" customHeight="1" x14ac:dyDescent="0.25">
      <c r="A7854" t="s">
        <v>10030</v>
      </c>
      <c r="B7854">
        <v>12.5</v>
      </c>
      <c r="C7854">
        <v>0.35</v>
      </c>
    </row>
    <row r="7855" spans="1:3" ht="15" customHeight="1" x14ac:dyDescent="0.25">
      <c r="A7855" t="s">
        <v>10031</v>
      </c>
      <c r="B7855">
        <v>11.1</v>
      </c>
      <c r="C7855">
        <v>0.35</v>
      </c>
    </row>
    <row r="7856" spans="1:3" ht="15" customHeight="1" x14ac:dyDescent="0.25">
      <c r="A7856" t="s">
        <v>10032</v>
      </c>
      <c r="B7856">
        <v>11.1</v>
      </c>
      <c r="C7856">
        <v>0.35</v>
      </c>
    </row>
    <row r="7857" spans="1:3" ht="15" customHeight="1" x14ac:dyDescent="0.25">
      <c r="A7857" t="s">
        <v>10033</v>
      </c>
      <c r="B7857">
        <v>11.1</v>
      </c>
      <c r="C7857">
        <v>0.35</v>
      </c>
    </row>
    <row r="7858" spans="1:3" ht="15" customHeight="1" x14ac:dyDescent="0.25">
      <c r="A7858" t="s">
        <v>10034</v>
      </c>
      <c r="B7858">
        <v>11.1</v>
      </c>
    </row>
    <row r="7859" spans="1:3" ht="15" customHeight="1" x14ac:dyDescent="0.25">
      <c r="A7859" t="s">
        <v>10035</v>
      </c>
      <c r="B7859">
        <v>12.5</v>
      </c>
      <c r="C7859">
        <v>0.35</v>
      </c>
    </row>
    <row r="7860" spans="1:3" ht="15" customHeight="1" x14ac:dyDescent="0.25">
      <c r="A7860" t="s">
        <v>10036</v>
      </c>
      <c r="B7860">
        <v>11.1</v>
      </c>
      <c r="C7860">
        <v>0.35</v>
      </c>
    </row>
    <row r="7861" spans="1:3" ht="15" customHeight="1" x14ac:dyDescent="0.25">
      <c r="A7861" t="s">
        <v>10037</v>
      </c>
      <c r="B7861">
        <v>11.1</v>
      </c>
      <c r="C7861">
        <v>0.35</v>
      </c>
    </row>
    <row r="7862" spans="1:3" ht="15" customHeight="1" x14ac:dyDescent="0.25">
      <c r="A7862" t="s">
        <v>10038</v>
      </c>
      <c r="B7862">
        <v>11.1</v>
      </c>
      <c r="C7862">
        <v>0.35</v>
      </c>
    </row>
    <row r="7863" spans="1:3" ht="15" customHeight="1" x14ac:dyDescent="0.25">
      <c r="A7863" t="s">
        <v>10039</v>
      </c>
      <c r="B7863">
        <v>11.1</v>
      </c>
      <c r="C7863">
        <v>0.35</v>
      </c>
    </row>
    <row r="7864" spans="1:3" ht="15" customHeight="1" x14ac:dyDescent="0.25">
      <c r="A7864" t="s">
        <v>10040</v>
      </c>
      <c r="B7864">
        <v>11.1</v>
      </c>
      <c r="C7864">
        <v>0.35</v>
      </c>
    </row>
    <row r="7865" spans="1:3" ht="15" customHeight="1" x14ac:dyDescent="0.25">
      <c r="A7865" t="s">
        <v>10041</v>
      </c>
      <c r="B7865">
        <v>12.5</v>
      </c>
      <c r="C7865">
        <v>0.35</v>
      </c>
    </row>
    <row r="7866" spans="1:3" ht="15" customHeight="1" x14ac:dyDescent="0.25">
      <c r="A7866" t="s">
        <v>10042</v>
      </c>
      <c r="B7866">
        <v>11.1</v>
      </c>
      <c r="C7866">
        <v>0.35</v>
      </c>
    </row>
    <row r="7867" spans="1:3" ht="15" customHeight="1" x14ac:dyDescent="0.25">
      <c r="A7867" t="s">
        <v>10043</v>
      </c>
      <c r="B7867">
        <v>11.1</v>
      </c>
      <c r="C7867">
        <v>0.35</v>
      </c>
    </row>
    <row r="7868" spans="1:3" ht="15" customHeight="1" x14ac:dyDescent="0.25">
      <c r="A7868" t="s">
        <v>10044</v>
      </c>
      <c r="B7868">
        <v>11.1</v>
      </c>
      <c r="C7868">
        <v>0.35</v>
      </c>
    </row>
    <row r="7869" spans="1:3" ht="15" customHeight="1" x14ac:dyDescent="0.25">
      <c r="A7869" t="s">
        <v>10045</v>
      </c>
      <c r="B7869">
        <v>11.1</v>
      </c>
      <c r="C7869">
        <v>0.35</v>
      </c>
    </row>
    <row r="7870" spans="1:3" ht="15" customHeight="1" x14ac:dyDescent="0.25">
      <c r="A7870" t="s">
        <v>10046</v>
      </c>
      <c r="B7870">
        <v>12.5</v>
      </c>
      <c r="C7870">
        <v>0.35</v>
      </c>
    </row>
    <row r="7871" spans="1:3" ht="15" customHeight="1" x14ac:dyDescent="0.25">
      <c r="A7871" t="s">
        <v>10047</v>
      </c>
      <c r="B7871">
        <v>11.1</v>
      </c>
      <c r="C7871">
        <v>0.35</v>
      </c>
    </row>
    <row r="7872" spans="1:3" ht="15" customHeight="1" x14ac:dyDescent="0.25">
      <c r="A7872" t="s">
        <v>10048</v>
      </c>
      <c r="B7872">
        <v>11.1</v>
      </c>
    </row>
    <row r="7873" spans="1:3" ht="15" customHeight="1" x14ac:dyDescent="0.25">
      <c r="A7873" t="s">
        <v>664</v>
      </c>
      <c r="B7873">
        <v>11.1</v>
      </c>
      <c r="C7873">
        <v>0.35</v>
      </c>
    </row>
    <row r="7874" spans="1:3" ht="15" customHeight="1" x14ac:dyDescent="0.25">
      <c r="A7874" t="s">
        <v>10049</v>
      </c>
      <c r="B7874">
        <v>11.1</v>
      </c>
      <c r="C7874">
        <v>0.35</v>
      </c>
    </row>
    <row r="7875" spans="1:3" ht="15" customHeight="1" x14ac:dyDescent="0.25">
      <c r="A7875" t="s">
        <v>10050</v>
      </c>
      <c r="B7875">
        <v>12.5</v>
      </c>
      <c r="C7875">
        <v>0.35</v>
      </c>
    </row>
    <row r="7876" spans="1:3" ht="15" customHeight="1" x14ac:dyDescent="0.25">
      <c r="A7876" t="s">
        <v>10051</v>
      </c>
      <c r="B7876">
        <v>11.1</v>
      </c>
    </row>
    <row r="7877" spans="1:3" ht="15" customHeight="1" x14ac:dyDescent="0.25">
      <c r="A7877" t="s">
        <v>10052</v>
      </c>
      <c r="B7877">
        <v>10.1</v>
      </c>
      <c r="C7877">
        <v>0.35</v>
      </c>
    </row>
    <row r="7878" spans="1:3" ht="15" customHeight="1" x14ac:dyDescent="0.25">
      <c r="A7878" t="s">
        <v>10053</v>
      </c>
      <c r="B7878">
        <v>10.1</v>
      </c>
      <c r="C7878">
        <v>0.35</v>
      </c>
    </row>
    <row r="7879" spans="1:3" ht="15" customHeight="1" x14ac:dyDescent="0.25">
      <c r="A7879" t="s">
        <v>10054</v>
      </c>
      <c r="B7879">
        <v>10.1</v>
      </c>
      <c r="C7879">
        <v>0.35</v>
      </c>
    </row>
    <row r="7880" spans="1:3" ht="15" customHeight="1" x14ac:dyDescent="0.25">
      <c r="A7880" t="s">
        <v>10055</v>
      </c>
      <c r="B7880">
        <v>10.1</v>
      </c>
      <c r="C7880">
        <v>0.35</v>
      </c>
    </row>
    <row r="7881" spans="1:3" ht="15" customHeight="1" x14ac:dyDescent="0.25">
      <c r="A7881" t="s">
        <v>10056</v>
      </c>
      <c r="B7881">
        <v>10.1</v>
      </c>
      <c r="C7881">
        <v>0.35</v>
      </c>
    </row>
    <row r="7882" spans="1:3" ht="15" customHeight="1" x14ac:dyDescent="0.25">
      <c r="A7882" t="s">
        <v>10057</v>
      </c>
      <c r="B7882">
        <v>10.1</v>
      </c>
    </row>
    <row r="7883" spans="1:3" ht="15" customHeight="1" x14ac:dyDescent="0.25">
      <c r="A7883" t="s">
        <v>10058</v>
      </c>
      <c r="B7883">
        <v>10.3</v>
      </c>
    </row>
    <row r="7884" spans="1:3" ht="15" customHeight="1" x14ac:dyDescent="0.25">
      <c r="A7884" t="s">
        <v>10059</v>
      </c>
      <c r="B7884">
        <v>10.1</v>
      </c>
      <c r="C7884">
        <v>0.35</v>
      </c>
    </row>
    <row r="7885" spans="1:3" ht="15" customHeight="1" x14ac:dyDescent="0.25">
      <c r="A7885" t="s">
        <v>10060</v>
      </c>
      <c r="B7885">
        <v>10.1</v>
      </c>
      <c r="C7885">
        <v>0.35</v>
      </c>
    </row>
    <row r="7886" spans="1:3" ht="15" customHeight="1" x14ac:dyDescent="0.25">
      <c r="A7886" t="s">
        <v>10061</v>
      </c>
      <c r="B7886">
        <v>10.1</v>
      </c>
      <c r="C7886">
        <v>0.35</v>
      </c>
    </row>
    <row r="7887" spans="1:3" ht="15" customHeight="1" x14ac:dyDescent="0.25">
      <c r="A7887" t="s">
        <v>10062</v>
      </c>
      <c r="B7887">
        <v>10.1</v>
      </c>
      <c r="C7887">
        <v>0.35</v>
      </c>
    </row>
    <row r="7888" spans="1:3" ht="15" customHeight="1" x14ac:dyDescent="0.25">
      <c r="A7888" t="s">
        <v>10063</v>
      </c>
      <c r="B7888">
        <v>10.8</v>
      </c>
      <c r="C7888">
        <v>0.35</v>
      </c>
    </row>
    <row r="7889" spans="1:3" ht="15" customHeight="1" x14ac:dyDescent="0.25">
      <c r="A7889" t="s">
        <v>10064</v>
      </c>
      <c r="B7889">
        <v>10.8</v>
      </c>
    </row>
    <row r="7890" spans="1:3" ht="15" customHeight="1" x14ac:dyDescent="0.25">
      <c r="A7890" t="s">
        <v>10065</v>
      </c>
      <c r="B7890">
        <v>10.8</v>
      </c>
      <c r="C7890">
        <v>0.35</v>
      </c>
    </row>
    <row r="7891" spans="1:3" ht="15" customHeight="1" x14ac:dyDescent="0.25">
      <c r="A7891" t="s">
        <v>10066</v>
      </c>
      <c r="B7891">
        <v>10.8</v>
      </c>
      <c r="C7891">
        <v>0.35</v>
      </c>
    </row>
    <row r="7892" spans="1:3" ht="15" customHeight="1" x14ac:dyDescent="0.25">
      <c r="A7892" t="s">
        <v>10067</v>
      </c>
      <c r="B7892">
        <v>10.8</v>
      </c>
      <c r="C7892">
        <v>0.35</v>
      </c>
    </row>
    <row r="7893" spans="1:3" ht="15" customHeight="1" x14ac:dyDescent="0.25">
      <c r="A7893" t="s">
        <v>10068</v>
      </c>
      <c r="B7893">
        <v>10.8</v>
      </c>
      <c r="C7893">
        <v>0.35</v>
      </c>
    </row>
    <row r="7894" spans="1:3" ht="15" customHeight="1" x14ac:dyDescent="0.25">
      <c r="A7894" t="s">
        <v>10069</v>
      </c>
      <c r="B7894">
        <v>10.8</v>
      </c>
      <c r="C7894">
        <v>0.35</v>
      </c>
    </row>
    <row r="7895" spans="1:3" ht="15" customHeight="1" x14ac:dyDescent="0.25">
      <c r="A7895" t="s">
        <v>10070</v>
      </c>
      <c r="B7895">
        <v>10.8</v>
      </c>
      <c r="C7895">
        <v>0.35</v>
      </c>
    </row>
    <row r="7896" spans="1:3" ht="15" customHeight="1" x14ac:dyDescent="0.25">
      <c r="A7896" t="s">
        <v>866</v>
      </c>
      <c r="B7896">
        <v>10.8</v>
      </c>
      <c r="C7896">
        <v>0.35</v>
      </c>
    </row>
    <row r="7897" spans="1:3" ht="15" customHeight="1" x14ac:dyDescent="0.25">
      <c r="A7897" t="s">
        <v>1031</v>
      </c>
      <c r="B7897">
        <v>10.8</v>
      </c>
      <c r="C7897">
        <v>0.35</v>
      </c>
    </row>
    <row r="7898" spans="1:3" ht="15" customHeight="1" x14ac:dyDescent="0.25">
      <c r="A7898" t="s">
        <v>10071</v>
      </c>
      <c r="B7898">
        <v>11</v>
      </c>
      <c r="C7898">
        <v>0.35</v>
      </c>
    </row>
    <row r="7899" spans="1:3" ht="15" customHeight="1" x14ac:dyDescent="0.25">
      <c r="A7899" t="s">
        <v>10072</v>
      </c>
      <c r="B7899">
        <v>10.8</v>
      </c>
    </row>
    <row r="7900" spans="1:3" ht="15" customHeight="1" x14ac:dyDescent="0.25">
      <c r="A7900" t="s">
        <v>10073</v>
      </c>
      <c r="B7900">
        <v>10.8</v>
      </c>
    </row>
    <row r="7901" spans="1:3" ht="15" customHeight="1" x14ac:dyDescent="0.25">
      <c r="A7901" t="s">
        <v>10074</v>
      </c>
      <c r="B7901">
        <v>10.8</v>
      </c>
      <c r="C7901">
        <v>0.35</v>
      </c>
    </row>
    <row r="7902" spans="1:3" ht="15" customHeight="1" x14ac:dyDescent="0.25">
      <c r="A7902" t="s">
        <v>10075</v>
      </c>
      <c r="B7902">
        <v>4.4000000000000004</v>
      </c>
    </row>
    <row r="7903" spans="1:3" ht="15" customHeight="1" x14ac:dyDescent="0.25">
      <c r="A7903" t="s">
        <v>10076</v>
      </c>
      <c r="B7903">
        <v>4.3</v>
      </c>
      <c r="C7903">
        <v>0.35</v>
      </c>
    </row>
    <row r="7904" spans="1:3" ht="15" customHeight="1" x14ac:dyDescent="0.25">
      <c r="A7904" t="s">
        <v>10077</v>
      </c>
      <c r="B7904">
        <v>4.4000000000000004</v>
      </c>
      <c r="C7904">
        <v>0.35</v>
      </c>
    </row>
    <row r="7905" spans="1:3" ht="15" customHeight="1" x14ac:dyDescent="0.25">
      <c r="A7905" t="s">
        <v>10078</v>
      </c>
      <c r="B7905">
        <v>4.4000000000000004</v>
      </c>
      <c r="C7905">
        <v>0.35</v>
      </c>
    </row>
    <row r="7906" spans="1:3" ht="15" customHeight="1" x14ac:dyDescent="0.25">
      <c r="A7906" t="s">
        <v>10079</v>
      </c>
      <c r="B7906">
        <v>4.4000000000000004</v>
      </c>
      <c r="C7906">
        <v>0.35</v>
      </c>
    </row>
    <row r="7907" spans="1:3" ht="15" customHeight="1" x14ac:dyDescent="0.25">
      <c r="A7907" t="s">
        <v>10080</v>
      </c>
      <c r="B7907">
        <v>4.4000000000000004</v>
      </c>
      <c r="C7907">
        <v>0.35</v>
      </c>
    </row>
    <row r="7908" spans="1:3" ht="15" customHeight="1" x14ac:dyDescent="0.25">
      <c r="A7908" t="s">
        <v>10081</v>
      </c>
      <c r="B7908">
        <v>4.7</v>
      </c>
      <c r="C7908">
        <v>0.35</v>
      </c>
    </row>
    <row r="7909" spans="1:3" ht="15" customHeight="1" x14ac:dyDescent="0.25">
      <c r="A7909" t="s">
        <v>10082</v>
      </c>
      <c r="B7909">
        <v>4.7</v>
      </c>
      <c r="C7909">
        <v>0.35</v>
      </c>
    </row>
    <row r="7910" spans="1:3" ht="15" customHeight="1" x14ac:dyDescent="0.25">
      <c r="A7910" t="s">
        <v>10083</v>
      </c>
      <c r="B7910">
        <v>4.7</v>
      </c>
      <c r="C7910">
        <v>0.35</v>
      </c>
    </row>
    <row r="7911" spans="1:3" ht="15" customHeight="1" x14ac:dyDescent="0.25">
      <c r="A7911" t="s">
        <v>10084</v>
      </c>
      <c r="B7911">
        <v>4.4000000000000004</v>
      </c>
      <c r="C7911">
        <v>0.35</v>
      </c>
    </row>
    <row r="7912" spans="1:3" ht="15" customHeight="1" x14ac:dyDescent="0.25">
      <c r="A7912" t="s">
        <v>10085</v>
      </c>
      <c r="B7912">
        <v>4.4000000000000004</v>
      </c>
      <c r="C7912">
        <v>0.35</v>
      </c>
    </row>
    <row r="7913" spans="1:3" ht="15" customHeight="1" x14ac:dyDescent="0.25">
      <c r="A7913" t="s">
        <v>10086</v>
      </c>
      <c r="B7913">
        <v>4.4000000000000004</v>
      </c>
      <c r="C7913">
        <v>0.35</v>
      </c>
    </row>
    <row r="7914" spans="1:3" ht="15" customHeight="1" x14ac:dyDescent="0.25">
      <c r="A7914" t="s">
        <v>10087</v>
      </c>
      <c r="B7914">
        <v>4.4000000000000004</v>
      </c>
      <c r="C7914">
        <v>0.35</v>
      </c>
    </row>
    <row r="7915" spans="1:3" ht="15" customHeight="1" x14ac:dyDescent="0.25">
      <c r="A7915" t="s">
        <v>10088</v>
      </c>
      <c r="B7915">
        <v>4.4000000000000004</v>
      </c>
      <c r="C7915">
        <v>0.35</v>
      </c>
    </row>
    <row r="7916" spans="1:3" ht="15" customHeight="1" x14ac:dyDescent="0.25">
      <c r="A7916" t="s">
        <v>10089</v>
      </c>
      <c r="B7916">
        <v>4.4000000000000004</v>
      </c>
      <c r="C7916">
        <v>0.35</v>
      </c>
    </row>
    <row r="7917" spans="1:3" ht="15" customHeight="1" x14ac:dyDescent="0.25">
      <c r="A7917" t="s">
        <v>10090</v>
      </c>
      <c r="B7917">
        <v>4.4000000000000004</v>
      </c>
      <c r="C7917">
        <v>0.35</v>
      </c>
    </row>
    <row r="7918" spans="1:3" ht="15" customHeight="1" x14ac:dyDescent="0.25">
      <c r="A7918" t="s">
        <v>10091</v>
      </c>
      <c r="B7918">
        <v>4.4000000000000004</v>
      </c>
      <c r="C7918">
        <v>0.35</v>
      </c>
    </row>
    <row r="7919" spans="1:3" ht="15" customHeight="1" x14ac:dyDescent="0.25">
      <c r="A7919" t="s">
        <v>10092</v>
      </c>
      <c r="B7919">
        <v>5.0999999999999996</v>
      </c>
      <c r="C7919">
        <v>0.35</v>
      </c>
    </row>
    <row r="7920" spans="1:3" ht="15" customHeight="1" x14ac:dyDescent="0.25">
      <c r="A7920" t="s">
        <v>10093</v>
      </c>
      <c r="B7920">
        <v>4.9000000000000004</v>
      </c>
      <c r="C7920">
        <v>0.35</v>
      </c>
    </row>
    <row r="7921" spans="1:3" ht="15" customHeight="1" x14ac:dyDescent="0.25">
      <c r="A7921" t="s">
        <v>10094</v>
      </c>
      <c r="B7921">
        <v>4.9000000000000004</v>
      </c>
      <c r="C7921">
        <v>0.35</v>
      </c>
    </row>
    <row r="7922" spans="1:3" ht="15" customHeight="1" x14ac:dyDescent="0.25">
      <c r="A7922" t="s">
        <v>10095</v>
      </c>
      <c r="B7922">
        <v>4.3</v>
      </c>
      <c r="C7922">
        <v>0.35</v>
      </c>
    </row>
    <row r="7923" spans="1:3" ht="15" customHeight="1" x14ac:dyDescent="0.25">
      <c r="A7923" t="s">
        <v>10096</v>
      </c>
      <c r="B7923">
        <v>4.3</v>
      </c>
      <c r="C7923">
        <v>0.35</v>
      </c>
    </row>
    <row r="7924" spans="1:3" ht="15" customHeight="1" x14ac:dyDescent="0.25">
      <c r="A7924" t="s">
        <v>10097</v>
      </c>
      <c r="B7924">
        <v>4.3</v>
      </c>
      <c r="C7924">
        <v>0.35</v>
      </c>
    </row>
    <row r="7925" spans="1:3" ht="15" customHeight="1" x14ac:dyDescent="0.25">
      <c r="A7925" t="s">
        <v>10098</v>
      </c>
      <c r="B7925">
        <v>4.3</v>
      </c>
      <c r="C7925">
        <v>0.35</v>
      </c>
    </row>
    <row r="7926" spans="1:3" ht="15" customHeight="1" x14ac:dyDescent="0.25">
      <c r="A7926" t="s">
        <v>10099</v>
      </c>
      <c r="B7926">
        <v>4.3</v>
      </c>
      <c r="C7926">
        <v>0.35</v>
      </c>
    </row>
    <row r="7927" spans="1:3" ht="15" customHeight="1" x14ac:dyDescent="0.25">
      <c r="A7927" t="s">
        <v>10100</v>
      </c>
      <c r="B7927">
        <v>4.4000000000000004</v>
      </c>
      <c r="C7927">
        <v>0.35</v>
      </c>
    </row>
    <row r="7928" spans="1:3" ht="15" customHeight="1" x14ac:dyDescent="0.25">
      <c r="A7928" t="s">
        <v>10101</v>
      </c>
      <c r="B7928">
        <v>4.4000000000000004</v>
      </c>
      <c r="C7928">
        <v>0.35</v>
      </c>
    </row>
    <row r="7929" spans="1:3" ht="15" customHeight="1" x14ac:dyDescent="0.25">
      <c r="A7929" t="s">
        <v>10102</v>
      </c>
      <c r="B7929">
        <v>4.3</v>
      </c>
      <c r="C7929">
        <v>0.35</v>
      </c>
    </row>
    <row r="7930" spans="1:3" ht="15" customHeight="1" x14ac:dyDescent="0.25">
      <c r="A7930" t="s">
        <v>10103</v>
      </c>
      <c r="B7930">
        <v>4.3</v>
      </c>
      <c r="C7930">
        <v>0.35</v>
      </c>
    </row>
    <row r="7931" spans="1:3" ht="15" customHeight="1" x14ac:dyDescent="0.25">
      <c r="A7931" t="s">
        <v>10104</v>
      </c>
      <c r="B7931">
        <v>4.4000000000000004</v>
      </c>
      <c r="C7931">
        <v>0.35</v>
      </c>
    </row>
    <row r="7932" spans="1:3" ht="15" customHeight="1" x14ac:dyDescent="0.25">
      <c r="A7932" t="s">
        <v>10105</v>
      </c>
      <c r="B7932">
        <v>4.4000000000000004</v>
      </c>
      <c r="C7932">
        <v>0.35</v>
      </c>
    </row>
    <row r="7933" spans="1:3" ht="15" customHeight="1" x14ac:dyDescent="0.25">
      <c r="A7933" t="s">
        <v>10106</v>
      </c>
      <c r="B7933">
        <v>4.3</v>
      </c>
      <c r="C7933">
        <v>0.35</v>
      </c>
    </row>
    <row r="7934" spans="1:3" ht="15" customHeight="1" x14ac:dyDescent="0.25">
      <c r="A7934" t="s">
        <v>10107</v>
      </c>
      <c r="B7934">
        <v>4.3</v>
      </c>
      <c r="C7934">
        <v>0.35</v>
      </c>
    </row>
    <row r="7935" spans="1:3" ht="15" customHeight="1" x14ac:dyDescent="0.25">
      <c r="A7935" t="s">
        <v>10108</v>
      </c>
      <c r="B7935">
        <v>4.3</v>
      </c>
    </row>
    <row r="7936" spans="1:3" ht="15" customHeight="1" x14ac:dyDescent="0.25">
      <c r="A7936" t="s">
        <v>10109</v>
      </c>
      <c r="B7936">
        <v>4.3</v>
      </c>
    </row>
    <row r="7937" spans="1:2" ht="15" customHeight="1" x14ac:dyDescent="0.25">
      <c r="A7937" t="s">
        <v>10110</v>
      </c>
      <c r="B7937">
        <v>4.3</v>
      </c>
    </row>
    <row r="7938" spans="1:2" ht="15" customHeight="1" x14ac:dyDescent="0.25">
      <c r="A7938" t="s">
        <v>10111</v>
      </c>
      <c r="B7938">
        <v>4.3</v>
      </c>
    </row>
    <row r="7939" spans="1:2" ht="15" customHeight="1" x14ac:dyDescent="0.25">
      <c r="A7939" t="s">
        <v>10112</v>
      </c>
      <c r="B7939">
        <v>4.3</v>
      </c>
    </row>
    <row r="7940" spans="1:2" ht="15" customHeight="1" x14ac:dyDescent="0.25">
      <c r="A7940" t="s">
        <v>10113</v>
      </c>
      <c r="B7940">
        <v>4.3</v>
      </c>
    </row>
    <row r="7941" spans="1:2" ht="15" customHeight="1" x14ac:dyDescent="0.25">
      <c r="A7941" t="s">
        <v>10114</v>
      </c>
      <c r="B7941">
        <v>4.3</v>
      </c>
    </row>
    <row r="7942" spans="1:2" ht="15" customHeight="1" x14ac:dyDescent="0.25">
      <c r="A7942" t="s">
        <v>10115</v>
      </c>
      <c r="B7942">
        <v>4.3</v>
      </c>
    </row>
    <row r="7943" spans="1:2" ht="15" customHeight="1" x14ac:dyDescent="0.25">
      <c r="A7943" t="s">
        <v>10116</v>
      </c>
      <c r="B7943">
        <v>4.3</v>
      </c>
    </row>
    <row r="7944" spans="1:2" ht="15" customHeight="1" x14ac:dyDescent="0.25">
      <c r="A7944" t="s">
        <v>10117</v>
      </c>
      <c r="B7944">
        <v>4.3</v>
      </c>
    </row>
    <row r="7945" spans="1:2" ht="15" customHeight="1" x14ac:dyDescent="0.25">
      <c r="A7945" t="s">
        <v>10118</v>
      </c>
      <c r="B7945">
        <v>4.3</v>
      </c>
    </row>
    <row r="7946" spans="1:2" ht="15" customHeight="1" x14ac:dyDescent="0.25">
      <c r="A7946" t="s">
        <v>10119</v>
      </c>
      <c r="B7946">
        <v>4.3</v>
      </c>
    </row>
    <row r="7947" spans="1:2" ht="15" customHeight="1" x14ac:dyDescent="0.25">
      <c r="A7947" t="s">
        <v>10120</v>
      </c>
      <c r="B7947">
        <v>4.3</v>
      </c>
    </row>
    <row r="7948" spans="1:2" ht="15" customHeight="1" x14ac:dyDescent="0.25">
      <c r="A7948" t="s">
        <v>10121</v>
      </c>
      <c r="B7948">
        <v>4.3</v>
      </c>
    </row>
    <row r="7949" spans="1:2" ht="15" customHeight="1" x14ac:dyDescent="0.25">
      <c r="A7949" t="s">
        <v>10122</v>
      </c>
      <c r="B7949">
        <v>4.3</v>
      </c>
    </row>
    <row r="7950" spans="1:2" ht="15" customHeight="1" x14ac:dyDescent="0.25">
      <c r="A7950" t="s">
        <v>10123</v>
      </c>
      <c r="B7950">
        <v>4.3</v>
      </c>
    </row>
    <row r="7951" spans="1:2" ht="15" customHeight="1" x14ac:dyDescent="0.25">
      <c r="A7951" t="s">
        <v>10124</v>
      </c>
      <c r="B7951">
        <v>4.3</v>
      </c>
    </row>
    <row r="7952" spans="1:2" ht="15" customHeight="1" x14ac:dyDescent="0.25">
      <c r="A7952" t="s">
        <v>10125</v>
      </c>
      <c r="B7952">
        <v>4.3</v>
      </c>
    </row>
    <row r="7953" spans="1:2" ht="15" customHeight="1" x14ac:dyDescent="0.25">
      <c r="A7953" t="s">
        <v>10126</v>
      </c>
      <c r="B7953">
        <v>4.3</v>
      </c>
    </row>
    <row r="7954" spans="1:2" ht="15" customHeight="1" x14ac:dyDescent="0.25">
      <c r="A7954" t="s">
        <v>10127</v>
      </c>
      <c r="B7954">
        <v>4.3</v>
      </c>
    </row>
    <row r="7955" spans="1:2" ht="15" customHeight="1" x14ac:dyDescent="0.25">
      <c r="A7955" t="s">
        <v>10128</v>
      </c>
      <c r="B7955">
        <v>4.3</v>
      </c>
    </row>
    <row r="7956" spans="1:2" ht="15" customHeight="1" x14ac:dyDescent="0.25">
      <c r="A7956" t="s">
        <v>10129</v>
      </c>
      <c r="B7956">
        <v>4.3</v>
      </c>
    </row>
    <row r="7957" spans="1:2" ht="15" customHeight="1" x14ac:dyDescent="0.25">
      <c r="A7957" t="s">
        <v>10130</v>
      </c>
      <c r="B7957">
        <v>4.3</v>
      </c>
    </row>
    <row r="7958" spans="1:2" ht="15" customHeight="1" x14ac:dyDescent="0.25">
      <c r="A7958" t="s">
        <v>10131</v>
      </c>
      <c r="B7958">
        <v>4.3</v>
      </c>
    </row>
    <row r="7959" spans="1:2" ht="15" customHeight="1" x14ac:dyDescent="0.25">
      <c r="A7959" t="s">
        <v>10132</v>
      </c>
      <c r="B7959">
        <v>4.3</v>
      </c>
    </row>
    <row r="7960" spans="1:2" ht="15" customHeight="1" x14ac:dyDescent="0.25">
      <c r="A7960" t="s">
        <v>10133</v>
      </c>
      <c r="B7960">
        <v>4.3</v>
      </c>
    </row>
    <row r="7961" spans="1:2" ht="15" customHeight="1" x14ac:dyDescent="0.25">
      <c r="A7961" t="s">
        <v>10134</v>
      </c>
      <c r="B7961">
        <v>4.3</v>
      </c>
    </row>
    <row r="7962" spans="1:2" ht="15" customHeight="1" x14ac:dyDescent="0.25">
      <c r="A7962" t="s">
        <v>10135</v>
      </c>
      <c r="B7962">
        <v>4.3</v>
      </c>
    </row>
    <row r="7963" spans="1:2" ht="15" customHeight="1" x14ac:dyDescent="0.25">
      <c r="A7963" t="s">
        <v>10136</v>
      </c>
      <c r="B7963">
        <v>4.3</v>
      </c>
    </row>
    <row r="7964" spans="1:2" ht="15" customHeight="1" x14ac:dyDescent="0.25">
      <c r="A7964" t="s">
        <v>10137</v>
      </c>
      <c r="B7964">
        <v>4.3</v>
      </c>
    </row>
    <row r="7965" spans="1:2" ht="15" customHeight="1" x14ac:dyDescent="0.25">
      <c r="A7965" t="s">
        <v>10138</v>
      </c>
      <c r="B7965">
        <v>4.3</v>
      </c>
    </row>
    <row r="7966" spans="1:2" ht="15" customHeight="1" x14ac:dyDescent="0.25">
      <c r="A7966" t="s">
        <v>10139</v>
      </c>
      <c r="B7966">
        <v>4.3</v>
      </c>
    </row>
    <row r="7967" spans="1:2" ht="15" customHeight="1" x14ac:dyDescent="0.25">
      <c r="A7967" t="s">
        <v>10140</v>
      </c>
      <c r="B7967">
        <v>4.3</v>
      </c>
    </row>
    <row r="7968" spans="1:2" ht="15" customHeight="1" x14ac:dyDescent="0.25">
      <c r="A7968" t="s">
        <v>10141</v>
      </c>
      <c r="B7968">
        <v>4.3</v>
      </c>
    </row>
    <row r="7969" spans="1:3" ht="15" customHeight="1" x14ac:dyDescent="0.25">
      <c r="A7969" t="s">
        <v>10142</v>
      </c>
      <c r="B7969">
        <v>4.3</v>
      </c>
    </row>
    <row r="7970" spans="1:3" ht="15" customHeight="1" x14ac:dyDescent="0.25">
      <c r="A7970" t="s">
        <v>10143</v>
      </c>
      <c r="B7970">
        <v>4.3</v>
      </c>
    </row>
    <row r="7971" spans="1:3" ht="15" customHeight="1" x14ac:dyDescent="0.25">
      <c r="A7971" t="s">
        <v>10144</v>
      </c>
      <c r="B7971">
        <v>4.3</v>
      </c>
    </row>
    <row r="7972" spans="1:3" ht="15" customHeight="1" x14ac:dyDescent="0.25">
      <c r="A7972" t="s">
        <v>10145</v>
      </c>
      <c r="B7972">
        <v>4.3</v>
      </c>
    </row>
    <row r="7973" spans="1:3" ht="15" customHeight="1" x14ac:dyDescent="0.25">
      <c r="A7973" t="s">
        <v>10146</v>
      </c>
      <c r="B7973">
        <v>4.3</v>
      </c>
    </row>
    <row r="7974" spans="1:3" ht="15" customHeight="1" x14ac:dyDescent="0.25">
      <c r="A7974" t="s">
        <v>10147</v>
      </c>
      <c r="B7974">
        <v>4.3</v>
      </c>
    </row>
    <row r="7975" spans="1:3" ht="15" customHeight="1" x14ac:dyDescent="0.25">
      <c r="A7975" t="s">
        <v>10148</v>
      </c>
      <c r="B7975">
        <v>4.3</v>
      </c>
    </row>
    <row r="7976" spans="1:3" ht="15" customHeight="1" x14ac:dyDescent="0.25">
      <c r="A7976" t="s">
        <v>10149</v>
      </c>
      <c r="B7976">
        <v>4.3</v>
      </c>
    </row>
    <row r="7977" spans="1:3" ht="15" customHeight="1" x14ac:dyDescent="0.25">
      <c r="A7977" t="s">
        <v>10150</v>
      </c>
      <c r="B7977">
        <v>4.3</v>
      </c>
    </row>
    <row r="7978" spans="1:3" ht="15" customHeight="1" x14ac:dyDescent="0.25">
      <c r="A7978" t="s">
        <v>10151</v>
      </c>
      <c r="B7978">
        <v>4.3</v>
      </c>
    </row>
    <row r="7979" spans="1:3" ht="15" customHeight="1" x14ac:dyDescent="0.25">
      <c r="A7979" t="s">
        <v>10152</v>
      </c>
      <c r="B7979">
        <v>19.3</v>
      </c>
    </row>
    <row r="7980" spans="1:3" ht="15" customHeight="1" x14ac:dyDescent="0.25">
      <c r="A7980" t="s">
        <v>10153</v>
      </c>
      <c r="B7980">
        <v>17.399999999999999</v>
      </c>
      <c r="C7980">
        <v>0.35</v>
      </c>
    </row>
    <row r="7981" spans="1:3" ht="15" customHeight="1" x14ac:dyDescent="0.25">
      <c r="A7981" t="s">
        <v>10154</v>
      </c>
      <c r="B7981">
        <v>17.399999999999999</v>
      </c>
      <c r="C7981">
        <v>0.35</v>
      </c>
    </row>
    <row r="7982" spans="1:3" ht="15" customHeight="1" x14ac:dyDescent="0.25">
      <c r="A7982" t="s">
        <v>10155</v>
      </c>
      <c r="B7982">
        <v>18.8</v>
      </c>
    </row>
    <row r="7983" spans="1:3" ht="15" customHeight="1" x14ac:dyDescent="0.25">
      <c r="A7983" t="s">
        <v>10156</v>
      </c>
      <c r="B7983">
        <v>18.8</v>
      </c>
    </row>
    <row r="7984" spans="1:3" ht="15" customHeight="1" x14ac:dyDescent="0.25">
      <c r="A7984" t="s">
        <v>633</v>
      </c>
      <c r="B7984">
        <v>16.8</v>
      </c>
      <c r="C7984">
        <v>0.03</v>
      </c>
    </row>
    <row r="7985" spans="1:3" ht="15" customHeight="1" x14ac:dyDescent="0.25">
      <c r="A7985" t="s">
        <v>10157</v>
      </c>
      <c r="B7985">
        <v>13.1</v>
      </c>
      <c r="C7985">
        <v>0.03</v>
      </c>
    </row>
    <row r="7986" spans="1:3" ht="15" customHeight="1" x14ac:dyDescent="0.25">
      <c r="A7986" t="s">
        <v>10158</v>
      </c>
      <c r="B7986">
        <v>13.1</v>
      </c>
      <c r="C7986">
        <v>0.03</v>
      </c>
    </row>
    <row r="7987" spans="1:3" ht="15" customHeight="1" x14ac:dyDescent="0.25">
      <c r="A7987" t="s">
        <v>10159</v>
      </c>
      <c r="B7987">
        <v>16.8</v>
      </c>
      <c r="C7987">
        <v>0.35</v>
      </c>
    </row>
    <row r="7988" spans="1:3" ht="15" customHeight="1" x14ac:dyDescent="0.25">
      <c r="A7988" t="s">
        <v>10160</v>
      </c>
      <c r="B7988">
        <v>13.1</v>
      </c>
      <c r="C7988">
        <v>0.35</v>
      </c>
    </row>
    <row r="7989" spans="1:3" ht="15" customHeight="1" x14ac:dyDescent="0.25">
      <c r="A7989" t="s">
        <v>10161</v>
      </c>
      <c r="B7989">
        <v>13.1</v>
      </c>
      <c r="C7989">
        <v>0.35</v>
      </c>
    </row>
    <row r="7990" spans="1:3" ht="15" customHeight="1" x14ac:dyDescent="0.25">
      <c r="A7990" t="s">
        <v>10162</v>
      </c>
      <c r="B7990">
        <v>13.1</v>
      </c>
      <c r="C7990">
        <v>0.35</v>
      </c>
    </row>
    <row r="7991" spans="1:3" ht="15" customHeight="1" x14ac:dyDescent="0.25">
      <c r="A7991" t="s">
        <v>10163</v>
      </c>
      <c r="B7991">
        <v>13.1</v>
      </c>
      <c r="C7991">
        <v>0.35</v>
      </c>
    </row>
    <row r="7992" spans="1:3" ht="15" customHeight="1" x14ac:dyDescent="0.25">
      <c r="A7992" t="s">
        <v>10164</v>
      </c>
      <c r="B7992">
        <v>13.1</v>
      </c>
      <c r="C7992">
        <v>0.35</v>
      </c>
    </row>
    <row r="7993" spans="1:3" ht="15" customHeight="1" x14ac:dyDescent="0.25">
      <c r="A7993" t="s">
        <v>10165</v>
      </c>
      <c r="B7993">
        <v>13.1</v>
      </c>
      <c r="C7993">
        <v>0.35</v>
      </c>
    </row>
    <row r="7994" spans="1:3" ht="15" customHeight="1" x14ac:dyDescent="0.25">
      <c r="A7994" t="s">
        <v>486</v>
      </c>
      <c r="B7994">
        <v>13.1</v>
      </c>
      <c r="C7994">
        <v>0.35</v>
      </c>
    </row>
    <row r="7995" spans="1:3" ht="15" customHeight="1" x14ac:dyDescent="0.25">
      <c r="A7995" t="s">
        <v>10166</v>
      </c>
      <c r="B7995">
        <v>16.8</v>
      </c>
      <c r="C7995">
        <v>0.35</v>
      </c>
    </row>
    <row r="7996" spans="1:3" ht="15" customHeight="1" x14ac:dyDescent="0.25">
      <c r="A7996" t="s">
        <v>10167</v>
      </c>
      <c r="B7996">
        <v>16.8</v>
      </c>
      <c r="C7996">
        <v>0.35</v>
      </c>
    </row>
    <row r="7997" spans="1:3" ht="15" customHeight="1" x14ac:dyDescent="0.25">
      <c r="A7997" t="s">
        <v>10168</v>
      </c>
      <c r="B7997">
        <v>13.1</v>
      </c>
      <c r="C7997">
        <v>0.35</v>
      </c>
    </row>
    <row r="7998" spans="1:3" ht="15" customHeight="1" x14ac:dyDescent="0.25">
      <c r="A7998" t="s">
        <v>10169</v>
      </c>
      <c r="B7998">
        <v>13.1</v>
      </c>
      <c r="C7998">
        <v>0.35</v>
      </c>
    </row>
    <row r="7999" spans="1:3" ht="15" customHeight="1" x14ac:dyDescent="0.25">
      <c r="A7999" t="s">
        <v>10170</v>
      </c>
      <c r="B7999">
        <v>10.5</v>
      </c>
      <c r="C7999">
        <v>0.35</v>
      </c>
    </row>
    <row r="8000" spans="1:3" ht="15" customHeight="1" x14ac:dyDescent="0.25">
      <c r="A8000" t="s">
        <v>10171</v>
      </c>
      <c r="B8000">
        <v>10.5</v>
      </c>
      <c r="C8000">
        <v>0.03</v>
      </c>
    </row>
    <row r="8001" spans="1:3" ht="15" customHeight="1" x14ac:dyDescent="0.25">
      <c r="A8001" t="s">
        <v>10172</v>
      </c>
      <c r="B8001">
        <v>13.1</v>
      </c>
      <c r="C8001">
        <v>0.03</v>
      </c>
    </row>
    <row r="8002" spans="1:3" ht="15" customHeight="1" x14ac:dyDescent="0.25">
      <c r="A8002" t="s">
        <v>10173</v>
      </c>
      <c r="B8002">
        <v>13.1</v>
      </c>
      <c r="C8002">
        <v>0.03</v>
      </c>
    </row>
    <row r="8003" spans="1:3" ht="15" customHeight="1" x14ac:dyDescent="0.25">
      <c r="A8003" t="s">
        <v>10174</v>
      </c>
      <c r="B8003">
        <v>16.8</v>
      </c>
      <c r="C8003">
        <v>0.03</v>
      </c>
    </row>
    <row r="8004" spans="1:3" ht="15" customHeight="1" x14ac:dyDescent="0.25">
      <c r="A8004" t="s">
        <v>10175</v>
      </c>
      <c r="B8004">
        <v>10.5</v>
      </c>
      <c r="C8004">
        <v>0.35</v>
      </c>
    </row>
    <row r="8005" spans="1:3" ht="15" customHeight="1" x14ac:dyDescent="0.25">
      <c r="A8005" t="s">
        <v>10176</v>
      </c>
      <c r="B8005">
        <v>13.1</v>
      </c>
      <c r="C8005">
        <v>0.35</v>
      </c>
    </row>
    <row r="8006" spans="1:3" ht="15" customHeight="1" x14ac:dyDescent="0.25">
      <c r="A8006" t="s">
        <v>10177</v>
      </c>
      <c r="B8006">
        <v>10.5</v>
      </c>
      <c r="C8006">
        <v>0.03</v>
      </c>
    </row>
    <row r="8007" spans="1:3" ht="15" customHeight="1" x14ac:dyDescent="0.25">
      <c r="A8007" t="s">
        <v>10178</v>
      </c>
      <c r="B8007">
        <v>13.1</v>
      </c>
      <c r="C8007">
        <v>0.03</v>
      </c>
    </row>
    <row r="8008" spans="1:3" ht="15" customHeight="1" x14ac:dyDescent="0.25">
      <c r="A8008" t="s">
        <v>10179</v>
      </c>
      <c r="B8008">
        <v>9</v>
      </c>
      <c r="C8008">
        <v>0.35</v>
      </c>
    </row>
    <row r="8009" spans="1:3" ht="15" customHeight="1" x14ac:dyDescent="0.25">
      <c r="A8009" t="s">
        <v>10180</v>
      </c>
      <c r="B8009">
        <v>9</v>
      </c>
      <c r="C8009">
        <v>0.35</v>
      </c>
    </row>
    <row r="8010" spans="1:3" ht="15" customHeight="1" x14ac:dyDescent="0.25">
      <c r="A8010" t="s">
        <v>10181</v>
      </c>
      <c r="B8010">
        <v>13.1</v>
      </c>
      <c r="C8010">
        <v>0.35</v>
      </c>
    </row>
    <row r="8011" spans="1:3" ht="15" customHeight="1" x14ac:dyDescent="0.25">
      <c r="A8011" t="s">
        <v>10182</v>
      </c>
      <c r="B8011">
        <v>10.5</v>
      </c>
      <c r="C8011">
        <v>0.35</v>
      </c>
    </row>
    <row r="8012" spans="1:3" ht="15" customHeight="1" x14ac:dyDescent="0.25">
      <c r="A8012" t="s">
        <v>10183</v>
      </c>
      <c r="B8012">
        <v>13.1</v>
      </c>
      <c r="C8012">
        <v>0.35</v>
      </c>
    </row>
    <row r="8013" spans="1:3" ht="15" customHeight="1" x14ac:dyDescent="0.25">
      <c r="A8013" t="s">
        <v>10184</v>
      </c>
      <c r="B8013">
        <v>13.1</v>
      </c>
      <c r="C8013">
        <v>0.35</v>
      </c>
    </row>
    <row r="8014" spans="1:3" ht="15" customHeight="1" x14ac:dyDescent="0.25">
      <c r="A8014" t="s">
        <v>10185</v>
      </c>
      <c r="B8014">
        <v>13.1</v>
      </c>
      <c r="C8014">
        <v>0.03</v>
      </c>
    </row>
    <row r="8015" spans="1:3" ht="15" customHeight="1" x14ac:dyDescent="0.25">
      <c r="A8015" t="s">
        <v>10186</v>
      </c>
      <c r="B8015">
        <v>13.1</v>
      </c>
      <c r="C8015">
        <v>0.03</v>
      </c>
    </row>
    <row r="8016" spans="1:3" ht="15" customHeight="1" x14ac:dyDescent="0.25">
      <c r="A8016" t="s">
        <v>425</v>
      </c>
      <c r="B8016">
        <v>16.8</v>
      </c>
      <c r="C8016">
        <v>0.03</v>
      </c>
    </row>
    <row r="8017" spans="1:3" ht="15" customHeight="1" x14ac:dyDescent="0.25">
      <c r="A8017" t="s">
        <v>10187</v>
      </c>
      <c r="B8017">
        <v>24.2</v>
      </c>
      <c r="C8017">
        <v>0.03</v>
      </c>
    </row>
    <row r="8018" spans="1:3" ht="15" customHeight="1" x14ac:dyDescent="0.25">
      <c r="A8018" t="s">
        <v>10188</v>
      </c>
      <c r="B8018">
        <v>13.1</v>
      </c>
      <c r="C8018">
        <v>0.35</v>
      </c>
    </row>
    <row r="8019" spans="1:3" ht="15" customHeight="1" x14ac:dyDescent="0.25">
      <c r="A8019" t="s">
        <v>10189</v>
      </c>
      <c r="B8019">
        <v>13.1</v>
      </c>
      <c r="C8019">
        <v>0.35</v>
      </c>
    </row>
    <row r="8020" spans="1:3" ht="15" customHeight="1" x14ac:dyDescent="0.25">
      <c r="A8020" t="s">
        <v>10190</v>
      </c>
      <c r="B8020">
        <v>13.1</v>
      </c>
      <c r="C8020">
        <v>0.03</v>
      </c>
    </row>
    <row r="8021" spans="1:3" ht="15" customHeight="1" x14ac:dyDescent="0.25">
      <c r="A8021" t="s">
        <v>10191</v>
      </c>
      <c r="B8021">
        <v>13.1</v>
      </c>
      <c r="C8021">
        <v>0.03</v>
      </c>
    </row>
    <row r="8022" spans="1:3" ht="15" customHeight="1" x14ac:dyDescent="0.25">
      <c r="A8022" t="s">
        <v>10192</v>
      </c>
      <c r="B8022">
        <v>13.1</v>
      </c>
      <c r="C8022">
        <v>0.35</v>
      </c>
    </row>
    <row r="8023" spans="1:3" ht="15" customHeight="1" x14ac:dyDescent="0.25">
      <c r="A8023" t="s">
        <v>10193</v>
      </c>
      <c r="B8023">
        <v>21.3</v>
      </c>
      <c r="C8023">
        <v>0.2</v>
      </c>
    </row>
    <row r="8024" spans="1:3" ht="15" customHeight="1" x14ac:dyDescent="0.25">
      <c r="A8024" t="s">
        <v>10194</v>
      </c>
      <c r="B8024">
        <v>21.3</v>
      </c>
      <c r="C8024">
        <v>0.2</v>
      </c>
    </row>
    <row r="8025" spans="1:3" ht="15" customHeight="1" x14ac:dyDescent="0.25">
      <c r="A8025" t="s">
        <v>10195</v>
      </c>
      <c r="B8025">
        <v>21.3</v>
      </c>
      <c r="C8025">
        <v>0.2</v>
      </c>
    </row>
    <row r="8026" spans="1:3" ht="15" customHeight="1" x14ac:dyDescent="0.25">
      <c r="A8026" t="s">
        <v>10196</v>
      </c>
      <c r="B8026">
        <v>21.3</v>
      </c>
      <c r="C8026">
        <v>0.2</v>
      </c>
    </row>
    <row r="8027" spans="1:3" ht="15" customHeight="1" x14ac:dyDescent="0.25">
      <c r="A8027" t="s">
        <v>10197</v>
      </c>
      <c r="B8027">
        <v>21.3</v>
      </c>
      <c r="C8027">
        <v>0.2</v>
      </c>
    </row>
    <row r="8028" spans="1:3" ht="15" customHeight="1" x14ac:dyDescent="0.25">
      <c r="A8028" t="s">
        <v>10198</v>
      </c>
      <c r="B8028">
        <v>21.3</v>
      </c>
      <c r="C8028">
        <v>0.2</v>
      </c>
    </row>
    <row r="8029" spans="1:3" ht="15" customHeight="1" x14ac:dyDescent="0.25">
      <c r="A8029" t="s">
        <v>10199</v>
      </c>
      <c r="B8029">
        <v>21.3</v>
      </c>
      <c r="C8029">
        <v>0.2</v>
      </c>
    </row>
    <row r="8030" spans="1:3" ht="15" customHeight="1" x14ac:dyDescent="0.25">
      <c r="A8030" t="s">
        <v>10200</v>
      </c>
      <c r="B8030">
        <v>21.3</v>
      </c>
      <c r="C8030">
        <v>0.2</v>
      </c>
    </row>
    <row r="8031" spans="1:3" ht="15" customHeight="1" x14ac:dyDescent="0.25">
      <c r="A8031" t="s">
        <v>10201</v>
      </c>
      <c r="B8031">
        <v>21.3</v>
      </c>
      <c r="C8031">
        <v>0.2</v>
      </c>
    </row>
    <row r="8032" spans="1:3" ht="15" customHeight="1" x14ac:dyDescent="0.25">
      <c r="A8032" t="s">
        <v>10202</v>
      </c>
      <c r="B8032">
        <v>21.3</v>
      </c>
      <c r="C8032">
        <v>0.2</v>
      </c>
    </row>
    <row r="8033" spans="1:3" ht="15" customHeight="1" x14ac:dyDescent="0.25">
      <c r="A8033" t="s">
        <v>10203</v>
      </c>
      <c r="B8033">
        <v>21.3</v>
      </c>
      <c r="C8033">
        <v>0.2</v>
      </c>
    </row>
    <row r="8034" spans="1:3" ht="15" customHeight="1" x14ac:dyDescent="0.25">
      <c r="A8034" t="s">
        <v>10204</v>
      </c>
      <c r="B8034">
        <v>21.3</v>
      </c>
      <c r="C8034">
        <v>0.2</v>
      </c>
    </row>
    <row r="8035" spans="1:3" ht="15" customHeight="1" x14ac:dyDescent="0.25">
      <c r="A8035" t="s">
        <v>10205</v>
      </c>
      <c r="B8035">
        <v>21.3</v>
      </c>
      <c r="C8035">
        <v>0.2</v>
      </c>
    </row>
    <row r="8036" spans="1:3" ht="15" customHeight="1" x14ac:dyDescent="0.25">
      <c r="A8036" t="s">
        <v>10206</v>
      </c>
      <c r="B8036">
        <v>21.3</v>
      </c>
      <c r="C8036">
        <v>0.2</v>
      </c>
    </row>
    <row r="8037" spans="1:3" ht="15" customHeight="1" x14ac:dyDescent="0.25">
      <c r="A8037" t="s">
        <v>10207</v>
      </c>
      <c r="B8037">
        <v>21.3</v>
      </c>
      <c r="C8037">
        <v>0.2</v>
      </c>
    </row>
    <row r="8038" spans="1:3" ht="15" customHeight="1" x14ac:dyDescent="0.25">
      <c r="A8038" t="s">
        <v>10208</v>
      </c>
      <c r="B8038">
        <v>21.3</v>
      </c>
      <c r="C8038">
        <v>0.2</v>
      </c>
    </row>
    <row r="8039" spans="1:3" ht="15" customHeight="1" x14ac:dyDescent="0.25">
      <c r="A8039" t="s">
        <v>10209</v>
      </c>
      <c r="B8039">
        <v>21.3</v>
      </c>
      <c r="C8039">
        <v>0.2</v>
      </c>
    </row>
    <row r="8040" spans="1:3" ht="15" customHeight="1" x14ac:dyDescent="0.25">
      <c r="A8040" t="s">
        <v>10210</v>
      </c>
      <c r="B8040">
        <v>21.3</v>
      </c>
      <c r="C8040">
        <v>0.2</v>
      </c>
    </row>
    <row r="8041" spans="1:3" ht="15" customHeight="1" x14ac:dyDescent="0.25">
      <c r="A8041" t="s">
        <v>10211</v>
      </c>
      <c r="B8041">
        <v>21.3</v>
      </c>
      <c r="C8041">
        <v>0.2</v>
      </c>
    </row>
    <row r="8042" spans="1:3" ht="15" customHeight="1" x14ac:dyDescent="0.25">
      <c r="A8042" t="s">
        <v>10212</v>
      </c>
      <c r="B8042">
        <v>21.3</v>
      </c>
      <c r="C8042">
        <v>0.2</v>
      </c>
    </row>
    <row r="8043" spans="1:3" ht="15" customHeight="1" x14ac:dyDescent="0.25">
      <c r="A8043" t="s">
        <v>494</v>
      </c>
      <c r="B8043">
        <v>29.7</v>
      </c>
      <c r="C8043">
        <v>0.2</v>
      </c>
    </row>
    <row r="8044" spans="1:3" ht="15" customHeight="1" x14ac:dyDescent="0.25">
      <c r="A8044" t="s">
        <v>10213</v>
      </c>
      <c r="B8044">
        <v>29.7</v>
      </c>
      <c r="C8044">
        <v>0.2</v>
      </c>
    </row>
    <row r="8045" spans="1:3" ht="15" customHeight="1" x14ac:dyDescent="0.25">
      <c r="A8045" t="s">
        <v>10214</v>
      </c>
      <c r="B8045">
        <v>29.7</v>
      </c>
      <c r="C8045">
        <v>0.2</v>
      </c>
    </row>
    <row r="8046" spans="1:3" ht="15" customHeight="1" x14ac:dyDescent="0.25">
      <c r="A8046" t="s">
        <v>10215</v>
      </c>
      <c r="B8046">
        <v>29.7</v>
      </c>
      <c r="C8046">
        <v>0.2</v>
      </c>
    </row>
    <row r="8047" spans="1:3" ht="15" customHeight="1" x14ac:dyDescent="0.25">
      <c r="A8047" t="s">
        <v>10216</v>
      </c>
      <c r="B8047">
        <v>29.7</v>
      </c>
      <c r="C8047">
        <v>0.2</v>
      </c>
    </row>
    <row r="8048" spans="1:3" ht="15" customHeight="1" x14ac:dyDescent="0.25">
      <c r="A8048" t="s">
        <v>10217</v>
      </c>
      <c r="B8048">
        <v>29.7</v>
      </c>
      <c r="C8048">
        <v>0.2</v>
      </c>
    </row>
    <row r="8049" spans="1:3" ht="15" customHeight="1" x14ac:dyDescent="0.25">
      <c r="A8049" t="s">
        <v>10218</v>
      </c>
      <c r="B8049">
        <v>29.7</v>
      </c>
      <c r="C8049">
        <v>0.2</v>
      </c>
    </row>
    <row r="8050" spans="1:3" ht="15" customHeight="1" x14ac:dyDescent="0.25">
      <c r="A8050" t="s">
        <v>10219</v>
      </c>
      <c r="B8050">
        <v>29.7</v>
      </c>
      <c r="C8050">
        <v>0.2</v>
      </c>
    </row>
    <row r="8051" spans="1:3" ht="15" customHeight="1" x14ac:dyDescent="0.25">
      <c r="A8051" t="s">
        <v>10220</v>
      </c>
      <c r="B8051">
        <v>29.7</v>
      </c>
      <c r="C8051">
        <v>0.2</v>
      </c>
    </row>
    <row r="8052" spans="1:3" ht="15" customHeight="1" x14ac:dyDescent="0.25">
      <c r="A8052" t="s">
        <v>1869</v>
      </c>
      <c r="B8052">
        <v>29.7</v>
      </c>
      <c r="C8052">
        <v>0.2</v>
      </c>
    </row>
    <row r="8053" spans="1:3" ht="15" customHeight="1" x14ac:dyDescent="0.25">
      <c r="A8053" t="s">
        <v>10221</v>
      </c>
      <c r="B8053">
        <v>29.7</v>
      </c>
      <c r="C8053">
        <v>0.2</v>
      </c>
    </row>
    <row r="8054" spans="1:3" ht="15" customHeight="1" x14ac:dyDescent="0.25">
      <c r="A8054" t="s">
        <v>10222</v>
      </c>
      <c r="B8054">
        <v>29.7</v>
      </c>
      <c r="C8054">
        <v>0.2</v>
      </c>
    </row>
    <row r="8055" spans="1:3" ht="15" customHeight="1" x14ac:dyDescent="0.25">
      <c r="A8055" t="s">
        <v>10223</v>
      </c>
      <c r="B8055">
        <v>23.4</v>
      </c>
      <c r="C8055">
        <v>0.2</v>
      </c>
    </row>
    <row r="8056" spans="1:3" ht="15" customHeight="1" x14ac:dyDescent="0.25">
      <c r="A8056" t="s">
        <v>10224</v>
      </c>
      <c r="B8056">
        <v>23.4</v>
      </c>
      <c r="C8056">
        <v>0.2</v>
      </c>
    </row>
    <row r="8057" spans="1:3" ht="15" customHeight="1" x14ac:dyDescent="0.25">
      <c r="A8057" t="s">
        <v>346</v>
      </c>
      <c r="B8057">
        <v>23.4</v>
      </c>
      <c r="C8057">
        <v>0.2</v>
      </c>
    </row>
    <row r="8058" spans="1:3" ht="15" customHeight="1" x14ac:dyDescent="0.25">
      <c r="A8058" t="s">
        <v>10225</v>
      </c>
      <c r="B8058">
        <v>23.4</v>
      </c>
      <c r="C8058">
        <v>0.2</v>
      </c>
    </row>
    <row r="8059" spans="1:3" ht="15" customHeight="1" x14ac:dyDescent="0.25">
      <c r="A8059" t="s">
        <v>10226</v>
      </c>
      <c r="B8059">
        <v>23.4</v>
      </c>
      <c r="C8059">
        <v>0.2</v>
      </c>
    </row>
    <row r="8060" spans="1:3" ht="15" customHeight="1" x14ac:dyDescent="0.25">
      <c r="A8060" t="s">
        <v>10227</v>
      </c>
      <c r="B8060">
        <v>23.4</v>
      </c>
      <c r="C8060">
        <v>0.2</v>
      </c>
    </row>
    <row r="8061" spans="1:3" ht="15" customHeight="1" x14ac:dyDescent="0.25">
      <c r="A8061" t="s">
        <v>10228</v>
      </c>
      <c r="B8061">
        <v>23.4</v>
      </c>
      <c r="C8061">
        <v>0.2</v>
      </c>
    </row>
    <row r="8062" spans="1:3" ht="15" customHeight="1" x14ac:dyDescent="0.25">
      <c r="A8062" t="s">
        <v>10229</v>
      </c>
      <c r="B8062">
        <v>23.4</v>
      </c>
      <c r="C8062">
        <v>0.2</v>
      </c>
    </row>
    <row r="8063" spans="1:3" ht="15" customHeight="1" x14ac:dyDescent="0.25">
      <c r="A8063" t="s">
        <v>10230</v>
      </c>
      <c r="B8063">
        <v>23.4</v>
      </c>
      <c r="C8063">
        <v>0.2</v>
      </c>
    </row>
    <row r="8064" spans="1:3" ht="15" customHeight="1" x14ac:dyDescent="0.25">
      <c r="A8064" t="s">
        <v>10231</v>
      </c>
      <c r="B8064">
        <v>23.4</v>
      </c>
      <c r="C8064">
        <v>0.2</v>
      </c>
    </row>
    <row r="8065" spans="1:3" ht="15" customHeight="1" x14ac:dyDescent="0.25">
      <c r="A8065" t="s">
        <v>10232</v>
      </c>
      <c r="B8065">
        <v>23.4</v>
      </c>
      <c r="C8065">
        <v>0.2</v>
      </c>
    </row>
    <row r="8066" spans="1:3" ht="15" customHeight="1" x14ac:dyDescent="0.25">
      <c r="A8066" t="s">
        <v>10233</v>
      </c>
      <c r="B8066">
        <v>23.4</v>
      </c>
      <c r="C8066">
        <v>0.2</v>
      </c>
    </row>
    <row r="8067" spans="1:3" ht="15" customHeight="1" x14ac:dyDescent="0.25">
      <c r="A8067" t="s">
        <v>10234</v>
      </c>
      <c r="B8067">
        <v>23.4</v>
      </c>
      <c r="C8067">
        <v>0.2</v>
      </c>
    </row>
    <row r="8068" spans="1:3" ht="15" customHeight="1" x14ac:dyDescent="0.25">
      <c r="A8068" t="s">
        <v>10235</v>
      </c>
      <c r="B8068">
        <v>23.4</v>
      </c>
      <c r="C8068">
        <v>0.2</v>
      </c>
    </row>
    <row r="8069" spans="1:3" ht="15" customHeight="1" x14ac:dyDescent="0.25">
      <c r="A8069" t="s">
        <v>10236</v>
      </c>
      <c r="B8069">
        <v>23.4</v>
      </c>
      <c r="C8069">
        <v>0.2</v>
      </c>
    </row>
    <row r="8070" spans="1:3" ht="15" customHeight="1" x14ac:dyDescent="0.25">
      <c r="A8070" t="s">
        <v>10237</v>
      </c>
      <c r="B8070">
        <v>23.4</v>
      </c>
      <c r="C8070">
        <v>0.2</v>
      </c>
    </row>
    <row r="8071" spans="1:3" ht="15" customHeight="1" x14ac:dyDescent="0.25">
      <c r="A8071" t="s">
        <v>10238</v>
      </c>
      <c r="B8071">
        <v>23.4</v>
      </c>
      <c r="C8071">
        <v>0.2</v>
      </c>
    </row>
    <row r="8072" spans="1:3" ht="15" customHeight="1" x14ac:dyDescent="0.25">
      <c r="A8072" t="s">
        <v>10239</v>
      </c>
      <c r="B8072">
        <v>23.4</v>
      </c>
      <c r="C8072">
        <v>0.2</v>
      </c>
    </row>
    <row r="8073" spans="1:3" ht="15" customHeight="1" x14ac:dyDescent="0.25">
      <c r="A8073" t="s">
        <v>10240</v>
      </c>
      <c r="B8073">
        <v>18.600000000000001</v>
      </c>
      <c r="C8073">
        <v>0.35</v>
      </c>
    </row>
    <row r="8074" spans="1:3" ht="15" customHeight="1" x14ac:dyDescent="0.25">
      <c r="A8074" t="s">
        <v>10241</v>
      </c>
      <c r="B8074">
        <v>18.600000000000001</v>
      </c>
      <c r="C8074">
        <v>0.35</v>
      </c>
    </row>
    <row r="8075" spans="1:3" ht="15" customHeight="1" x14ac:dyDescent="0.25">
      <c r="A8075" t="s">
        <v>10242</v>
      </c>
      <c r="B8075">
        <v>20.9</v>
      </c>
      <c r="C8075">
        <v>0.35</v>
      </c>
    </row>
    <row r="8076" spans="1:3" ht="15" customHeight="1" x14ac:dyDescent="0.25">
      <c r="A8076" t="s">
        <v>10243</v>
      </c>
      <c r="B8076">
        <v>18.600000000000001</v>
      </c>
      <c r="C8076">
        <v>0.35</v>
      </c>
    </row>
    <row r="8077" spans="1:3" ht="15" customHeight="1" x14ac:dyDescent="0.25">
      <c r="A8077" t="s">
        <v>10244</v>
      </c>
      <c r="B8077">
        <v>18.600000000000001</v>
      </c>
      <c r="C8077">
        <v>0.35</v>
      </c>
    </row>
    <row r="8078" spans="1:3" ht="15" customHeight="1" x14ac:dyDescent="0.25">
      <c r="A8078" t="s">
        <v>10245</v>
      </c>
      <c r="B8078">
        <v>18.600000000000001</v>
      </c>
      <c r="C8078">
        <v>0.35</v>
      </c>
    </row>
    <row r="8079" spans="1:3" ht="15" customHeight="1" x14ac:dyDescent="0.25">
      <c r="A8079" t="s">
        <v>10246</v>
      </c>
      <c r="B8079">
        <v>20.9</v>
      </c>
      <c r="C8079">
        <v>0.35</v>
      </c>
    </row>
    <row r="8080" spans="1:3" ht="15" customHeight="1" x14ac:dyDescent="0.25">
      <c r="A8080" t="s">
        <v>10247</v>
      </c>
      <c r="B8080">
        <v>18.600000000000001</v>
      </c>
      <c r="C8080">
        <v>0.35</v>
      </c>
    </row>
    <row r="8081" spans="1:3" ht="15" customHeight="1" x14ac:dyDescent="0.25">
      <c r="A8081" t="s">
        <v>10248</v>
      </c>
      <c r="B8081">
        <v>18.600000000000001</v>
      </c>
    </row>
    <row r="8082" spans="1:3" ht="15" customHeight="1" x14ac:dyDescent="0.25">
      <c r="A8082" t="s">
        <v>10249</v>
      </c>
      <c r="B8082">
        <v>20.9</v>
      </c>
      <c r="C8082">
        <v>0.35</v>
      </c>
    </row>
    <row r="8083" spans="1:3" ht="15" customHeight="1" x14ac:dyDescent="0.25">
      <c r="A8083" t="s">
        <v>10250</v>
      </c>
      <c r="B8083">
        <v>18.600000000000001</v>
      </c>
    </row>
    <row r="8084" spans="1:3" ht="15" customHeight="1" x14ac:dyDescent="0.25">
      <c r="A8084" t="s">
        <v>10251</v>
      </c>
      <c r="B8084">
        <v>47</v>
      </c>
    </row>
    <row r="8085" spans="1:3" ht="15" customHeight="1" x14ac:dyDescent="0.25">
      <c r="A8085" t="s">
        <v>10252</v>
      </c>
      <c r="B8085">
        <v>47</v>
      </c>
    </row>
    <row r="8086" spans="1:3" ht="15" customHeight="1" x14ac:dyDescent="0.25">
      <c r="A8086" t="s">
        <v>10253</v>
      </c>
      <c r="B8086">
        <v>47</v>
      </c>
    </row>
    <row r="8087" spans="1:3" ht="15" customHeight="1" x14ac:dyDescent="0.25">
      <c r="A8087" t="s">
        <v>10254</v>
      </c>
      <c r="B8087">
        <v>47</v>
      </c>
    </row>
    <row r="8088" spans="1:3" ht="15" customHeight="1" x14ac:dyDescent="0.25">
      <c r="A8088" t="s">
        <v>10255</v>
      </c>
      <c r="B8088">
        <v>47</v>
      </c>
    </row>
    <row r="8089" spans="1:3" ht="15" customHeight="1" x14ac:dyDescent="0.25">
      <c r="A8089" t="s">
        <v>10256</v>
      </c>
      <c r="B8089">
        <v>47</v>
      </c>
    </row>
    <row r="8090" spans="1:3" ht="15" customHeight="1" x14ac:dyDescent="0.25">
      <c r="A8090" t="s">
        <v>10257</v>
      </c>
      <c r="B8090">
        <v>47</v>
      </c>
    </row>
    <row r="8091" spans="1:3" ht="15" customHeight="1" x14ac:dyDescent="0.25">
      <c r="A8091" t="s">
        <v>10258</v>
      </c>
      <c r="B8091">
        <v>47</v>
      </c>
    </row>
    <row r="8092" spans="1:3" ht="15" customHeight="1" x14ac:dyDescent="0.25">
      <c r="A8092" t="s">
        <v>10259</v>
      </c>
      <c r="B8092">
        <v>47</v>
      </c>
    </row>
    <row r="8093" spans="1:3" ht="15" customHeight="1" x14ac:dyDescent="0.25">
      <c r="A8093" t="s">
        <v>10260</v>
      </c>
      <c r="B8093">
        <v>47</v>
      </c>
    </row>
    <row r="8094" spans="1:3" ht="15" customHeight="1" x14ac:dyDescent="0.25">
      <c r="A8094" t="s">
        <v>10261</v>
      </c>
      <c r="B8094">
        <v>47</v>
      </c>
    </row>
    <row r="8095" spans="1:3" ht="15" customHeight="1" x14ac:dyDescent="0.25">
      <c r="A8095" t="s">
        <v>10262</v>
      </c>
      <c r="B8095">
        <v>47</v>
      </c>
    </row>
    <row r="8096" spans="1:3" ht="15" customHeight="1" x14ac:dyDescent="0.25">
      <c r="A8096" t="s">
        <v>10263</v>
      </c>
      <c r="B8096">
        <v>47</v>
      </c>
    </row>
    <row r="8097" spans="1:3" ht="15" customHeight="1" x14ac:dyDescent="0.25">
      <c r="A8097" t="s">
        <v>10264</v>
      </c>
      <c r="B8097">
        <v>47</v>
      </c>
    </row>
    <row r="8098" spans="1:3" ht="15" customHeight="1" x14ac:dyDescent="0.25">
      <c r="A8098" t="s">
        <v>10265</v>
      </c>
      <c r="B8098">
        <v>47</v>
      </c>
    </row>
    <row r="8099" spans="1:3" ht="15" customHeight="1" x14ac:dyDescent="0.25">
      <c r="A8099" t="s">
        <v>10266</v>
      </c>
      <c r="B8099">
        <v>24.4</v>
      </c>
      <c r="C8099">
        <v>0.35</v>
      </c>
    </row>
    <row r="8100" spans="1:3" ht="15" customHeight="1" x14ac:dyDescent="0.25">
      <c r="A8100" t="s">
        <v>10267</v>
      </c>
      <c r="B8100">
        <v>27.6</v>
      </c>
      <c r="C8100">
        <v>0.35</v>
      </c>
    </row>
    <row r="8101" spans="1:3" ht="15" customHeight="1" x14ac:dyDescent="0.25">
      <c r="A8101" t="s">
        <v>10268</v>
      </c>
      <c r="B8101">
        <v>27.6</v>
      </c>
      <c r="C8101">
        <v>0.35</v>
      </c>
    </row>
    <row r="8102" spans="1:3" ht="15" customHeight="1" x14ac:dyDescent="0.25">
      <c r="A8102" t="s">
        <v>10269</v>
      </c>
      <c r="B8102">
        <v>27.6</v>
      </c>
      <c r="C8102">
        <v>0.35</v>
      </c>
    </row>
    <row r="8103" spans="1:3" ht="15" customHeight="1" x14ac:dyDescent="0.25">
      <c r="A8103" t="s">
        <v>10270</v>
      </c>
      <c r="B8103">
        <v>29.4</v>
      </c>
      <c r="C8103">
        <v>0.35</v>
      </c>
    </row>
    <row r="8104" spans="1:3" ht="15" customHeight="1" x14ac:dyDescent="0.25">
      <c r="A8104" t="s">
        <v>10271</v>
      </c>
      <c r="B8104">
        <v>29.4</v>
      </c>
      <c r="C8104">
        <v>0.35</v>
      </c>
    </row>
    <row r="8105" spans="1:3" ht="15" customHeight="1" x14ac:dyDescent="0.25">
      <c r="A8105" t="s">
        <v>10272</v>
      </c>
      <c r="B8105">
        <v>32</v>
      </c>
      <c r="C8105">
        <v>0.35</v>
      </c>
    </row>
    <row r="8106" spans="1:3" ht="15" customHeight="1" x14ac:dyDescent="0.25">
      <c r="A8106" t="s">
        <v>10273</v>
      </c>
      <c r="B8106">
        <v>29.4</v>
      </c>
      <c r="C8106">
        <v>0.35</v>
      </c>
    </row>
    <row r="8107" spans="1:3" ht="15" customHeight="1" x14ac:dyDescent="0.25">
      <c r="A8107" t="s">
        <v>10274</v>
      </c>
      <c r="B8107">
        <v>29.4</v>
      </c>
      <c r="C8107">
        <v>0.35</v>
      </c>
    </row>
    <row r="8108" spans="1:3" ht="15" customHeight="1" x14ac:dyDescent="0.25">
      <c r="A8108" t="s">
        <v>10275</v>
      </c>
      <c r="B8108">
        <v>29.4</v>
      </c>
      <c r="C8108">
        <v>0.35</v>
      </c>
    </row>
    <row r="8109" spans="1:3" ht="15" customHeight="1" x14ac:dyDescent="0.25">
      <c r="A8109" t="s">
        <v>10276</v>
      </c>
      <c r="B8109">
        <v>32</v>
      </c>
    </row>
    <row r="8110" spans="1:3" ht="15" customHeight="1" x14ac:dyDescent="0.25">
      <c r="A8110" t="s">
        <v>10277</v>
      </c>
      <c r="B8110">
        <v>29.4</v>
      </c>
      <c r="C8110">
        <v>0.35</v>
      </c>
    </row>
    <row r="8111" spans="1:3" ht="15" customHeight="1" x14ac:dyDescent="0.25">
      <c r="A8111" t="s">
        <v>10278</v>
      </c>
      <c r="B8111">
        <v>29.4</v>
      </c>
    </row>
    <row r="8112" spans="1:3" ht="15" customHeight="1" x14ac:dyDescent="0.25">
      <c r="A8112" t="s">
        <v>10279</v>
      </c>
      <c r="B8112">
        <v>29.4</v>
      </c>
    </row>
    <row r="8113" spans="1:3" ht="15" customHeight="1" x14ac:dyDescent="0.25">
      <c r="A8113" t="s">
        <v>10280</v>
      </c>
      <c r="B8113">
        <v>32</v>
      </c>
    </row>
    <row r="8114" spans="1:3" ht="15" customHeight="1" x14ac:dyDescent="0.25">
      <c r="A8114" t="s">
        <v>10281</v>
      </c>
      <c r="B8114">
        <v>29.4</v>
      </c>
    </row>
    <row r="8115" spans="1:3" ht="15" customHeight="1" x14ac:dyDescent="0.25">
      <c r="A8115" t="s">
        <v>10282</v>
      </c>
      <c r="B8115">
        <v>29.4</v>
      </c>
      <c r="C8115">
        <v>0.35</v>
      </c>
    </row>
    <row r="8116" spans="1:3" ht="15" customHeight="1" x14ac:dyDescent="0.25">
      <c r="A8116" t="s">
        <v>10283</v>
      </c>
      <c r="B8116">
        <v>29.4</v>
      </c>
    </row>
    <row r="8117" spans="1:3" ht="15" customHeight="1" x14ac:dyDescent="0.25">
      <c r="A8117" t="s">
        <v>10284</v>
      </c>
      <c r="B8117">
        <v>29.4</v>
      </c>
      <c r="C8117">
        <v>0.35</v>
      </c>
    </row>
    <row r="8118" spans="1:3" ht="15" customHeight="1" x14ac:dyDescent="0.25">
      <c r="A8118" t="s">
        <v>10285</v>
      </c>
      <c r="B8118">
        <v>32</v>
      </c>
    </row>
    <row r="8119" spans="1:3" ht="15" customHeight="1" x14ac:dyDescent="0.25">
      <c r="A8119" t="s">
        <v>10286</v>
      </c>
      <c r="B8119">
        <v>29.4</v>
      </c>
      <c r="C8119">
        <v>0.35</v>
      </c>
    </row>
    <row r="8120" spans="1:3" ht="15" customHeight="1" x14ac:dyDescent="0.25">
      <c r="A8120" t="s">
        <v>10287</v>
      </c>
      <c r="B8120">
        <v>29.4</v>
      </c>
      <c r="C8120">
        <v>0.35</v>
      </c>
    </row>
    <row r="8121" spans="1:3" ht="15" customHeight="1" x14ac:dyDescent="0.25">
      <c r="A8121" t="s">
        <v>10288</v>
      </c>
      <c r="B8121">
        <v>29.4</v>
      </c>
      <c r="C8121">
        <v>0.35</v>
      </c>
    </row>
    <row r="8122" spans="1:3" ht="15" customHeight="1" x14ac:dyDescent="0.25">
      <c r="A8122" t="s">
        <v>10289</v>
      </c>
      <c r="B8122">
        <v>29.4</v>
      </c>
      <c r="C8122">
        <v>0.35</v>
      </c>
    </row>
    <row r="8123" spans="1:3" ht="15" customHeight="1" x14ac:dyDescent="0.25">
      <c r="A8123" t="s">
        <v>10290</v>
      </c>
      <c r="B8123">
        <v>32</v>
      </c>
    </row>
    <row r="8124" spans="1:3" ht="15" customHeight="1" x14ac:dyDescent="0.25">
      <c r="A8124" t="s">
        <v>10291</v>
      </c>
      <c r="B8124">
        <v>29.4</v>
      </c>
      <c r="C8124">
        <v>0.35</v>
      </c>
    </row>
    <row r="8125" spans="1:3" ht="15" customHeight="1" x14ac:dyDescent="0.25">
      <c r="A8125" t="s">
        <v>10292</v>
      </c>
      <c r="B8125">
        <v>29.4</v>
      </c>
    </row>
    <row r="8126" spans="1:3" ht="15" customHeight="1" x14ac:dyDescent="0.25">
      <c r="A8126" t="s">
        <v>10293</v>
      </c>
      <c r="B8126">
        <v>29.4</v>
      </c>
    </row>
    <row r="8127" spans="1:3" ht="15" customHeight="1" x14ac:dyDescent="0.25">
      <c r="A8127" t="s">
        <v>10294</v>
      </c>
      <c r="B8127">
        <v>29.4</v>
      </c>
    </row>
    <row r="8128" spans="1:3" ht="15" customHeight="1" x14ac:dyDescent="0.25">
      <c r="A8128" t="s">
        <v>10295</v>
      </c>
      <c r="B8128">
        <v>32</v>
      </c>
    </row>
    <row r="8129" spans="1:3" ht="15" customHeight="1" x14ac:dyDescent="0.25">
      <c r="A8129" t="s">
        <v>10296</v>
      </c>
      <c r="B8129">
        <v>29.4</v>
      </c>
      <c r="C8129">
        <v>0.35</v>
      </c>
    </row>
    <row r="8130" spans="1:3" ht="15" customHeight="1" x14ac:dyDescent="0.25">
      <c r="A8130" t="s">
        <v>10297</v>
      </c>
      <c r="B8130">
        <v>29.4</v>
      </c>
    </row>
    <row r="8131" spans="1:3" ht="15" customHeight="1" x14ac:dyDescent="0.25">
      <c r="A8131" t="s">
        <v>10298</v>
      </c>
      <c r="B8131">
        <v>32</v>
      </c>
    </row>
    <row r="8132" spans="1:3" ht="15" customHeight="1" x14ac:dyDescent="0.25">
      <c r="A8132" t="s">
        <v>10299</v>
      </c>
      <c r="B8132">
        <v>29.4</v>
      </c>
      <c r="C8132">
        <v>0.35</v>
      </c>
    </row>
    <row r="8133" spans="1:3" ht="15" customHeight="1" x14ac:dyDescent="0.25">
      <c r="A8133" t="s">
        <v>10300</v>
      </c>
      <c r="B8133">
        <v>29.4</v>
      </c>
      <c r="C8133">
        <v>0.35</v>
      </c>
    </row>
    <row r="8134" spans="1:3" ht="15" customHeight="1" x14ac:dyDescent="0.25">
      <c r="A8134" t="s">
        <v>10301</v>
      </c>
      <c r="B8134">
        <v>29.4</v>
      </c>
      <c r="C8134">
        <v>0.35</v>
      </c>
    </row>
    <row r="8135" spans="1:3" ht="15" customHeight="1" x14ac:dyDescent="0.25">
      <c r="A8135" t="s">
        <v>10302</v>
      </c>
      <c r="B8135">
        <v>32</v>
      </c>
    </row>
    <row r="8136" spans="1:3" ht="15" customHeight="1" x14ac:dyDescent="0.25">
      <c r="A8136" t="s">
        <v>10303</v>
      </c>
      <c r="B8136">
        <v>29.4</v>
      </c>
      <c r="C8136">
        <v>0.35</v>
      </c>
    </row>
    <row r="8137" spans="1:3" ht="15" customHeight="1" x14ac:dyDescent="0.25">
      <c r="A8137" t="s">
        <v>10304</v>
      </c>
      <c r="B8137">
        <v>29.4</v>
      </c>
    </row>
    <row r="8138" spans="1:3" ht="15" customHeight="1" x14ac:dyDescent="0.25">
      <c r="A8138" t="s">
        <v>10305</v>
      </c>
      <c r="B8138">
        <v>29.4</v>
      </c>
    </row>
    <row r="8139" spans="1:3" ht="15" customHeight="1" x14ac:dyDescent="0.25">
      <c r="A8139" t="s">
        <v>10306</v>
      </c>
      <c r="B8139">
        <v>29.4</v>
      </c>
    </row>
    <row r="8140" spans="1:3" ht="15" customHeight="1" x14ac:dyDescent="0.25">
      <c r="A8140" t="s">
        <v>10307</v>
      </c>
      <c r="B8140">
        <v>32</v>
      </c>
    </row>
    <row r="8141" spans="1:3" ht="15" customHeight="1" x14ac:dyDescent="0.25">
      <c r="A8141" t="s">
        <v>10308</v>
      </c>
      <c r="B8141">
        <v>29.4</v>
      </c>
    </row>
    <row r="8142" spans="1:3" ht="15" customHeight="1" x14ac:dyDescent="0.25">
      <c r="A8142" t="s">
        <v>10309</v>
      </c>
      <c r="B8142">
        <v>29.4</v>
      </c>
    </row>
    <row r="8143" spans="1:3" ht="15" customHeight="1" x14ac:dyDescent="0.25">
      <c r="A8143" t="s">
        <v>10310</v>
      </c>
      <c r="B8143">
        <v>29.4</v>
      </c>
    </row>
    <row r="8144" spans="1:3" ht="15" customHeight="1" x14ac:dyDescent="0.25">
      <c r="A8144" t="s">
        <v>10311</v>
      </c>
      <c r="B8144">
        <v>29.4</v>
      </c>
    </row>
    <row r="8145" spans="1:3" ht="15" customHeight="1" x14ac:dyDescent="0.25">
      <c r="A8145" t="s">
        <v>10312</v>
      </c>
      <c r="B8145">
        <v>32</v>
      </c>
    </row>
    <row r="8146" spans="1:3" ht="15" customHeight="1" x14ac:dyDescent="0.25">
      <c r="A8146" t="s">
        <v>10313</v>
      </c>
      <c r="B8146">
        <v>29.4</v>
      </c>
    </row>
    <row r="8147" spans="1:3" ht="15" customHeight="1" x14ac:dyDescent="0.25">
      <c r="A8147" t="s">
        <v>10314</v>
      </c>
      <c r="B8147">
        <v>29.4</v>
      </c>
      <c r="C8147">
        <v>0.35</v>
      </c>
    </row>
    <row r="8148" spans="1:3" ht="15" customHeight="1" x14ac:dyDescent="0.25">
      <c r="A8148" t="s">
        <v>10315</v>
      </c>
      <c r="B8148">
        <v>29.4</v>
      </c>
    </row>
    <row r="8149" spans="1:3" ht="15" customHeight="1" x14ac:dyDescent="0.25">
      <c r="A8149" t="s">
        <v>10316</v>
      </c>
      <c r="B8149">
        <v>29.4</v>
      </c>
      <c r="C8149">
        <v>0.35</v>
      </c>
    </row>
    <row r="8150" spans="1:3" ht="15" customHeight="1" x14ac:dyDescent="0.25">
      <c r="A8150" t="s">
        <v>10317</v>
      </c>
      <c r="B8150">
        <v>32</v>
      </c>
    </row>
    <row r="8151" spans="1:3" ht="15" customHeight="1" x14ac:dyDescent="0.25">
      <c r="A8151" t="s">
        <v>10318</v>
      </c>
      <c r="B8151">
        <v>29.4</v>
      </c>
      <c r="C8151">
        <v>0.35</v>
      </c>
    </row>
    <row r="8152" spans="1:3" ht="15" customHeight="1" x14ac:dyDescent="0.25">
      <c r="A8152" t="s">
        <v>10319</v>
      </c>
      <c r="B8152">
        <v>29.4</v>
      </c>
      <c r="C8152">
        <v>0.35</v>
      </c>
    </row>
    <row r="8153" spans="1:3" ht="15" customHeight="1" x14ac:dyDescent="0.25">
      <c r="A8153" t="s">
        <v>10320</v>
      </c>
      <c r="B8153">
        <v>29.4</v>
      </c>
    </row>
    <row r="8154" spans="1:3" ht="15" customHeight="1" x14ac:dyDescent="0.25">
      <c r="A8154" t="s">
        <v>10321</v>
      </c>
      <c r="B8154">
        <v>29.4</v>
      </c>
      <c r="C8154">
        <v>0.35</v>
      </c>
    </row>
    <row r="8155" spans="1:3" ht="15" customHeight="1" x14ac:dyDescent="0.25">
      <c r="A8155" t="s">
        <v>10322</v>
      </c>
      <c r="B8155">
        <v>32</v>
      </c>
      <c r="C8155">
        <v>0.35</v>
      </c>
    </row>
    <row r="8156" spans="1:3" ht="15" customHeight="1" x14ac:dyDescent="0.25">
      <c r="A8156" t="s">
        <v>10323</v>
      </c>
      <c r="B8156">
        <v>29.4</v>
      </c>
      <c r="C8156">
        <v>0.35</v>
      </c>
    </row>
    <row r="8157" spans="1:3" ht="15" customHeight="1" x14ac:dyDescent="0.25">
      <c r="A8157" t="s">
        <v>10324</v>
      </c>
      <c r="B8157">
        <v>29.4</v>
      </c>
    </row>
    <row r="8158" spans="1:3" ht="15" customHeight="1" x14ac:dyDescent="0.25">
      <c r="A8158" t="s">
        <v>10325</v>
      </c>
      <c r="B8158">
        <v>29.4</v>
      </c>
    </row>
    <row r="8159" spans="1:3" ht="15" customHeight="1" x14ac:dyDescent="0.25">
      <c r="A8159" t="s">
        <v>10326</v>
      </c>
      <c r="B8159">
        <v>29.4</v>
      </c>
    </row>
    <row r="8160" spans="1:3" ht="15" customHeight="1" x14ac:dyDescent="0.25">
      <c r="A8160" t="s">
        <v>10327</v>
      </c>
      <c r="B8160">
        <v>32</v>
      </c>
    </row>
    <row r="8161" spans="1:3" ht="15" customHeight="1" x14ac:dyDescent="0.25">
      <c r="A8161" t="s">
        <v>10328</v>
      </c>
      <c r="B8161">
        <v>29.4</v>
      </c>
    </row>
    <row r="8162" spans="1:3" ht="15" customHeight="1" x14ac:dyDescent="0.25">
      <c r="A8162" t="s">
        <v>10329</v>
      </c>
      <c r="B8162">
        <v>29.4</v>
      </c>
    </row>
    <row r="8163" spans="1:3" ht="15" customHeight="1" x14ac:dyDescent="0.25">
      <c r="A8163" t="s">
        <v>10330</v>
      </c>
      <c r="B8163">
        <v>29.4</v>
      </c>
    </row>
    <row r="8164" spans="1:3" ht="15" customHeight="1" x14ac:dyDescent="0.25">
      <c r="A8164" t="s">
        <v>10331</v>
      </c>
      <c r="B8164">
        <v>29.4</v>
      </c>
    </row>
    <row r="8165" spans="1:3" ht="15" customHeight="1" x14ac:dyDescent="0.25">
      <c r="A8165" t="s">
        <v>10332</v>
      </c>
      <c r="B8165">
        <v>32</v>
      </c>
    </row>
    <row r="8166" spans="1:3" ht="15" customHeight="1" x14ac:dyDescent="0.25">
      <c r="A8166" t="s">
        <v>10333</v>
      </c>
      <c r="B8166">
        <v>29.4</v>
      </c>
    </row>
    <row r="8167" spans="1:3" ht="15" customHeight="1" x14ac:dyDescent="0.25">
      <c r="A8167" t="s">
        <v>10334</v>
      </c>
      <c r="B8167">
        <v>29.4</v>
      </c>
    </row>
    <row r="8168" spans="1:3" ht="15" customHeight="1" x14ac:dyDescent="0.25">
      <c r="A8168" t="s">
        <v>10335</v>
      </c>
      <c r="B8168">
        <v>29.4</v>
      </c>
    </row>
    <row r="8169" spans="1:3" ht="15" customHeight="1" x14ac:dyDescent="0.25">
      <c r="A8169" t="s">
        <v>10336</v>
      </c>
      <c r="B8169">
        <v>29.4</v>
      </c>
      <c r="C8169">
        <v>0.35</v>
      </c>
    </row>
    <row r="8170" spans="1:3" ht="15" customHeight="1" x14ac:dyDescent="0.25">
      <c r="A8170" t="s">
        <v>10337</v>
      </c>
      <c r="B8170">
        <v>32</v>
      </c>
    </row>
    <row r="8171" spans="1:3" ht="15" customHeight="1" x14ac:dyDescent="0.25">
      <c r="A8171" t="s">
        <v>10338</v>
      </c>
      <c r="B8171">
        <v>29.4</v>
      </c>
      <c r="C8171">
        <v>0.35</v>
      </c>
    </row>
    <row r="8172" spans="1:3" ht="15" customHeight="1" x14ac:dyDescent="0.25">
      <c r="A8172" t="s">
        <v>10339</v>
      </c>
      <c r="B8172">
        <v>16.399999999999999</v>
      </c>
    </row>
    <row r="8173" spans="1:3" ht="15" customHeight="1" x14ac:dyDescent="0.25">
      <c r="A8173" t="s">
        <v>10340</v>
      </c>
      <c r="B8173">
        <v>18.8</v>
      </c>
      <c r="C8173">
        <v>0.35</v>
      </c>
    </row>
    <row r="8174" spans="1:3" ht="15" customHeight="1" x14ac:dyDescent="0.25">
      <c r="A8174" t="s">
        <v>10341</v>
      </c>
      <c r="B8174">
        <v>16.399999999999999</v>
      </c>
      <c r="C8174">
        <v>0.35</v>
      </c>
    </row>
    <row r="8175" spans="1:3" ht="15" customHeight="1" x14ac:dyDescent="0.25">
      <c r="A8175" t="s">
        <v>10342</v>
      </c>
      <c r="B8175">
        <v>16.399999999999999</v>
      </c>
      <c r="C8175">
        <v>0.35</v>
      </c>
    </row>
    <row r="8176" spans="1:3" ht="15" customHeight="1" x14ac:dyDescent="0.25">
      <c r="A8176" t="s">
        <v>10343</v>
      </c>
      <c r="B8176">
        <v>16.399999999999999</v>
      </c>
    </row>
    <row r="8177" spans="1:3" ht="15" customHeight="1" x14ac:dyDescent="0.25">
      <c r="A8177" t="s">
        <v>10344</v>
      </c>
      <c r="B8177">
        <v>18.8</v>
      </c>
      <c r="C8177">
        <v>0.35</v>
      </c>
    </row>
    <row r="8178" spans="1:3" ht="15" customHeight="1" x14ac:dyDescent="0.25">
      <c r="A8178" t="s">
        <v>10345</v>
      </c>
      <c r="B8178">
        <v>16.399999999999999</v>
      </c>
    </row>
    <row r="8179" spans="1:3" ht="15" customHeight="1" x14ac:dyDescent="0.25">
      <c r="A8179" t="s">
        <v>10346</v>
      </c>
      <c r="B8179">
        <v>16.399999999999999</v>
      </c>
      <c r="C8179">
        <v>0.35</v>
      </c>
    </row>
    <row r="8180" spans="1:3" ht="15" customHeight="1" x14ac:dyDescent="0.25">
      <c r="A8180" t="s">
        <v>10347</v>
      </c>
      <c r="B8180">
        <v>16.399999999999999</v>
      </c>
      <c r="C8180">
        <v>0.35</v>
      </c>
    </row>
    <row r="8181" spans="1:3" ht="15" customHeight="1" x14ac:dyDescent="0.25">
      <c r="A8181" t="s">
        <v>10348</v>
      </c>
      <c r="B8181">
        <v>16.399999999999999</v>
      </c>
      <c r="C8181">
        <v>0.35</v>
      </c>
    </row>
    <row r="8182" spans="1:3" ht="15" customHeight="1" x14ac:dyDescent="0.25">
      <c r="A8182" t="s">
        <v>10349</v>
      </c>
      <c r="B8182">
        <v>16.399999999999999</v>
      </c>
      <c r="C8182">
        <v>0.35</v>
      </c>
    </row>
    <row r="8183" spans="1:3" ht="15" customHeight="1" x14ac:dyDescent="0.25">
      <c r="A8183" t="s">
        <v>10350</v>
      </c>
      <c r="B8183">
        <v>18.8</v>
      </c>
      <c r="C8183">
        <v>0.35</v>
      </c>
    </row>
    <row r="8184" spans="1:3" ht="15" customHeight="1" x14ac:dyDescent="0.25">
      <c r="A8184" t="s">
        <v>10351</v>
      </c>
      <c r="B8184">
        <v>16.399999999999999</v>
      </c>
    </row>
    <row r="8185" spans="1:3" ht="15" customHeight="1" x14ac:dyDescent="0.25">
      <c r="A8185" t="s">
        <v>10352</v>
      </c>
      <c r="B8185">
        <v>16.399999999999999</v>
      </c>
      <c r="C8185">
        <v>0.35</v>
      </c>
    </row>
    <row r="8186" spans="1:3" ht="15" customHeight="1" x14ac:dyDescent="0.25">
      <c r="A8186" t="s">
        <v>10353</v>
      </c>
      <c r="B8186">
        <v>16.399999999999999</v>
      </c>
    </row>
    <row r="8187" spans="1:3" ht="15" customHeight="1" x14ac:dyDescent="0.25">
      <c r="A8187" t="s">
        <v>10354</v>
      </c>
      <c r="B8187">
        <v>16.399999999999999</v>
      </c>
    </row>
    <row r="8188" spans="1:3" ht="15" customHeight="1" x14ac:dyDescent="0.25">
      <c r="A8188" t="s">
        <v>10355</v>
      </c>
      <c r="B8188">
        <v>16.399999999999999</v>
      </c>
      <c r="C8188">
        <v>0.35</v>
      </c>
    </row>
    <row r="8189" spans="1:3" ht="15" customHeight="1" x14ac:dyDescent="0.25">
      <c r="A8189" t="s">
        <v>10356</v>
      </c>
      <c r="B8189">
        <v>18.8</v>
      </c>
      <c r="C8189">
        <v>0.35</v>
      </c>
    </row>
    <row r="8190" spans="1:3" ht="15" customHeight="1" x14ac:dyDescent="0.25">
      <c r="A8190" t="s">
        <v>10357</v>
      </c>
      <c r="B8190">
        <v>16.399999999999999</v>
      </c>
      <c r="C8190">
        <v>0.35</v>
      </c>
    </row>
    <row r="8191" spans="1:3" ht="15" customHeight="1" x14ac:dyDescent="0.25">
      <c r="A8191" t="s">
        <v>10358</v>
      </c>
      <c r="B8191">
        <v>16.399999999999999</v>
      </c>
      <c r="C8191">
        <v>0.35</v>
      </c>
    </row>
    <row r="8192" spans="1:3" ht="15" customHeight="1" x14ac:dyDescent="0.25">
      <c r="A8192" t="s">
        <v>10359</v>
      </c>
      <c r="B8192">
        <v>16.600000000000001</v>
      </c>
    </row>
    <row r="8193" spans="1:3" ht="15" customHeight="1" x14ac:dyDescent="0.25">
      <c r="A8193" t="s">
        <v>10360</v>
      </c>
      <c r="B8193">
        <v>16.600000000000001</v>
      </c>
      <c r="C8193">
        <v>0.35</v>
      </c>
    </row>
    <row r="8194" spans="1:3" ht="15" customHeight="1" x14ac:dyDescent="0.25">
      <c r="A8194" t="s">
        <v>10361</v>
      </c>
      <c r="B8194">
        <v>18.899999999999999</v>
      </c>
    </row>
    <row r="8195" spans="1:3" ht="15" customHeight="1" x14ac:dyDescent="0.25">
      <c r="A8195" t="s">
        <v>10362</v>
      </c>
      <c r="B8195">
        <v>16.600000000000001</v>
      </c>
    </row>
    <row r="8196" spans="1:3" ht="15" customHeight="1" x14ac:dyDescent="0.25">
      <c r="A8196" t="s">
        <v>10363</v>
      </c>
      <c r="B8196">
        <v>16.600000000000001</v>
      </c>
      <c r="C8196">
        <v>0.35</v>
      </c>
    </row>
    <row r="8197" spans="1:3" ht="15" customHeight="1" x14ac:dyDescent="0.25">
      <c r="A8197" t="s">
        <v>10364</v>
      </c>
      <c r="B8197">
        <v>7.4</v>
      </c>
    </row>
    <row r="8198" spans="1:3" ht="15" customHeight="1" x14ac:dyDescent="0.25">
      <c r="A8198" t="s">
        <v>10365</v>
      </c>
      <c r="B8198">
        <v>7.4</v>
      </c>
      <c r="C8198">
        <v>0.35</v>
      </c>
    </row>
    <row r="8199" spans="1:3" ht="15" customHeight="1" x14ac:dyDescent="0.25">
      <c r="A8199" t="s">
        <v>10366</v>
      </c>
      <c r="B8199">
        <v>7.4</v>
      </c>
      <c r="C8199">
        <v>0.35</v>
      </c>
    </row>
    <row r="8200" spans="1:3" ht="15" customHeight="1" x14ac:dyDescent="0.25">
      <c r="A8200" t="s">
        <v>10367</v>
      </c>
      <c r="B8200">
        <v>7.4</v>
      </c>
      <c r="C8200">
        <v>0.35</v>
      </c>
    </row>
    <row r="8201" spans="1:3" ht="15" customHeight="1" x14ac:dyDescent="0.25">
      <c r="A8201" t="s">
        <v>10368</v>
      </c>
      <c r="B8201">
        <v>7.4</v>
      </c>
    </row>
    <row r="8202" spans="1:3" ht="15" customHeight="1" x14ac:dyDescent="0.25">
      <c r="A8202" t="s">
        <v>10369</v>
      </c>
      <c r="B8202">
        <v>7.4</v>
      </c>
      <c r="C8202">
        <v>0.35</v>
      </c>
    </row>
    <row r="8203" spans="1:3" ht="15" customHeight="1" x14ac:dyDescent="0.25">
      <c r="A8203" t="s">
        <v>10370</v>
      </c>
      <c r="B8203">
        <v>7.4</v>
      </c>
      <c r="C8203">
        <v>0.35</v>
      </c>
    </row>
    <row r="8204" spans="1:3" ht="15" customHeight="1" x14ac:dyDescent="0.25">
      <c r="A8204" t="s">
        <v>10371</v>
      </c>
      <c r="B8204">
        <v>7.4</v>
      </c>
    </row>
    <row r="8205" spans="1:3" ht="15" customHeight="1" x14ac:dyDescent="0.25">
      <c r="A8205" t="s">
        <v>10372</v>
      </c>
      <c r="B8205">
        <v>7.4</v>
      </c>
      <c r="C8205">
        <v>0.35</v>
      </c>
    </row>
    <row r="8206" spans="1:3" ht="15" customHeight="1" x14ac:dyDescent="0.25">
      <c r="A8206" t="s">
        <v>10373</v>
      </c>
      <c r="B8206">
        <v>7.4</v>
      </c>
      <c r="C8206">
        <v>0.35</v>
      </c>
    </row>
    <row r="8207" spans="1:3" ht="15" customHeight="1" x14ac:dyDescent="0.25">
      <c r="A8207" t="s">
        <v>10374</v>
      </c>
      <c r="B8207">
        <v>7.4</v>
      </c>
      <c r="C8207">
        <v>0.35</v>
      </c>
    </row>
    <row r="8208" spans="1:3" ht="15" customHeight="1" x14ac:dyDescent="0.25">
      <c r="A8208" t="s">
        <v>10375</v>
      </c>
      <c r="B8208">
        <v>7.4</v>
      </c>
      <c r="C8208">
        <v>0.35</v>
      </c>
    </row>
    <row r="8209" spans="1:3" ht="15" customHeight="1" x14ac:dyDescent="0.25">
      <c r="A8209" t="s">
        <v>10376</v>
      </c>
      <c r="B8209">
        <v>7.4</v>
      </c>
    </row>
    <row r="8210" spans="1:3" ht="15" customHeight="1" x14ac:dyDescent="0.25">
      <c r="A8210" t="s">
        <v>10377</v>
      </c>
      <c r="B8210">
        <v>7.4</v>
      </c>
      <c r="C8210">
        <v>0.35</v>
      </c>
    </row>
    <row r="8211" spans="1:3" ht="15" customHeight="1" x14ac:dyDescent="0.25">
      <c r="A8211" t="s">
        <v>10378</v>
      </c>
      <c r="B8211">
        <v>7.4</v>
      </c>
      <c r="C8211">
        <v>0.35</v>
      </c>
    </row>
    <row r="8212" spans="1:3" ht="15" customHeight="1" x14ac:dyDescent="0.25">
      <c r="A8212" t="s">
        <v>10379</v>
      </c>
      <c r="B8212">
        <v>7.4</v>
      </c>
      <c r="C8212">
        <v>0.35</v>
      </c>
    </row>
    <row r="8213" spans="1:3" ht="15" customHeight="1" x14ac:dyDescent="0.25">
      <c r="A8213" t="s">
        <v>10380</v>
      </c>
      <c r="B8213">
        <v>14.1</v>
      </c>
      <c r="C8213">
        <v>0.35</v>
      </c>
    </row>
    <row r="8214" spans="1:3" ht="15" customHeight="1" x14ac:dyDescent="0.25">
      <c r="A8214" t="s">
        <v>10381</v>
      </c>
      <c r="B8214">
        <v>14.1</v>
      </c>
      <c r="C8214">
        <v>0.35</v>
      </c>
    </row>
    <row r="8215" spans="1:3" ht="15" customHeight="1" x14ac:dyDescent="0.25">
      <c r="A8215" t="s">
        <v>10382</v>
      </c>
      <c r="B8215">
        <v>16.899999999999999</v>
      </c>
      <c r="C8215">
        <v>0.35</v>
      </c>
    </row>
    <row r="8216" spans="1:3" ht="15" customHeight="1" x14ac:dyDescent="0.25">
      <c r="A8216" t="s">
        <v>10383</v>
      </c>
      <c r="B8216">
        <v>14.1</v>
      </c>
      <c r="C8216">
        <v>0.35</v>
      </c>
    </row>
    <row r="8217" spans="1:3" ht="15" customHeight="1" x14ac:dyDescent="0.25">
      <c r="A8217" t="s">
        <v>10384</v>
      </c>
      <c r="B8217">
        <v>14.1</v>
      </c>
    </row>
    <row r="8218" spans="1:3" ht="15" customHeight="1" x14ac:dyDescent="0.25">
      <c r="A8218" t="s">
        <v>10385</v>
      </c>
      <c r="B8218">
        <v>14.1</v>
      </c>
    </row>
    <row r="8219" spans="1:3" ht="15" customHeight="1" x14ac:dyDescent="0.25">
      <c r="A8219" t="s">
        <v>10386</v>
      </c>
      <c r="B8219">
        <v>16.899999999999999</v>
      </c>
      <c r="C8219">
        <v>0.35</v>
      </c>
    </row>
    <row r="8220" spans="1:3" ht="15" customHeight="1" x14ac:dyDescent="0.25">
      <c r="A8220" t="s">
        <v>10387</v>
      </c>
      <c r="B8220">
        <v>14.1</v>
      </c>
      <c r="C8220">
        <v>0.35</v>
      </c>
    </row>
    <row r="8221" spans="1:3" ht="15" customHeight="1" x14ac:dyDescent="0.25">
      <c r="A8221" t="s">
        <v>10388</v>
      </c>
      <c r="B8221">
        <v>14.1</v>
      </c>
      <c r="C8221">
        <v>0.35</v>
      </c>
    </row>
    <row r="8222" spans="1:3" ht="15" customHeight="1" x14ac:dyDescent="0.25">
      <c r="A8222" t="s">
        <v>10389</v>
      </c>
      <c r="B8222">
        <v>14.1</v>
      </c>
      <c r="C8222">
        <v>0.35</v>
      </c>
    </row>
    <row r="8223" spans="1:3" ht="15" customHeight="1" x14ac:dyDescent="0.25">
      <c r="A8223" t="s">
        <v>10390</v>
      </c>
      <c r="B8223">
        <v>16.899999999999999</v>
      </c>
      <c r="C8223">
        <v>0.35</v>
      </c>
    </row>
    <row r="8224" spans="1:3" ht="15" customHeight="1" x14ac:dyDescent="0.25">
      <c r="A8224" t="s">
        <v>10391</v>
      </c>
      <c r="B8224">
        <v>14.1</v>
      </c>
      <c r="C8224">
        <v>0.35</v>
      </c>
    </row>
    <row r="8225" spans="1:3" ht="15" customHeight="1" x14ac:dyDescent="0.25">
      <c r="A8225" t="s">
        <v>10392</v>
      </c>
      <c r="B8225">
        <v>14.3</v>
      </c>
      <c r="C8225">
        <v>0.35</v>
      </c>
    </row>
    <row r="8226" spans="1:3" ht="15" customHeight="1" x14ac:dyDescent="0.25">
      <c r="A8226" t="s">
        <v>10393</v>
      </c>
      <c r="B8226">
        <v>14.3</v>
      </c>
      <c r="C8226">
        <v>0.35</v>
      </c>
    </row>
    <row r="8227" spans="1:3" ht="15" customHeight="1" x14ac:dyDescent="0.25">
      <c r="A8227" t="s">
        <v>10394</v>
      </c>
      <c r="B8227">
        <v>17.100000000000001</v>
      </c>
      <c r="C8227">
        <v>0.35</v>
      </c>
    </row>
    <row r="8228" spans="1:3" ht="15" customHeight="1" x14ac:dyDescent="0.25">
      <c r="A8228" t="s">
        <v>10395</v>
      </c>
      <c r="B8228">
        <v>14.3</v>
      </c>
      <c r="C8228">
        <v>0.35</v>
      </c>
    </row>
    <row r="8229" spans="1:3" ht="15" customHeight="1" x14ac:dyDescent="0.25">
      <c r="A8229" t="s">
        <v>10396</v>
      </c>
      <c r="B8229">
        <v>13.6</v>
      </c>
      <c r="C8229">
        <v>0.35</v>
      </c>
    </row>
    <row r="8230" spans="1:3" ht="15" customHeight="1" x14ac:dyDescent="0.25">
      <c r="A8230" t="s">
        <v>10397</v>
      </c>
      <c r="B8230">
        <v>13.6</v>
      </c>
      <c r="C8230">
        <v>0.35</v>
      </c>
    </row>
    <row r="8231" spans="1:3" ht="15" customHeight="1" x14ac:dyDescent="0.25">
      <c r="A8231" t="s">
        <v>10398</v>
      </c>
      <c r="B8231">
        <v>13.6</v>
      </c>
      <c r="C8231">
        <v>0.35</v>
      </c>
    </row>
    <row r="8232" spans="1:3" ht="15" customHeight="1" x14ac:dyDescent="0.25">
      <c r="A8232" t="s">
        <v>10399</v>
      </c>
      <c r="B8232">
        <v>13.6</v>
      </c>
      <c r="C8232">
        <v>0.35</v>
      </c>
    </row>
    <row r="8233" spans="1:3" ht="15" customHeight="1" x14ac:dyDescent="0.25">
      <c r="A8233" t="s">
        <v>10400</v>
      </c>
      <c r="B8233">
        <v>13.6</v>
      </c>
      <c r="C8233">
        <v>0.35</v>
      </c>
    </row>
    <row r="8234" spans="1:3" ht="15" customHeight="1" x14ac:dyDescent="0.25">
      <c r="A8234" t="s">
        <v>10401</v>
      </c>
      <c r="B8234">
        <v>13.6</v>
      </c>
      <c r="C8234">
        <v>0.35</v>
      </c>
    </row>
    <row r="8235" spans="1:3" ht="15" customHeight="1" x14ac:dyDescent="0.25">
      <c r="A8235" t="s">
        <v>10402</v>
      </c>
      <c r="B8235">
        <v>13.6</v>
      </c>
      <c r="C8235">
        <v>0.35</v>
      </c>
    </row>
    <row r="8236" spans="1:3" ht="15" customHeight="1" x14ac:dyDescent="0.25">
      <c r="A8236" t="s">
        <v>10403</v>
      </c>
      <c r="B8236">
        <v>60.6</v>
      </c>
      <c r="C8236">
        <v>0.25</v>
      </c>
    </row>
    <row r="8237" spans="1:3" ht="15" customHeight="1" x14ac:dyDescent="0.25">
      <c r="A8237" t="s">
        <v>10404</v>
      </c>
      <c r="B8237">
        <v>60.6</v>
      </c>
      <c r="C8237">
        <v>0.25</v>
      </c>
    </row>
    <row r="8238" spans="1:3" ht="15" customHeight="1" x14ac:dyDescent="0.25">
      <c r="A8238" t="s">
        <v>10405</v>
      </c>
      <c r="B8238">
        <v>60.6</v>
      </c>
      <c r="C8238">
        <v>0.25</v>
      </c>
    </row>
    <row r="8239" spans="1:3" ht="15" customHeight="1" x14ac:dyDescent="0.25">
      <c r="A8239" t="s">
        <v>10406</v>
      </c>
      <c r="B8239">
        <v>60.6</v>
      </c>
      <c r="C8239">
        <v>0.25</v>
      </c>
    </row>
    <row r="8240" spans="1:3" ht="15" customHeight="1" x14ac:dyDescent="0.25">
      <c r="A8240" t="s">
        <v>10407</v>
      </c>
      <c r="B8240">
        <v>63.9</v>
      </c>
      <c r="C8240">
        <v>0.25</v>
      </c>
    </row>
    <row r="8241" spans="1:3" ht="15" customHeight="1" x14ac:dyDescent="0.25">
      <c r="A8241" t="s">
        <v>10408</v>
      </c>
      <c r="B8241">
        <v>63.9</v>
      </c>
      <c r="C8241">
        <v>0.25</v>
      </c>
    </row>
    <row r="8242" spans="1:3" ht="15" customHeight="1" x14ac:dyDescent="0.25">
      <c r="A8242" t="s">
        <v>10409</v>
      </c>
      <c r="B8242">
        <v>60.6</v>
      </c>
      <c r="C8242">
        <v>0.25</v>
      </c>
    </row>
    <row r="8243" spans="1:3" ht="15" customHeight="1" x14ac:dyDescent="0.25">
      <c r="A8243" t="s">
        <v>10410</v>
      </c>
      <c r="B8243">
        <v>60.6</v>
      </c>
      <c r="C8243">
        <v>0.25</v>
      </c>
    </row>
    <row r="8244" spans="1:3" ht="15" customHeight="1" x14ac:dyDescent="0.25">
      <c r="A8244" t="s">
        <v>10411</v>
      </c>
      <c r="B8244">
        <v>60.6</v>
      </c>
      <c r="C8244">
        <v>0.25</v>
      </c>
    </row>
    <row r="8245" spans="1:3" ht="15" customHeight="1" x14ac:dyDescent="0.25">
      <c r="A8245" t="s">
        <v>10412</v>
      </c>
      <c r="B8245">
        <v>60.6</v>
      </c>
      <c r="C8245">
        <v>0.25</v>
      </c>
    </row>
    <row r="8246" spans="1:3" ht="15" customHeight="1" x14ac:dyDescent="0.25">
      <c r="A8246" t="s">
        <v>10413</v>
      </c>
      <c r="B8246">
        <v>60.6</v>
      </c>
      <c r="C8246">
        <v>0.25</v>
      </c>
    </row>
    <row r="8247" spans="1:3" ht="15" customHeight="1" x14ac:dyDescent="0.25">
      <c r="A8247" t="s">
        <v>10414</v>
      </c>
      <c r="B8247">
        <v>63.9</v>
      </c>
      <c r="C8247">
        <v>0.25</v>
      </c>
    </row>
    <row r="8248" spans="1:3" ht="15" customHeight="1" x14ac:dyDescent="0.25">
      <c r="A8248" t="s">
        <v>10415</v>
      </c>
      <c r="B8248">
        <v>63.9</v>
      </c>
      <c r="C8248">
        <v>0.25</v>
      </c>
    </row>
    <row r="8249" spans="1:3" ht="15" customHeight="1" x14ac:dyDescent="0.25">
      <c r="A8249" t="s">
        <v>10416</v>
      </c>
      <c r="B8249">
        <v>55</v>
      </c>
      <c r="C8249">
        <v>0.3</v>
      </c>
    </row>
    <row r="8250" spans="1:3" ht="15" customHeight="1" x14ac:dyDescent="0.25">
      <c r="A8250" t="s">
        <v>10417</v>
      </c>
      <c r="B8250">
        <v>55</v>
      </c>
      <c r="C8250">
        <v>0.3</v>
      </c>
    </row>
    <row r="8251" spans="1:3" ht="15" customHeight="1" x14ac:dyDescent="0.25">
      <c r="A8251" t="s">
        <v>10418</v>
      </c>
      <c r="B8251">
        <v>55</v>
      </c>
      <c r="C8251">
        <v>0.3</v>
      </c>
    </row>
    <row r="8252" spans="1:3" ht="15" customHeight="1" x14ac:dyDescent="0.25">
      <c r="A8252" t="s">
        <v>10419</v>
      </c>
      <c r="B8252">
        <v>61.9</v>
      </c>
      <c r="C8252">
        <v>0.3</v>
      </c>
    </row>
    <row r="8253" spans="1:3" ht="15" customHeight="1" x14ac:dyDescent="0.25">
      <c r="A8253" t="s">
        <v>10420</v>
      </c>
      <c r="B8253">
        <v>61.9</v>
      </c>
      <c r="C8253">
        <v>0.3</v>
      </c>
    </row>
    <row r="8254" spans="1:3" ht="15" customHeight="1" x14ac:dyDescent="0.25">
      <c r="A8254" t="s">
        <v>10421</v>
      </c>
      <c r="B8254">
        <v>61.9</v>
      </c>
      <c r="C8254">
        <v>0.3</v>
      </c>
    </row>
    <row r="8255" spans="1:3" ht="15" customHeight="1" x14ac:dyDescent="0.25">
      <c r="A8255" t="s">
        <v>10422</v>
      </c>
      <c r="B8255">
        <v>44.2</v>
      </c>
      <c r="C8255">
        <v>0.3</v>
      </c>
    </row>
    <row r="8256" spans="1:3" ht="15" customHeight="1" x14ac:dyDescent="0.25">
      <c r="A8256" t="s">
        <v>10423</v>
      </c>
      <c r="B8256">
        <v>44.2</v>
      </c>
      <c r="C8256">
        <v>0.3</v>
      </c>
    </row>
    <row r="8257" spans="1:3" ht="15" customHeight="1" x14ac:dyDescent="0.25">
      <c r="A8257" t="s">
        <v>10424</v>
      </c>
      <c r="B8257">
        <v>44.2</v>
      </c>
      <c r="C8257">
        <v>0.3</v>
      </c>
    </row>
    <row r="8258" spans="1:3" ht="15" customHeight="1" x14ac:dyDescent="0.25">
      <c r="A8258" t="s">
        <v>10425</v>
      </c>
      <c r="B8258">
        <v>55</v>
      </c>
      <c r="C8258">
        <v>0.3</v>
      </c>
    </row>
    <row r="8259" spans="1:3" ht="15" customHeight="1" x14ac:dyDescent="0.25">
      <c r="A8259" t="s">
        <v>10426</v>
      </c>
      <c r="B8259">
        <v>55</v>
      </c>
      <c r="C8259">
        <v>0.3</v>
      </c>
    </row>
    <row r="8260" spans="1:3" ht="15" customHeight="1" x14ac:dyDescent="0.25">
      <c r="A8260" t="s">
        <v>10427</v>
      </c>
      <c r="B8260">
        <v>55</v>
      </c>
      <c r="C8260">
        <v>0.3</v>
      </c>
    </row>
    <row r="8261" spans="1:3" ht="15" customHeight="1" x14ac:dyDescent="0.25">
      <c r="A8261" t="s">
        <v>10428</v>
      </c>
      <c r="B8261">
        <v>55</v>
      </c>
      <c r="C8261">
        <v>0.3</v>
      </c>
    </row>
    <row r="8262" spans="1:3" ht="15" customHeight="1" x14ac:dyDescent="0.25">
      <c r="A8262" t="s">
        <v>10429</v>
      </c>
      <c r="B8262">
        <v>55</v>
      </c>
      <c r="C8262">
        <v>0.3</v>
      </c>
    </row>
    <row r="8263" spans="1:3" ht="15" customHeight="1" x14ac:dyDescent="0.25">
      <c r="A8263" t="s">
        <v>10430</v>
      </c>
      <c r="B8263">
        <v>55</v>
      </c>
      <c r="C8263">
        <v>0.3</v>
      </c>
    </row>
    <row r="8264" spans="1:3" ht="15" customHeight="1" x14ac:dyDescent="0.25">
      <c r="A8264" t="s">
        <v>10431</v>
      </c>
      <c r="B8264">
        <v>61.9</v>
      </c>
      <c r="C8264">
        <v>0.3</v>
      </c>
    </row>
    <row r="8265" spans="1:3" ht="15" customHeight="1" x14ac:dyDescent="0.25">
      <c r="A8265" t="s">
        <v>10432</v>
      </c>
      <c r="B8265">
        <v>61.9</v>
      </c>
      <c r="C8265">
        <v>0.3</v>
      </c>
    </row>
    <row r="8266" spans="1:3" ht="15" customHeight="1" x14ac:dyDescent="0.25">
      <c r="A8266" t="s">
        <v>10433</v>
      </c>
      <c r="B8266">
        <v>61.9</v>
      </c>
      <c r="C8266">
        <v>0.3</v>
      </c>
    </row>
    <row r="8267" spans="1:3" ht="15" customHeight="1" x14ac:dyDescent="0.25">
      <c r="A8267" t="s">
        <v>10434</v>
      </c>
      <c r="B8267">
        <v>55</v>
      </c>
      <c r="C8267">
        <v>0.3</v>
      </c>
    </row>
    <row r="8268" spans="1:3" ht="15" customHeight="1" x14ac:dyDescent="0.25">
      <c r="A8268" t="s">
        <v>10435</v>
      </c>
      <c r="B8268">
        <v>55</v>
      </c>
      <c r="C8268">
        <v>0.3</v>
      </c>
    </row>
    <row r="8269" spans="1:3" ht="15" customHeight="1" x14ac:dyDescent="0.25">
      <c r="A8269" t="s">
        <v>10436</v>
      </c>
      <c r="B8269">
        <v>55</v>
      </c>
      <c r="C8269">
        <v>0.3</v>
      </c>
    </row>
    <row r="8270" spans="1:3" ht="15" customHeight="1" x14ac:dyDescent="0.25">
      <c r="A8270" t="s">
        <v>10437</v>
      </c>
      <c r="B8270">
        <v>55</v>
      </c>
      <c r="C8270">
        <v>0.3</v>
      </c>
    </row>
    <row r="8271" spans="1:3" ht="15" customHeight="1" x14ac:dyDescent="0.25">
      <c r="A8271" t="s">
        <v>10438</v>
      </c>
      <c r="B8271">
        <v>55</v>
      </c>
      <c r="C8271">
        <v>0.3</v>
      </c>
    </row>
    <row r="8272" spans="1:3" ht="15" customHeight="1" x14ac:dyDescent="0.25">
      <c r="A8272" t="s">
        <v>10439</v>
      </c>
      <c r="B8272">
        <v>55</v>
      </c>
      <c r="C8272">
        <v>0.3</v>
      </c>
    </row>
    <row r="8273" spans="1:3" ht="15" customHeight="1" x14ac:dyDescent="0.25">
      <c r="A8273" t="s">
        <v>10440</v>
      </c>
      <c r="B8273">
        <v>38.299999999999997</v>
      </c>
      <c r="C8273">
        <v>0.05</v>
      </c>
    </row>
    <row r="8274" spans="1:3" ht="15" customHeight="1" x14ac:dyDescent="0.25">
      <c r="A8274" t="s">
        <v>10441</v>
      </c>
      <c r="B8274">
        <v>38.299999999999997</v>
      </c>
      <c r="C8274">
        <v>0.05</v>
      </c>
    </row>
    <row r="8275" spans="1:3" ht="15" customHeight="1" x14ac:dyDescent="0.25">
      <c r="A8275" t="s">
        <v>10442</v>
      </c>
      <c r="B8275">
        <v>38.299999999999997</v>
      </c>
      <c r="C8275">
        <v>0.05</v>
      </c>
    </row>
    <row r="8276" spans="1:3" ht="15" customHeight="1" x14ac:dyDescent="0.25">
      <c r="A8276" t="s">
        <v>10443</v>
      </c>
      <c r="B8276">
        <v>29.2</v>
      </c>
      <c r="C8276">
        <v>0.15</v>
      </c>
    </row>
    <row r="8277" spans="1:3" ht="15" customHeight="1" x14ac:dyDescent="0.25">
      <c r="A8277" t="s">
        <v>10444</v>
      </c>
      <c r="B8277">
        <v>29.2</v>
      </c>
      <c r="C8277">
        <v>0.15</v>
      </c>
    </row>
    <row r="8278" spans="1:3" ht="15" customHeight="1" x14ac:dyDescent="0.25">
      <c r="A8278" t="s">
        <v>10445</v>
      </c>
      <c r="B8278">
        <v>29.2</v>
      </c>
      <c r="C8278">
        <v>0.15</v>
      </c>
    </row>
    <row r="8279" spans="1:3" ht="15" customHeight="1" x14ac:dyDescent="0.25">
      <c r="A8279" t="s">
        <v>10446</v>
      </c>
      <c r="B8279">
        <v>38.299999999999997</v>
      </c>
      <c r="C8279">
        <v>0.15</v>
      </c>
    </row>
    <row r="8280" spans="1:3" ht="15" customHeight="1" x14ac:dyDescent="0.25">
      <c r="A8280" t="s">
        <v>10447</v>
      </c>
      <c r="B8280">
        <v>38.299999999999997</v>
      </c>
      <c r="C8280">
        <v>0.15</v>
      </c>
    </row>
    <row r="8281" spans="1:3" ht="15" customHeight="1" x14ac:dyDescent="0.25">
      <c r="A8281" t="s">
        <v>10448</v>
      </c>
      <c r="B8281">
        <v>38.299999999999997</v>
      </c>
      <c r="C8281">
        <v>0.15</v>
      </c>
    </row>
    <row r="8282" spans="1:3" ht="15" customHeight="1" x14ac:dyDescent="0.25">
      <c r="A8282" t="s">
        <v>10449</v>
      </c>
      <c r="B8282">
        <v>29.2</v>
      </c>
      <c r="C8282">
        <v>0.05</v>
      </c>
    </row>
    <row r="8283" spans="1:3" ht="15" customHeight="1" x14ac:dyDescent="0.25">
      <c r="A8283" t="s">
        <v>10450</v>
      </c>
      <c r="B8283">
        <v>29.2</v>
      </c>
      <c r="C8283">
        <v>0.05</v>
      </c>
    </row>
    <row r="8284" spans="1:3" ht="15" customHeight="1" x14ac:dyDescent="0.25">
      <c r="A8284" t="s">
        <v>10451</v>
      </c>
      <c r="B8284">
        <v>29.2</v>
      </c>
      <c r="C8284">
        <v>0.05</v>
      </c>
    </row>
    <row r="8285" spans="1:3" ht="15" customHeight="1" x14ac:dyDescent="0.25">
      <c r="A8285" t="s">
        <v>10452</v>
      </c>
      <c r="B8285">
        <v>38.299999999999997</v>
      </c>
      <c r="C8285">
        <v>0.05</v>
      </c>
    </row>
    <row r="8286" spans="1:3" ht="15" customHeight="1" x14ac:dyDescent="0.25">
      <c r="A8286" t="s">
        <v>10453</v>
      </c>
      <c r="B8286">
        <v>38.299999999999997</v>
      </c>
      <c r="C8286">
        <v>0.05</v>
      </c>
    </row>
    <row r="8287" spans="1:3" ht="15" customHeight="1" x14ac:dyDescent="0.25">
      <c r="A8287" t="s">
        <v>10454</v>
      </c>
      <c r="B8287">
        <v>38.299999999999997</v>
      </c>
      <c r="C8287">
        <v>0.05</v>
      </c>
    </row>
    <row r="8288" spans="1:3" ht="15" customHeight="1" x14ac:dyDescent="0.25">
      <c r="A8288" t="s">
        <v>10455</v>
      </c>
      <c r="B8288">
        <v>42</v>
      </c>
      <c r="C8288">
        <v>0.05</v>
      </c>
    </row>
    <row r="8289" spans="1:3" ht="15" customHeight="1" x14ac:dyDescent="0.25">
      <c r="A8289" t="s">
        <v>1865</v>
      </c>
      <c r="B8289">
        <v>42</v>
      </c>
      <c r="C8289">
        <v>0.05</v>
      </c>
    </row>
    <row r="8290" spans="1:3" ht="15" customHeight="1" x14ac:dyDescent="0.25">
      <c r="A8290" t="s">
        <v>10456</v>
      </c>
      <c r="B8290">
        <v>42</v>
      </c>
      <c r="C8290">
        <v>0.05</v>
      </c>
    </row>
    <row r="8291" spans="1:3" ht="15" customHeight="1" x14ac:dyDescent="0.25">
      <c r="A8291" t="s">
        <v>10457</v>
      </c>
      <c r="B8291">
        <v>31.1</v>
      </c>
      <c r="C8291">
        <v>0.15</v>
      </c>
    </row>
    <row r="8292" spans="1:3" ht="15" customHeight="1" x14ac:dyDescent="0.25">
      <c r="A8292" t="s">
        <v>10458</v>
      </c>
      <c r="B8292">
        <v>31.1</v>
      </c>
      <c r="C8292">
        <v>0.15</v>
      </c>
    </row>
    <row r="8293" spans="1:3" ht="15" customHeight="1" x14ac:dyDescent="0.25">
      <c r="A8293" t="s">
        <v>10459</v>
      </c>
      <c r="B8293">
        <v>31.1</v>
      </c>
      <c r="C8293">
        <v>0.15</v>
      </c>
    </row>
    <row r="8294" spans="1:3" ht="15" customHeight="1" x14ac:dyDescent="0.25">
      <c r="A8294" t="s">
        <v>10460</v>
      </c>
      <c r="B8294">
        <v>39.700000000000003</v>
      </c>
      <c r="C8294">
        <v>0.15</v>
      </c>
    </row>
    <row r="8295" spans="1:3" ht="15" customHeight="1" x14ac:dyDescent="0.25">
      <c r="A8295" t="s">
        <v>10461</v>
      </c>
      <c r="B8295">
        <v>39.700000000000003</v>
      </c>
      <c r="C8295">
        <v>0.15</v>
      </c>
    </row>
    <row r="8296" spans="1:3" ht="15" customHeight="1" x14ac:dyDescent="0.25">
      <c r="A8296" t="s">
        <v>10462</v>
      </c>
      <c r="B8296">
        <v>39.700000000000003</v>
      </c>
      <c r="C8296">
        <v>0.15</v>
      </c>
    </row>
    <row r="8297" spans="1:3" ht="15" customHeight="1" x14ac:dyDescent="0.25">
      <c r="A8297" t="s">
        <v>10463</v>
      </c>
      <c r="B8297">
        <v>31.1</v>
      </c>
      <c r="C8297">
        <v>0.15</v>
      </c>
    </row>
    <row r="8298" spans="1:3" ht="15" customHeight="1" x14ac:dyDescent="0.25">
      <c r="A8298" t="s">
        <v>10464</v>
      </c>
      <c r="B8298">
        <v>31.1</v>
      </c>
      <c r="C8298">
        <v>0.15</v>
      </c>
    </row>
    <row r="8299" spans="1:3" ht="15" customHeight="1" x14ac:dyDescent="0.25">
      <c r="A8299" t="s">
        <v>10465</v>
      </c>
      <c r="B8299">
        <v>31.1</v>
      </c>
      <c r="C8299">
        <v>0.15</v>
      </c>
    </row>
    <row r="8300" spans="1:3" ht="15" customHeight="1" x14ac:dyDescent="0.25">
      <c r="A8300" t="s">
        <v>10466</v>
      </c>
      <c r="B8300">
        <v>31.1</v>
      </c>
      <c r="C8300">
        <v>0.15</v>
      </c>
    </row>
    <row r="8301" spans="1:3" ht="15" customHeight="1" x14ac:dyDescent="0.25">
      <c r="A8301" t="s">
        <v>10467</v>
      </c>
      <c r="B8301">
        <v>31.1</v>
      </c>
      <c r="C8301">
        <v>0.15</v>
      </c>
    </row>
    <row r="8302" spans="1:3" ht="15" customHeight="1" x14ac:dyDescent="0.25">
      <c r="A8302" t="s">
        <v>10468</v>
      </c>
      <c r="B8302">
        <v>31.1</v>
      </c>
      <c r="C8302">
        <v>0.15</v>
      </c>
    </row>
    <row r="8303" spans="1:3" ht="15" customHeight="1" x14ac:dyDescent="0.25">
      <c r="A8303" t="s">
        <v>10469</v>
      </c>
      <c r="B8303">
        <v>39.700000000000003</v>
      </c>
      <c r="C8303">
        <v>0.15</v>
      </c>
    </row>
    <row r="8304" spans="1:3" ht="15" customHeight="1" x14ac:dyDescent="0.25">
      <c r="A8304" t="s">
        <v>10470</v>
      </c>
      <c r="B8304">
        <v>39.700000000000003</v>
      </c>
      <c r="C8304">
        <v>0.15</v>
      </c>
    </row>
    <row r="8305" spans="1:3" ht="15" customHeight="1" x14ac:dyDescent="0.25">
      <c r="A8305" t="s">
        <v>10471</v>
      </c>
      <c r="B8305">
        <v>39.700000000000003</v>
      </c>
      <c r="C8305">
        <v>0.15</v>
      </c>
    </row>
    <row r="8306" spans="1:3" ht="15" customHeight="1" x14ac:dyDescent="0.25">
      <c r="A8306" t="s">
        <v>10472</v>
      </c>
      <c r="B8306">
        <v>31.1</v>
      </c>
      <c r="C8306">
        <v>0.15</v>
      </c>
    </row>
    <row r="8307" spans="1:3" ht="15" customHeight="1" x14ac:dyDescent="0.25">
      <c r="A8307" t="s">
        <v>10473</v>
      </c>
      <c r="B8307">
        <v>31.1</v>
      </c>
      <c r="C8307">
        <v>0.15</v>
      </c>
    </row>
    <row r="8308" spans="1:3" ht="15" customHeight="1" x14ac:dyDescent="0.25">
      <c r="A8308" t="s">
        <v>10474</v>
      </c>
      <c r="B8308">
        <v>31.1</v>
      </c>
      <c r="C8308">
        <v>0.15</v>
      </c>
    </row>
    <row r="8309" spans="1:3" ht="15" customHeight="1" x14ac:dyDescent="0.25">
      <c r="A8309" t="s">
        <v>10475</v>
      </c>
      <c r="B8309">
        <v>31.1</v>
      </c>
      <c r="C8309">
        <v>0.15</v>
      </c>
    </row>
    <row r="8310" spans="1:3" ht="15" customHeight="1" x14ac:dyDescent="0.25">
      <c r="A8310" t="s">
        <v>10476</v>
      </c>
      <c r="B8310">
        <v>31.1</v>
      </c>
      <c r="C8310">
        <v>0.15</v>
      </c>
    </row>
    <row r="8311" spans="1:3" ht="15" customHeight="1" x14ac:dyDescent="0.25">
      <c r="A8311" t="s">
        <v>10477</v>
      </c>
      <c r="B8311">
        <v>31.1</v>
      </c>
      <c r="C8311">
        <v>0.15</v>
      </c>
    </row>
    <row r="8312" spans="1:3" ht="15" customHeight="1" x14ac:dyDescent="0.25">
      <c r="A8312" t="s">
        <v>10478</v>
      </c>
      <c r="B8312">
        <v>34.700000000000003</v>
      </c>
      <c r="C8312">
        <v>0.05</v>
      </c>
    </row>
    <row r="8313" spans="1:3" ht="15" customHeight="1" x14ac:dyDescent="0.25">
      <c r="A8313" t="s">
        <v>10479</v>
      </c>
      <c r="B8313">
        <v>34.700000000000003</v>
      </c>
      <c r="C8313">
        <v>0.25</v>
      </c>
    </row>
    <row r="8314" spans="1:3" ht="15" customHeight="1" x14ac:dyDescent="0.25">
      <c r="A8314" t="s">
        <v>10480</v>
      </c>
      <c r="B8314">
        <v>34.700000000000003</v>
      </c>
      <c r="C8314">
        <v>0.05</v>
      </c>
    </row>
    <row r="8315" spans="1:3" ht="15" customHeight="1" x14ac:dyDescent="0.25">
      <c r="A8315" t="s">
        <v>10481</v>
      </c>
      <c r="B8315">
        <v>38.5</v>
      </c>
      <c r="C8315">
        <v>0.25</v>
      </c>
    </row>
    <row r="8316" spans="1:3" ht="15" customHeight="1" x14ac:dyDescent="0.25">
      <c r="A8316" t="s">
        <v>10482</v>
      </c>
      <c r="B8316">
        <v>38.5</v>
      </c>
      <c r="C8316">
        <v>0.25</v>
      </c>
    </row>
    <row r="8317" spans="1:3" ht="15" customHeight="1" x14ac:dyDescent="0.25">
      <c r="A8317" t="s">
        <v>10483</v>
      </c>
      <c r="B8317">
        <v>38.5</v>
      </c>
      <c r="C8317">
        <v>0.25</v>
      </c>
    </row>
    <row r="8318" spans="1:3" ht="15" customHeight="1" x14ac:dyDescent="0.25">
      <c r="A8318" t="s">
        <v>10484</v>
      </c>
      <c r="B8318">
        <v>62.8</v>
      </c>
      <c r="C8318">
        <v>0.3</v>
      </c>
    </row>
    <row r="8319" spans="1:3" ht="15" customHeight="1" x14ac:dyDescent="0.25">
      <c r="A8319" t="s">
        <v>10485</v>
      </c>
      <c r="B8319">
        <v>62.8</v>
      </c>
      <c r="C8319">
        <v>0.3</v>
      </c>
    </row>
    <row r="8320" spans="1:3" ht="15" customHeight="1" x14ac:dyDescent="0.25">
      <c r="A8320" t="s">
        <v>10486</v>
      </c>
      <c r="B8320">
        <v>62.8</v>
      </c>
      <c r="C8320">
        <v>0.3</v>
      </c>
    </row>
    <row r="8321" spans="1:3" ht="15" customHeight="1" x14ac:dyDescent="0.25">
      <c r="A8321" t="s">
        <v>10487</v>
      </c>
      <c r="B8321">
        <v>62.8</v>
      </c>
      <c r="C8321">
        <v>0.3</v>
      </c>
    </row>
    <row r="8322" spans="1:3" ht="15" customHeight="1" x14ac:dyDescent="0.25">
      <c r="A8322" t="s">
        <v>10488</v>
      </c>
      <c r="B8322">
        <v>73.7</v>
      </c>
      <c r="C8322">
        <v>0.3</v>
      </c>
    </row>
    <row r="8323" spans="1:3" ht="15" customHeight="1" x14ac:dyDescent="0.25">
      <c r="A8323" t="s">
        <v>10489</v>
      </c>
      <c r="B8323">
        <v>73.7</v>
      </c>
      <c r="C8323">
        <v>0.3</v>
      </c>
    </row>
    <row r="8324" spans="1:3" ht="15" customHeight="1" x14ac:dyDescent="0.25">
      <c r="A8324" t="s">
        <v>10490</v>
      </c>
      <c r="B8324">
        <v>73.7</v>
      </c>
      <c r="C8324">
        <v>0.3</v>
      </c>
    </row>
    <row r="8325" spans="1:3" ht="15" customHeight="1" x14ac:dyDescent="0.25">
      <c r="A8325" t="s">
        <v>10491</v>
      </c>
      <c r="B8325">
        <v>73.7</v>
      </c>
      <c r="C8325">
        <v>0.3</v>
      </c>
    </row>
    <row r="8326" spans="1:3" ht="15" customHeight="1" x14ac:dyDescent="0.25">
      <c r="A8326" t="s">
        <v>10492</v>
      </c>
      <c r="B8326">
        <v>48.9</v>
      </c>
      <c r="C8326">
        <v>0.3</v>
      </c>
    </row>
    <row r="8327" spans="1:3" ht="15" customHeight="1" x14ac:dyDescent="0.25">
      <c r="A8327" t="s">
        <v>10493</v>
      </c>
      <c r="B8327">
        <v>48.9</v>
      </c>
      <c r="C8327">
        <v>0.3</v>
      </c>
    </row>
    <row r="8328" spans="1:3" ht="15" customHeight="1" x14ac:dyDescent="0.25">
      <c r="A8328" t="s">
        <v>10494</v>
      </c>
      <c r="B8328">
        <v>62.8</v>
      </c>
      <c r="C8328">
        <v>0.3</v>
      </c>
    </row>
    <row r="8329" spans="1:3" ht="15" customHeight="1" x14ac:dyDescent="0.25">
      <c r="A8329" t="s">
        <v>10495</v>
      </c>
      <c r="B8329">
        <v>62.8</v>
      </c>
      <c r="C8329">
        <v>0.3</v>
      </c>
    </row>
    <row r="8330" spans="1:3" ht="15" customHeight="1" x14ac:dyDescent="0.25">
      <c r="A8330" t="s">
        <v>10496</v>
      </c>
      <c r="B8330">
        <v>62.8</v>
      </c>
      <c r="C8330">
        <v>0.3</v>
      </c>
    </row>
    <row r="8331" spans="1:3" ht="15" customHeight="1" x14ac:dyDescent="0.25">
      <c r="A8331" t="s">
        <v>10497</v>
      </c>
      <c r="B8331">
        <v>62.8</v>
      </c>
      <c r="C8331">
        <v>0.3</v>
      </c>
    </row>
    <row r="8332" spans="1:3" ht="15" customHeight="1" x14ac:dyDescent="0.25">
      <c r="A8332" t="s">
        <v>10498</v>
      </c>
      <c r="B8332">
        <v>62.8</v>
      </c>
      <c r="C8332">
        <v>0.3</v>
      </c>
    </row>
    <row r="8333" spans="1:3" ht="15" customHeight="1" x14ac:dyDescent="0.25">
      <c r="A8333" t="s">
        <v>10499</v>
      </c>
      <c r="B8333">
        <v>62.8</v>
      </c>
      <c r="C8333">
        <v>0.3</v>
      </c>
    </row>
    <row r="8334" spans="1:3" ht="15" customHeight="1" x14ac:dyDescent="0.25">
      <c r="A8334" t="s">
        <v>10500</v>
      </c>
      <c r="B8334">
        <v>62.8</v>
      </c>
      <c r="C8334">
        <v>0.3</v>
      </c>
    </row>
    <row r="8335" spans="1:3" ht="15" customHeight="1" x14ac:dyDescent="0.25">
      <c r="A8335" t="s">
        <v>10501</v>
      </c>
      <c r="B8335">
        <v>62.8</v>
      </c>
      <c r="C8335">
        <v>0.3</v>
      </c>
    </row>
    <row r="8336" spans="1:3" ht="15" customHeight="1" x14ac:dyDescent="0.25">
      <c r="A8336" t="s">
        <v>10502</v>
      </c>
      <c r="B8336">
        <v>73.7</v>
      </c>
      <c r="C8336">
        <v>0.3</v>
      </c>
    </row>
    <row r="8337" spans="1:3" ht="15" customHeight="1" x14ac:dyDescent="0.25">
      <c r="A8337" t="s">
        <v>10503</v>
      </c>
      <c r="B8337">
        <v>73.7</v>
      </c>
      <c r="C8337">
        <v>0.3</v>
      </c>
    </row>
    <row r="8338" spans="1:3" ht="15" customHeight="1" x14ac:dyDescent="0.25">
      <c r="A8338" t="s">
        <v>10504</v>
      </c>
      <c r="B8338">
        <v>73.7</v>
      </c>
      <c r="C8338">
        <v>0.3</v>
      </c>
    </row>
    <row r="8339" spans="1:3" ht="15" customHeight="1" x14ac:dyDescent="0.25">
      <c r="A8339" t="s">
        <v>10505</v>
      </c>
      <c r="B8339">
        <v>73.7</v>
      </c>
      <c r="C8339">
        <v>0.3</v>
      </c>
    </row>
    <row r="8340" spans="1:3" ht="15" customHeight="1" x14ac:dyDescent="0.25">
      <c r="A8340" t="s">
        <v>10506</v>
      </c>
      <c r="B8340">
        <v>62.8</v>
      </c>
      <c r="C8340">
        <v>0.3</v>
      </c>
    </row>
    <row r="8341" spans="1:3" ht="15" customHeight="1" x14ac:dyDescent="0.25">
      <c r="A8341" t="s">
        <v>10507</v>
      </c>
      <c r="B8341">
        <v>62.8</v>
      </c>
      <c r="C8341">
        <v>0.3</v>
      </c>
    </row>
    <row r="8342" spans="1:3" ht="15" customHeight="1" x14ac:dyDescent="0.25">
      <c r="A8342" t="s">
        <v>10508</v>
      </c>
      <c r="B8342">
        <v>62.8</v>
      </c>
      <c r="C8342">
        <v>0.3</v>
      </c>
    </row>
    <row r="8343" spans="1:3" ht="15" customHeight="1" x14ac:dyDescent="0.25">
      <c r="A8343" t="s">
        <v>10509</v>
      </c>
      <c r="B8343">
        <v>62.8</v>
      </c>
      <c r="C8343">
        <v>0.3</v>
      </c>
    </row>
    <row r="8344" spans="1:3" ht="15" customHeight="1" x14ac:dyDescent="0.25">
      <c r="A8344" t="s">
        <v>10510</v>
      </c>
      <c r="B8344">
        <v>19.600000000000001</v>
      </c>
      <c r="C8344">
        <v>0.15</v>
      </c>
    </row>
    <row r="8345" spans="1:3" ht="15" customHeight="1" x14ac:dyDescent="0.25">
      <c r="A8345" t="s">
        <v>10511</v>
      </c>
      <c r="B8345">
        <v>19.600000000000001</v>
      </c>
      <c r="C8345">
        <v>0.15</v>
      </c>
    </row>
    <row r="8346" spans="1:3" ht="15" customHeight="1" x14ac:dyDescent="0.25">
      <c r="A8346" t="s">
        <v>10512</v>
      </c>
      <c r="B8346">
        <v>19.600000000000001</v>
      </c>
      <c r="C8346">
        <v>0.15</v>
      </c>
    </row>
    <row r="8347" spans="1:3" ht="15" customHeight="1" x14ac:dyDescent="0.25">
      <c r="A8347" t="s">
        <v>10513</v>
      </c>
      <c r="B8347">
        <v>23.1</v>
      </c>
      <c r="C8347">
        <v>0.15</v>
      </c>
    </row>
    <row r="8348" spans="1:3" ht="15" customHeight="1" x14ac:dyDescent="0.25">
      <c r="A8348" t="s">
        <v>10514</v>
      </c>
      <c r="B8348">
        <v>23.1</v>
      </c>
      <c r="C8348">
        <v>0.15</v>
      </c>
    </row>
    <row r="8349" spans="1:3" ht="15" customHeight="1" x14ac:dyDescent="0.25">
      <c r="A8349" t="s">
        <v>10515</v>
      </c>
      <c r="B8349">
        <v>23.1</v>
      </c>
      <c r="C8349">
        <v>0.15</v>
      </c>
    </row>
    <row r="8350" spans="1:3" ht="15" customHeight="1" x14ac:dyDescent="0.25">
      <c r="A8350" t="s">
        <v>10516</v>
      </c>
      <c r="B8350">
        <v>28.6</v>
      </c>
      <c r="C8350">
        <v>0.05</v>
      </c>
    </row>
    <row r="8351" spans="1:3" ht="15" customHeight="1" x14ac:dyDescent="0.25">
      <c r="A8351" t="s">
        <v>10517</v>
      </c>
      <c r="B8351">
        <v>28.6</v>
      </c>
      <c r="C8351">
        <v>0.05</v>
      </c>
    </row>
    <row r="8352" spans="1:3" ht="15" customHeight="1" x14ac:dyDescent="0.25">
      <c r="A8352" t="s">
        <v>10518</v>
      </c>
      <c r="B8352">
        <v>28.6</v>
      </c>
      <c r="C8352">
        <v>0.05</v>
      </c>
    </row>
    <row r="8353" spans="1:3" ht="15" customHeight="1" x14ac:dyDescent="0.25">
      <c r="A8353" t="s">
        <v>10519</v>
      </c>
      <c r="B8353">
        <v>23.1</v>
      </c>
      <c r="C8353">
        <v>0.15</v>
      </c>
    </row>
    <row r="8354" spans="1:3" ht="15" customHeight="1" x14ac:dyDescent="0.25">
      <c r="A8354" t="s">
        <v>10520</v>
      </c>
      <c r="B8354">
        <v>23.1</v>
      </c>
      <c r="C8354">
        <v>0.15</v>
      </c>
    </row>
    <row r="8355" spans="1:3" ht="15" customHeight="1" x14ac:dyDescent="0.25">
      <c r="A8355" t="s">
        <v>10521</v>
      </c>
      <c r="B8355">
        <v>23.1</v>
      </c>
      <c r="C8355">
        <v>0.15</v>
      </c>
    </row>
    <row r="8356" spans="1:3" ht="15" customHeight="1" x14ac:dyDescent="0.25">
      <c r="A8356" t="s">
        <v>10522</v>
      </c>
      <c r="B8356">
        <v>23.1</v>
      </c>
      <c r="C8356">
        <v>0.15</v>
      </c>
    </row>
    <row r="8357" spans="1:3" ht="15" customHeight="1" x14ac:dyDescent="0.25">
      <c r="A8357" t="s">
        <v>10523</v>
      </c>
      <c r="B8357">
        <v>23.1</v>
      </c>
      <c r="C8357">
        <v>0.15</v>
      </c>
    </row>
    <row r="8358" spans="1:3" ht="15" customHeight="1" x14ac:dyDescent="0.25">
      <c r="A8358" t="s">
        <v>1472</v>
      </c>
      <c r="B8358">
        <v>23.1</v>
      </c>
      <c r="C8358">
        <v>0.15</v>
      </c>
    </row>
    <row r="8359" spans="1:3" ht="15" customHeight="1" x14ac:dyDescent="0.25">
      <c r="A8359" t="s">
        <v>10524</v>
      </c>
      <c r="B8359">
        <v>27.9</v>
      </c>
      <c r="C8359">
        <v>0.15</v>
      </c>
    </row>
    <row r="8360" spans="1:3" ht="15" customHeight="1" x14ac:dyDescent="0.25">
      <c r="A8360" t="s">
        <v>10525</v>
      </c>
      <c r="B8360">
        <v>27.9</v>
      </c>
      <c r="C8360">
        <v>0.15</v>
      </c>
    </row>
    <row r="8361" spans="1:3" ht="15" customHeight="1" x14ac:dyDescent="0.25">
      <c r="A8361" t="s">
        <v>10526</v>
      </c>
      <c r="B8361">
        <v>23.1</v>
      </c>
      <c r="C8361">
        <v>0.05</v>
      </c>
    </row>
    <row r="8362" spans="1:3" ht="15" customHeight="1" x14ac:dyDescent="0.25">
      <c r="A8362" t="s">
        <v>1139</v>
      </c>
      <c r="B8362">
        <v>23.1</v>
      </c>
      <c r="C8362">
        <v>0.05</v>
      </c>
    </row>
    <row r="8363" spans="1:3" ht="15" customHeight="1" x14ac:dyDescent="0.25">
      <c r="A8363" t="s">
        <v>1140</v>
      </c>
      <c r="B8363">
        <v>23.1</v>
      </c>
      <c r="C8363">
        <v>0.05</v>
      </c>
    </row>
    <row r="8364" spans="1:3" ht="15" customHeight="1" x14ac:dyDescent="0.25">
      <c r="A8364" t="s">
        <v>10527</v>
      </c>
      <c r="B8364">
        <v>27.9</v>
      </c>
      <c r="C8364">
        <v>0.05</v>
      </c>
    </row>
    <row r="8365" spans="1:3" ht="15" customHeight="1" x14ac:dyDescent="0.25">
      <c r="A8365" t="s">
        <v>10528</v>
      </c>
      <c r="B8365">
        <v>27.9</v>
      </c>
      <c r="C8365">
        <v>0.05</v>
      </c>
    </row>
    <row r="8366" spans="1:3" ht="15" customHeight="1" x14ac:dyDescent="0.25">
      <c r="A8366" t="s">
        <v>10529</v>
      </c>
      <c r="B8366">
        <v>27.9</v>
      </c>
      <c r="C8366">
        <v>0.15</v>
      </c>
    </row>
    <row r="8367" spans="1:3" ht="15" customHeight="1" x14ac:dyDescent="0.25">
      <c r="A8367" t="s">
        <v>10530</v>
      </c>
      <c r="B8367">
        <v>27.9</v>
      </c>
      <c r="C8367">
        <v>0.05</v>
      </c>
    </row>
    <row r="8368" spans="1:3" ht="15" customHeight="1" x14ac:dyDescent="0.25">
      <c r="A8368" t="s">
        <v>10531</v>
      </c>
      <c r="B8368">
        <v>31.7</v>
      </c>
      <c r="C8368">
        <v>0.05</v>
      </c>
    </row>
    <row r="8369" spans="1:3" ht="15" customHeight="1" x14ac:dyDescent="0.25">
      <c r="A8369" t="s">
        <v>10532</v>
      </c>
      <c r="B8369">
        <v>31.7</v>
      </c>
      <c r="C8369">
        <v>0.05</v>
      </c>
    </row>
    <row r="8370" spans="1:3" ht="15" customHeight="1" x14ac:dyDescent="0.25">
      <c r="A8370" t="s">
        <v>10533</v>
      </c>
      <c r="B8370">
        <v>31.7</v>
      </c>
      <c r="C8370">
        <v>0.05</v>
      </c>
    </row>
    <row r="8371" spans="1:3" ht="15" customHeight="1" x14ac:dyDescent="0.25">
      <c r="A8371" t="s">
        <v>10534</v>
      </c>
      <c r="B8371">
        <v>39</v>
      </c>
      <c r="C8371">
        <v>0.25</v>
      </c>
    </row>
    <row r="8372" spans="1:3" ht="15" customHeight="1" x14ac:dyDescent="0.25">
      <c r="A8372" t="s">
        <v>10535</v>
      </c>
      <c r="B8372">
        <v>39</v>
      </c>
      <c r="C8372">
        <v>0.25</v>
      </c>
    </row>
    <row r="8373" spans="1:3" ht="15" customHeight="1" x14ac:dyDescent="0.25">
      <c r="A8373" t="s">
        <v>10536</v>
      </c>
      <c r="B8373">
        <v>39.6</v>
      </c>
      <c r="C8373">
        <v>0.25</v>
      </c>
    </row>
    <row r="8374" spans="1:3" ht="15" customHeight="1" x14ac:dyDescent="0.25">
      <c r="A8374" t="s">
        <v>10537</v>
      </c>
      <c r="B8374">
        <v>39.6</v>
      </c>
      <c r="C8374">
        <v>0.25</v>
      </c>
    </row>
    <row r="8375" spans="1:3" ht="15" customHeight="1" x14ac:dyDescent="0.25">
      <c r="A8375" t="s">
        <v>10538</v>
      </c>
      <c r="B8375">
        <v>39</v>
      </c>
      <c r="C8375">
        <v>0.25</v>
      </c>
    </row>
    <row r="8376" spans="1:3" ht="15" customHeight="1" x14ac:dyDescent="0.25">
      <c r="A8376" t="s">
        <v>10539</v>
      </c>
      <c r="B8376">
        <v>39</v>
      </c>
      <c r="C8376">
        <v>0.25</v>
      </c>
    </row>
    <row r="8377" spans="1:3" ht="15" customHeight="1" x14ac:dyDescent="0.25">
      <c r="A8377" t="s">
        <v>10540</v>
      </c>
      <c r="B8377">
        <v>39</v>
      </c>
      <c r="C8377">
        <v>0.25</v>
      </c>
    </row>
    <row r="8378" spans="1:3" ht="15" customHeight="1" x14ac:dyDescent="0.25">
      <c r="A8378" t="s">
        <v>10541</v>
      </c>
      <c r="B8378">
        <v>25.4</v>
      </c>
    </row>
    <row r="8379" spans="1:3" ht="15" customHeight="1" x14ac:dyDescent="0.25">
      <c r="A8379" t="s">
        <v>10542</v>
      </c>
      <c r="B8379">
        <v>25.4</v>
      </c>
    </row>
    <row r="8380" spans="1:3" ht="15" customHeight="1" x14ac:dyDescent="0.25">
      <c r="A8380" t="s">
        <v>10543</v>
      </c>
      <c r="B8380">
        <v>62.1</v>
      </c>
    </row>
    <row r="8381" spans="1:3" ht="15" customHeight="1" x14ac:dyDescent="0.25">
      <c r="A8381" t="s">
        <v>10544</v>
      </c>
      <c r="B8381">
        <v>9.5</v>
      </c>
      <c r="C8381">
        <v>0.25</v>
      </c>
    </row>
    <row r="8382" spans="1:3" ht="15" customHeight="1" x14ac:dyDescent="0.25">
      <c r="A8382" t="s">
        <v>10545</v>
      </c>
      <c r="B8382">
        <v>9.5</v>
      </c>
      <c r="C8382">
        <v>0.25</v>
      </c>
    </row>
    <row r="8383" spans="1:3" ht="15" customHeight="1" x14ac:dyDescent="0.25">
      <c r="A8383" t="s">
        <v>10546</v>
      </c>
      <c r="B8383">
        <v>9.5</v>
      </c>
      <c r="C8383">
        <v>0.25</v>
      </c>
    </row>
    <row r="8384" spans="1:3" ht="15" customHeight="1" x14ac:dyDescent="0.25">
      <c r="A8384" t="s">
        <v>10547</v>
      </c>
      <c r="B8384">
        <v>9.5</v>
      </c>
      <c r="C8384">
        <v>0.25</v>
      </c>
    </row>
    <row r="8385" spans="1:3" ht="15" customHeight="1" x14ac:dyDescent="0.25">
      <c r="A8385" t="s">
        <v>10548</v>
      </c>
      <c r="B8385">
        <v>9.5</v>
      </c>
      <c r="C8385">
        <v>0.25</v>
      </c>
    </row>
    <row r="8386" spans="1:3" ht="15" customHeight="1" x14ac:dyDescent="0.25">
      <c r="A8386" t="s">
        <v>10549</v>
      </c>
      <c r="B8386">
        <v>9.5</v>
      </c>
      <c r="C8386">
        <v>0.25</v>
      </c>
    </row>
    <row r="8387" spans="1:3" ht="15" customHeight="1" x14ac:dyDescent="0.25">
      <c r="A8387" t="s">
        <v>10550</v>
      </c>
      <c r="B8387">
        <v>9.5</v>
      </c>
      <c r="C8387">
        <v>0.25</v>
      </c>
    </row>
    <row r="8388" spans="1:3" ht="15" customHeight="1" x14ac:dyDescent="0.25">
      <c r="A8388" t="s">
        <v>10551</v>
      </c>
      <c r="B8388">
        <v>9.5</v>
      </c>
    </row>
    <row r="8389" spans="1:3" ht="15" customHeight="1" x14ac:dyDescent="0.25">
      <c r="A8389" t="s">
        <v>10552</v>
      </c>
      <c r="B8389">
        <v>9.5</v>
      </c>
      <c r="C8389">
        <v>0.25</v>
      </c>
    </row>
    <row r="8390" spans="1:3" ht="15" customHeight="1" x14ac:dyDescent="0.25">
      <c r="A8390" t="s">
        <v>10553</v>
      </c>
      <c r="B8390">
        <v>9.5</v>
      </c>
    </row>
    <row r="8391" spans="1:3" ht="15" customHeight="1" x14ac:dyDescent="0.25">
      <c r="A8391" t="s">
        <v>10554</v>
      </c>
      <c r="B8391">
        <v>9.5</v>
      </c>
      <c r="C8391">
        <v>0.25</v>
      </c>
    </row>
    <row r="8392" spans="1:3" ht="15" customHeight="1" x14ac:dyDescent="0.25">
      <c r="A8392" t="s">
        <v>10555</v>
      </c>
      <c r="B8392">
        <v>20.9</v>
      </c>
    </row>
    <row r="8393" spans="1:3" ht="15" customHeight="1" x14ac:dyDescent="0.25">
      <c r="A8393" t="s">
        <v>10556</v>
      </c>
      <c r="B8393">
        <v>20.9</v>
      </c>
    </row>
    <row r="8394" spans="1:3" ht="15" customHeight="1" x14ac:dyDescent="0.25">
      <c r="A8394" t="s">
        <v>10557</v>
      </c>
      <c r="B8394">
        <v>20.9</v>
      </c>
    </row>
    <row r="8395" spans="1:3" ht="15" customHeight="1" x14ac:dyDescent="0.25">
      <c r="A8395" t="s">
        <v>10558</v>
      </c>
      <c r="B8395">
        <v>20.9</v>
      </c>
    </row>
    <row r="8396" spans="1:3" ht="15" customHeight="1" x14ac:dyDescent="0.25">
      <c r="A8396" t="s">
        <v>10559</v>
      </c>
      <c r="B8396">
        <v>26.1</v>
      </c>
    </row>
    <row r="8397" spans="1:3" ht="15" customHeight="1" x14ac:dyDescent="0.25">
      <c r="A8397" t="s">
        <v>10560</v>
      </c>
      <c r="B8397">
        <v>26.1</v>
      </c>
    </row>
    <row r="8398" spans="1:3" ht="15" customHeight="1" x14ac:dyDescent="0.25">
      <c r="A8398" t="s">
        <v>10561</v>
      </c>
      <c r="B8398">
        <v>26.1</v>
      </c>
    </row>
    <row r="8399" spans="1:3" ht="15" customHeight="1" x14ac:dyDescent="0.25">
      <c r="A8399" t="s">
        <v>10562</v>
      </c>
      <c r="B8399">
        <v>26.1</v>
      </c>
    </row>
    <row r="8400" spans="1:3" ht="15" customHeight="1" x14ac:dyDescent="0.25">
      <c r="A8400" t="s">
        <v>10563</v>
      </c>
      <c r="B8400">
        <v>69.900000000000006</v>
      </c>
    </row>
    <row r="8401" spans="1:3" ht="15" customHeight="1" x14ac:dyDescent="0.25">
      <c r="A8401" t="s">
        <v>10564</v>
      </c>
      <c r="B8401">
        <v>69.900000000000006</v>
      </c>
    </row>
    <row r="8402" spans="1:3" ht="15" customHeight="1" x14ac:dyDescent="0.25">
      <c r="A8402" t="s">
        <v>10565</v>
      </c>
      <c r="B8402">
        <v>69.900000000000006</v>
      </c>
    </row>
    <row r="8403" spans="1:3" ht="15" customHeight="1" x14ac:dyDescent="0.25">
      <c r="A8403" t="s">
        <v>10566</v>
      </c>
      <c r="B8403">
        <v>69.900000000000006</v>
      </c>
    </row>
    <row r="8404" spans="1:3" ht="15" customHeight="1" x14ac:dyDescent="0.25">
      <c r="A8404" t="s">
        <v>10567</v>
      </c>
      <c r="B8404">
        <v>69.900000000000006</v>
      </c>
    </row>
    <row r="8405" spans="1:3" ht="15" customHeight="1" x14ac:dyDescent="0.25">
      <c r="A8405" t="s">
        <v>10568</v>
      </c>
      <c r="B8405">
        <v>57.2</v>
      </c>
    </row>
    <row r="8406" spans="1:3" ht="15" customHeight="1" x14ac:dyDescent="0.25">
      <c r="A8406" t="s">
        <v>10569</v>
      </c>
      <c r="B8406">
        <v>57.2</v>
      </c>
    </row>
    <row r="8407" spans="1:3" ht="15" customHeight="1" x14ac:dyDescent="0.25">
      <c r="A8407" t="s">
        <v>10570</v>
      </c>
      <c r="B8407">
        <v>57.2</v>
      </c>
    </row>
    <row r="8408" spans="1:3" ht="15" customHeight="1" x14ac:dyDescent="0.25">
      <c r="A8408" t="s">
        <v>10571</v>
      </c>
      <c r="B8408">
        <v>57.2</v>
      </c>
      <c r="C8408">
        <v>0.25</v>
      </c>
    </row>
    <row r="8409" spans="1:3" ht="15" customHeight="1" x14ac:dyDescent="0.25">
      <c r="A8409" t="s">
        <v>10572</v>
      </c>
      <c r="B8409">
        <v>57.2</v>
      </c>
      <c r="C8409">
        <v>0.25</v>
      </c>
    </row>
    <row r="8410" spans="1:3" ht="15" customHeight="1" x14ac:dyDescent="0.25">
      <c r="A8410" t="s">
        <v>10573</v>
      </c>
      <c r="B8410">
        <v>57.2</v>
      </c>
    </row>
    <row r="8411" spans="1:3" ht="15" customHeight="1" x14ac:dyDescent="0.25">
      <c r="A8411" t="s">
        <v>10574</v>
      </c>
      <c r="B8411">
        <v>57.2</v>
      </c>
      <c r="C8411">
        <v>0.25</v>
      </c>
    </row>
    <row r="8412" spans="1:3" ht="15" customHeight="1" x14ac:dyDescent="0.25">
      <c r="A8412" t="s">
        <v>10575</v>
      </c>
      <c r="B8412">
        <v>57.2</v>
      </c>
    </row>
    <row r="8413" spans="1:3" ht="15" customHeight="1" x14ac:dyDescent="0.25">
      <c r="A8413" t="s">
        <v>10576</v>
      </c>
      <c r="B8413">
        <v>57.2</v>
      </c>
    </row>
    <row r="8414" spans="1:3" ht="15" customHeight="1" x14ac:dyDescent="0.25">
      <c r="A8414" t="s">
        <v>10577</v>
      </c>
      <c r="B8414">
        <v>57.2</v>
      </c>
    </row>
    <row r="8415" spans="1:3" ht="15" customHeight="1" x14ac:dyDescent="0.25">
      <c r="A8415" t="s">
        <v>10578</v>
      </c>
      <c r="B8415">
        <v>57.2</v>
      </c>
    </row>
    <row r="8416" spans="1:3" ht="15" customHeight="1" x14ac:dyDescent="0.25">
      <c r="A8416" t="s">
        <v>10579</v>
      </c>
      <c r="B8416">
        <v>57.2</v>
      </c>
    </row>
    <row r="8417" spans="1:3" ht="15" customHeight="1" x14ac:dyDescent="0.25">
      <c r="A8417" t="s">
        <v>10580</v>
      </c>
      <c r="B8417">
        <v>57.2</v>
      </c>
      <c r="C8417">
        <v>0.25</v>
      </c>
    </row>
    <row r="8418" spans="1:3" ht="15" customHeight="1" x14ac:dyDescent="0.25">
      <c r="A8418" t="s">
        <v>10581</v>
      </c>
      <c r="B8418">
        <v>57.2</v>
      </c>
    </row>
    <row r="8419" spans="1:3" ht="15" customHeight="1" x14ac:dyDescent="0.25">
      <c r="A8419" t="s">
        <v>10582</v>
      </c>
      <c r="B8419">
        <v>19.399999999999999</v>
      </c>
    </row>
    <row r="8420" spans="1:3" ht="15" customHeight="1" x14ac:dyDescent="0.25">
      <c r="A8420" t="s">
        <v>10583</v>
      </c>
      <c r="B8420">
        <v>19.399999999999999</v>
      </c>
      <c r="C8420">
        <v>0.25</v>
      </c>
    </row>
    <row r="8421" spans="1:3" ht="15" customHeight="1" x14ac:dyDescent="0.25">
      <c r="A8421" t="s">
        <v>10584</v>
      </c>
      <c r="B8421">
        <v>19.399999999999999</v>
      </c>
      <c r="C8421">
        <v>0.25</v>
      </c>
    </row>
    <row r="8422" spans="1:3" ht="15" customHeight="1" x14ac:dyDescent="0.25">
      <c r="A8422" t="s">
        <v>10585</v>
      </c>
      <c r="B8422">
        <v>19.399999999999999</v>
      </c>
      <c r="C8422">
        <v>0.25</v>
      </c>
    </row>
    <row r="8423" spans="1:3" ht="15" customHeight="1" x14ac:dyDescent="0.25">
      <c r="A8423" t="s">
        <v>10586</v>
      </c>
      <c r="B8423">
        <v>19.399999999999999</v>
      </c>
      <c r="C8423">
        <v>0.25</v>
      </c>
    </row>
    <row r="8424" spans="1:3" ht="15" customHeight="1" x14ac:dyDescent="0.25">
      <c r="A8424" t="s">
        <v>10587</v>
      </c>
      <c r="B8424">
        <v>19.399999999999999</v>
      </c>
    </row>
    <row r="8425" spans="1:3" ht="15" customHeight="1" x14ac:dyDescent="0.25">
      <c r="A8425" t="s">
        <v>10588</v>
      </c>
      <c r="B8425">
        <v>19.399999999999999</v>
      </c>
      <c r="C8425">
        <v>0.25</v>
      </c>
    </row>
    <row r="8426" spans="1:3" ht="15" customHeight="1" x14ac:dyDescent="0.25">
      <c r="A8426" t="s">
        <v>10589</v>
      </c>
      <c r="B8426">
        <v>19.399999999999999</v>
      </c>
    </row>
    <row r="8427" spans="1:3" ht="15" customHeight="1" x14ac:dyDescent="0.25">
      <c r="A8427" t="s">
        <v>10590</v>
      </c>
      <c r="B8427">
        <v>19.399999999999999</v>
      </c>
      <c r="C8427">
        <v>0.25</v>
      </c>
    </row>
    <row r="8428" spans="1:3" ht="15" customHeight="1" x14ac:dyDescent="0.25">
      <c r="A8428" t="s">
        <v>10591</v>
      </c>
      <c r="B8428">
        <v>19.399999999999999</v>
      </c>
      <c r="C8428">
        <v>0.25</v>
      </c>
    </row>
    <row r="8429" spans="1:3" ht="15" customHeight="1" x14ac:dyDescent="0.25">
      <c r="A8429" t="s">
        <v>10592</v>
      </c>
      <c r="B8429">
        <v>19.399999999999999</v>
      </c>
      <c r="C8429">
        <v>0.25</v>
      </c>
    </row>
    <row r="8430" spans="1:3" ht="15" customHeight="1" x14ac:dyDescent="0.25">
      <c r="A8430" t="s">
        <v>10593</v>
      </c>
      <c r="B8430">
        <v>19.399999999999999</v>
      </c>
      <c r="C8430">
        <v>0.25</v>
      </c>
    </row>
    <row r="8431" spans="1:3" ht="15" customHeight="1" x14ac:dyDescent="0.25">
      <c r="A8431" t="s">
        <v>10594</v>
      </c>
      <c r="B8431">
        <v>19.399999999999999</v>
      </c>
      <c r="C8431">
        <v>0.25</v>
      </c>
    </row>
    <row r="8432" spans="1:3" ht="15" customHeight="1" x14ac:dyDescent="0.25">
      <c r="A8432" t="s">
        <v>10595</v>
      </c>
      <c r="B8432">
        <v>19.399999999999999</v>
      </c>
      <c r="C8432">
        <v>0.25</v>
      </c>
    </row>
    <row r="8433" spans="1:3" ht="15" customHeight="1" x14ac:dyDescent="0.25">
      <c r="A8433" t="s">
        <v>10596</v>
      </c>
      <c r="B8433">
        <v>19.399999999999999</v>
      </c>
    </row>
    <row r="8434" spans="1:3" ht="15" customHeight="1" x14ac:dyDescent="0.25">
      <c r="A8434" t="s">
        <v>10597</v>
      </c>
      <c r="B8434">
        <v>19.399999999999999</v>
      </c>
    </row>
    <row r="8435" spans="1:3" ht="15" customHeight="1" x14ac:dyDescent="0.25">
      <c r="A8435" t="s">
        <v>10598</v>
      </c>
      <c r="B8435">
        <v>35.4</v>
      </c>
      <c r="C8435">
        <v>0.35</v>
      </c>
    </row>
    <row r="8436" spans="1:3" ht="15" customHeight="1" x14ac:dyDescent="0.25">
      <c r="A8436" t="s">
        <v>10599</v>
      </c>
      <c r="B8436">
        <v>35.4</v>
      </c>
      <c r="C8436">
        <v>0.35</v>
      </c>
    </row>
    <row r="8437" spans="1:3" ht="15" customHeight="1" x14ac:dyDescent="0.25">
      <c r="A8437" t="s">
        <v>10600</v>
      </c>
      <c r="B8437">
        <v>28.5</v>
      </c>
      <c r="C8437">
        <v>0.35</v>
      </c>
    </row>
    <row r="8438" spans="1:3" ht="15" customHeight="1" x14ac:dyDescent="0.25">
      <c r="A8438" t="s">
        <v>10601</v>
      </c>
      <c r="B8438">
        <v>17.8</v>
      </c>
      <c r="C8438">
        <v>0.35</v>
      </c>
    </row>
    <row r="8439" spans="1:3" ht="15" customHeight="1" x14ac:dyDescent="0.25">
      <c r="A8439" t="s">
        <v>10602</v>
      </c>
      <c r="B8439">
        <v>15.3</v>
      </c>
      <c r="C8439">
        <v>0.35</v>
      </c>
    </row>
    <row r="8440" spans="1:3" ht="15" customHeight="1" x14ac:dyDescent="0.25">
      <c r="A8440" t="s">
        <v>10603</v>
      </c>
      <c r="B8440">
        <v>16.8</v>
      </c>
      <c r="C8440">
        <v>0.35</v>
      </c>
    </row>
    <row r="8441" spans="1:3" ht="15" customHeight="1" x14ac:dyDescent="0.25">
      <c r="A8441" t="s">
        <v>10604</v>
      </c>
      <c r="B8441">
        <v>16.8</v>
      </c>
      <c r="C8441">
        <v>0.35</v>
      </c>
    </row>
    <row r="8442" spans="1:3" ht="15" customHeight="1" x14ac:dyDescent="0.25">
      <c r="A8442" t="s">
        <v>10605</v>
      </c>
      <c r="B8442">
        <v>15.3</v>
      </c>
      <c r="C8442">
        <v>0.35</v>
      </c>
    </row>
    <row r="8443" spans="1:3" ht="15" customHeight="1" x14ac:dyDescent="0.25">
      <c r="A8443" t="s">
        <v>10606</v>
      </c>
      <c r="B8443">
        <v>16.8</v>
      </c>
      <c r="C8443">
        <v>0.35</v>
      </c>
    </row>
    <row r="8444" spans="1:3" ht="15" customHeight="1" x14ac:dyDescent="0.25">
      <c r="A8444" t="s">
        <v>10607</v>
      </c>
      <c r="B8444">
        <v>16.8</v>
      </c>
      <c r="C8444">
        <v>0.35</v>
      </c>
    </row>
    <row r="8445" spans="1:3" ht="15" customHeight="1" x14ac:dyDescent="0.25">
      <c r="A8445" t="s">
        <v>10608</v>
      </c>
      <c r="B8445">
        <v>13.9</v>
      </c>
      <c r="C8445">
        <v>0.35</v>
      </c>
    </row>
    <row r="8446" spans="1:3" ht="15" customHeight="1" x14ac:dyDescent="0.25">
      <c r="A8446" t="s">
        <v>10609</v>
      </c>
      <c r="B8446">
        <v>13.9</v>
      </c>
      <c r="C8446">
        <v>0.35</v>
      </c>
    </row>
    <row r="8447" spans="1:3" ht="15" customHeight="1" x14ac:dyDescent="0.25">
      <c r="A8447" t="s">
        <v>10610</v>
      </c>
      <c r="B8447">
        <v>13.9</v>
      </c>
      <c r="C8447">
        <v>0.35</v>
      </c>
    </row>
    <row r="8448" spans="1:3" ht="15" customHeight="1" x14ac:dyDescent="0.25">
      <c r="A8448" t="s">
        <v>10611</v>
      </c>
      <c r="B8448">
        <v>13.9</v>
      </c>
      <c r="C8448">
        <v>0.35</v>
      </c>
    </row>
    <row r="8449" spans="1:3" ht="15" customHeight="1" x14ac:dyDescent="0.25">
      <c r="A8449" t="s">
        <v>10612</v>
      </c>
      <c r="B8449">
        <v>8</v>
      </c>
    </row>
    <row r="8450" spans="1:3" ht="15" customHeight="1" x14ac:dyDescent="0.25">
      <c r="A8450" t="s">
        <v>10613</v>
      </c>
      <c r="B8450">
        <v>8</v>
      </c>
      <c r="C8450">
        <v>0.35</v>
      </c>
    </row>
    <row r="8451" spans="1:3" ht="15" customHeight="1" x14ac:dyDescent="0.25">
      <c r="A8451" t="s">
        <v>10614</v>
      </c>
      <c r="B8451">
        <v>8</v>
      </c>
      <c r="C8451">
        <v>0.35</v>
      </c>
    </row>
    <row r="8452" spans="1:3" ht="15" customHeight="1" x14ac:dyDescent="0.25">
      <c r="A8452" t="s">
        <v>10615</v>
      </c>
      <c r="B8452">
        <v>8</v>
      </c>
      <c r="C8452">
        <v>0.35</v>
      </c>
    </row>
    <row r="8453" spans="1:3" ht="15" customHeight="1" x14ac:dyDescent="0.25">
      <c r="A8453" t="s">
        <v>10616</v>
      </c>
      <c r="B8453">
        <v>8</v>
      </c>
      <c r="C8453">
        <v>0.35</v>
      </c>
    </row>
    <row r="8454" spans="1:3" ht="15" customHeight="1" x14ac:dyDescent="0.25">
      <c r="A8454" t="s">
        <v>10617</v>
      </c>
      <c r="B8454">
        <v>24.9</v>
      </c>
      <c r="C8454">
        <v>0.35</v>
      </c>
    </row>
    <row r="8455" spans="1:3" ht="15" customHeight="1" x14ac:dyDescent="0.25">
      <c r="A8455" t="s">
        <v>10618</v>
      </c>
      <c r="B8455">
        <v>24.9</v>
      </c>
      <c r="C8455">
        <v>0.35</v>
      </c>
    </row>
    <row r="8456" spans="1:3" ht="15" customHeight="1" x14ac:dyDescent="0.25">
      <c r="A8456" t="s">
        <v>10619</v>
      </c>
      <c r="B8456">
        <v>24.9</v>
      </c>
    </row>
    <row r="8457" spans="1:3" ht="15" customHeight="1" x14ac:dyDescent="0.25">
      <c r="A8457" t="s">
        <v>10620</v>
      </c>
      <c r="B8457">
        <v>11.3</v>
      </c>
      <c r="C8457">
        <v>0.35</v>
      </c>
    </row>
    <row r="8458" spans="1:3" ht="15" customHeight="1" x14ac:dyDescent="0.25">
      <c r="A8458" t="s">
        <v>10621</v>
      </c>
      <c r="B8458">
        <v>11.3</v>
      </c>
      <c r="C8458">
        <v>0.35</v>
      </c>
    </row>
    <row r="8459" spans="1:3" ht="15" customHeight="1" x14ac:dyDescent="0.25">
      <c r="A8459" t="s">
        <v>10622</v>
      </c>
      <c r="B8459">
        <v>11.3</v>
      </c>
      <c r="C8459">
        <v>0.35</v>
      </c>
    </row>
    <row r="8460" spans="1:3" ht="15" customHeight="1" x14ac:dyDescent="0.25">
      <c r="A8460" t="s">
        <v>10623</v>
      </c>
      <c r="B8460">
        <v>11.3</v>
      </c>
      <c r="C8460">
        <v>0.35</v>
      </c>
    </row>
    <row r="8461" spans="1:3" ht="15" customHeight="1" x14ac:dyDescent="0.25">
      <c r="A8461" t="s">
        <v>10624</v>
      </c>
      <c r="B8461">
        <v>11.3</v>
      </c>
      <c r="C8461">
        <v>0.35</v>
      </c>
    </row>
    <row r="8462" spans="1:3" ht="15" customHeight="1" x14ac:dyDescent="0.25">
      <c r="A8462" t="s">
        <v>10625</v>
      </c>
      <c r="B8462">
        <v>11.3</v>
      </c>
      <c r="C8462">
        <v>0.35</v>
      </c>
    </row>
    <row r="8463" spans="1:3" ht="15" customHeight="1" x14ac:dyDescent="0.25">
      <c r="A8463" t="s">
        <v>10626</v>
      </c>
      <c r="B8463">
        <v>13.5</v>
      </c>
      <c r="C8463">
        <v>0.35</v>
      </c>
    </row>
    <row r="8464" spans="1:3" ht="15" customHeight="1" x14ac:dyDescent="0.25">
      <c r="A8464" t="s">
        <v>10627</v>
      </c>
      <c r="B8464">
        <v>5.4</v>
      </c>
    </row>
    <row r="8465" spans="1:3" ht="15" customHeight="1" x14ac:dyDescent="0.25">
      <c r="A8465" t="s">
        <v>10628</v>
      </c>
      <c r="B8465">
        <v>5.4</v>
      </c>
    </row>
    <row r="8466" spans="1:3" ht="15" customHeight="1" x14ac:dyDescent="0.25">
      <c r="A8466" t="s">
        <v>10629</v>
      </c>
      <c r="B8466">
        <v>5.4</v>
      </c>
      <c r="C8466">
        <v>0.35</v>
      </c>
    </row>
    <row r="8467" spans="1:3" ht="15" customHeight="1" x14ac:dyDescent="0.25">
      <c r="A8467" t="s">
        <v>10630</v>
      </c>
      <c r="B8467">
        <v>5.4</v>
      </c>
    </row>
    <row r="8468" spans="1:3" ht="15" customHeight="1" x14ac:dyDescent="0.25">
      <c r="A8468" t="s">
        <v>10631</v>
      </c>
      <c r="B8468">
        <v>5.4</v>
      </c>
    </row>
    <row r="8469" spans="1:3" ht="15" customHeight="1" x14ac:dyDescent="0.25">
      <c r="A8469" t="s">
        <v>10632</v>
      </c>
      <c r="B8469">
        <v>5.4</v>
      </c>
    </row>
    <row r="8470" spans="1:3" ht="15" customHeight="1" x14ac:dyDescent="0.25">
      <c r="A8470" t="s">
        <v>1183</v>
      </c>
      <c r="B8470">
        <v>5.4</v>
      </c>
      <c r="C8470">
        <v>0.35</v>
      </c>
    </row>
    <row r="8471" spans="1:3" ht="15" customHeight="1" x14ac:dyDescent="0.25">
      <c r="A8471" t="s">
        <v>10633</v>
      </c>
      <c r="B8471">
        <v>5.4</v>
      </c>
    </row>
    <row r="8472" spans="1:3" ht="15" customHeight="1" x14ac:dyDescent="0.25">
      <c r="A8472" t="s">
        <v>10634</v>
      </c>
      <c r="B8472">
        <v>5.4</v>
      </c>
    </row>
    <row r="8473" spans="1:3" ht="15" customHeight="1" x14ac:dyDescent="0.25">
      <c r="A8473" t="s">
        <v>10635</v>
      </c>
      <c r="B8473">
        <v>10.5</v>
      </c>
      <c r="C8473">
        <v>0.2</v>
      </c>
    </row>
    <row r="8474" spans="1:3" ht="15" customHeight="1" x14ac:dyDescent="0.25">
      <c r="A8474" t="s">
        <v>10636</v>
      </c>
      <c r="B8474">
        <v>10.5</v>
      </c>
    </row>
    <row r="8475" spans="1:3" ht="15" customHeight="1" x14ac:dyDescent="0.25">
      <c r="A8475" t="s">
        <v>10637</v>
      </c>
      <c r="B8475">
        <v>10.5</v>
      </c>
      <c r="C8475">
        <v>0.2</v>
      </c>
    </row>
    <row r="8476" spans="1:3" ht="15" customHeight="1" x14ac:dyDescent="0.25">
      <c r="A8476" t="s">
        <v>10638</v>
      </c>
      <c r="B8476">
        <v>10.5</v>
      </c>
    </row>
    <row r="8477" spans="1:3" ht="15" customHeight="1" x14ac:dyDescent="0.25">
      <c r="A8477" t="s">
        <v>10639</v>
      </c>
      <c r="B8477">
        <v>10.5</v>
      </c>
      <c r="C8477">
        <v>0.2</v>
      </c>
    </row>
    <row r="8478" spans="1:3" ht="15" customHeight="1" x14ac:dyDescent="0.25">
      <c r="A8478" t="s">
        <v>10640</v>
      </c>
      <c r="B8478">
        <v>10.5</v>
      </c>
      <c r="C8478">
        <v>0.2</v>
      </c>
    </row>
    <row r="8479" spans="1:3" ht="15" customHeight="1" x14ac:dyDescent="0.25">
      <c r="A8479" t="s">
        <v>10641</v>
      </c>
      <c r="B8479">
        <v>10.5</v>
      </c>
    </row>
    <row r="8480" spans="1:3" ht="15" customHeight="1" x14ac:dyDescent="0.25">
      <c r="A8480" t="s">
        <v>10642</v>
      </c>
      <c r="B8480">
        <v>10.5</v>
      </c>
      <c r="C8480">
        <v>0.2</v>
      </c>
    </row>
    <row r="8481" spans="1:3" ht="15" customHeight="1" x14ac:dyDescent="0.25">
      <c r="A8481" t="s">
        <v>10643</v>
      </c>
      <c r="B8481">
        <v>10.5</v>
      </c>
      <c r="C8481">
        <v>0.2</v>
      </c>
    </row>
    <row r="8482" spans="1:3" ht="15" customHeight="1" x14ac:dyDescent="0.25">
      <c r="A8482" t="s">
        <v>10644</v>
      </c>
      <c r="B8482">
        <v>8.1</v>
      </c>
    </row>
    <row r="8483" spans="1:3" ht="15" customHeight="1" x14ac:dyDescent="0.25">
      <c r="A8483" t="s">
        <v>10645</v>
      </c>
      <c r="B8483">
        <v>8.1</v>
      </c>
      <c r="C8483">
        <v>0.35</v>
      </c>
    </row>
    <row r="8484" spans="1:3" ht="15" customHeight="1" x14ac:dyDescent="0.25">
      <c r="A8484" t="s">
        <v>10646</v>
      </c>
      <c r="B8484">
        <v>8.1</v>
      </c>
    </row>
    <row r="8485" spans="1:3" ht="15" customHeight="1" x14ac:dyDescent="0.25">
      <c r="A8485" t="s">
        <v>10647</v>
      </c>
      <c r="B8485">
        <v>8.1</v>
      </c>
      <c r="C8485">
        <v>0.35</v>
      </c>
    </row>
    <row r="8486" spans="1:3" ht="15" customHeight="1" x14ac:dyDescent="0.25">
      <c r="A8486" t="s">
        <v>10648</v>
      </c>
      <c r="B8486">
        <v>8.1</v>
      </c>
      <c r="C8486">
        <v>0.35</v>
      </c>
    </row>
    <row r="8487" spans="1:3" ht="15" customHeight="1" x14ac:dyDescent="0.25">
      <c r="A8487" t="s">
        <v>10649</v>
      </c>
      <c r="B8487">
        <v>8.1</v>
      </c>
      <c r="C8487">
        <v>0.35</v>
      </c>
    </row>
    <row r="8488" spans="1:3" ht="15" customHeight="1" x14ac:dyDescent="0.25">
      <c r="A8488" t="s">
        <v>10650</v>
      </c>
      <c r="B8488">
        <v>8.1</v>
      </c>
    </row>
    <row r="8489" spans="1:3" ht="15" customHeight="1" x14ac:dyDescent="0.25">
      <c r="A8489" t="s">
        <v>10651</v>
      </c>
      <c r="B8489">
        <v>8.1</v>
      </c>
      <c r="C8489">
        <v>0.35</v>
      </c>
    </row>
    <row r="8490" spans="1:3" ht="15" customHeight="1" x14ac:dyDescent="0.25">
      <c r="A8490" t="s">
        <v>10652</v>
      </c>
      <c r="B8490">
        <v>2.6</v>
      </c>
      <c r="C8490">
        <v>0.35</v>
      </c>
    </row>
    <row r="8491" spans="1:3" ht="15" customHeight="1" x14ac:dyDescent="0.25">
      <c r="A8491" t="s">
        <v>10653</v>
      </c>
      <c r="B8491">
        <v>2.6</v>
      </c>
      <c r="C8491">
        <v>0.35</v>
      </c>
    </row>
    <row r="8492" spans="1:3" ht="15" customHeight="1" x14ac:dyDescent="0.25">
      <c r="A8492" t="s">
        <v>10654</v>
      </c>
      <c r="B8492">
        <v>2.6</v>
      </c>
    </row>
    <row r="8493" spans="1:3" ht="15" customHeight="1" x14ac:dyDescent="0.25">
      <c r="A8493" t="s">
        <v>10655</v>
      </c>
      <c r="B8493">
        <v>17.899999999999999</v>
      </c>
    </row>
    <row r="8494" spans="1:3" ht="15" customHeight="1" x14ac:dyDescent="0.25">
      <c r="A8494" t="s">
        <v>10656</v>
      </c>
      <c r="B8494">
        <v>17.899999999999999</v>
      </c>
      <c r="C8494">
        <v>0.35</v>
      </c>
    </row>
    <row r="8495" spans="1:3" ht="15" customHeight="1" x14ac:dyDescent="0.25">
      <c r="A8495" t="s">
        <v>10657</v>
      </c>
      <c r="B8495">
        <v>17.899999999999999</v>
      </c>
      <c r="C8495">
        <v>0.35</v>
      </c>
    </row>
    <row r="8496" spans="1:3" ht="15" customHeight="1" x14ac:dyDescent="0.25">
      <c r="A8496" t="s">
        <v>10658</v>
      </c>
      <c r="B8496">
        <v>17.899999999999999</v>
      </c>
      <c r="C8496">
        <v>0.35</v>
      </c>
    </row>
    <row r="8497" spans="1:3" ht="15" customHeight="1" x14ac:dyDescent="0.25">
      <c r="A8497" t="s">
        <v>10659</v>
      </c>
      <c r="B8497">
        <v>17.899999999999999</v>
      </c>
      <c r="C8497">
        <v>0.35</v>
      </c>
    </row>
    <row r="8498" spans="1:3" ht="15" customHeight="1" x14ac:dyDescent="0.25">
      <c r="A8498" t="s">
        <v>10660</v>
      </c>
      <c r="B8498">
        <v>17.899999999999999</v>
      </c>
      <c r="C8498">
        <v>0.35</v>
      </c>
    </row>
    <row r="8499" spans="1:3" ht="15" customHeight="1" x14ac:dyDescent="0.25">
      <c r="A8499" t="s">
        <v>10661</v>
      </c>
      <c r="B8499">
        <v>17.899999999999999</v>
      </c>
    </row>
    <row r="8500" spans="1:3" ht="15" customHeight="1" x14ac:dyDescent="0.25">
      <c r="A8500" t="s">
        <v>10662</v>
      </c>
      <c r="B8500">
        <v>17.899999999999999</v>
      </c>
    </row>
    <row r="8501" spans="1:3" ht="15" customHeight="1" x14ac:dyDescent="0.25">
      <c r="A8501" t="s">
        <v>10663</v>
      </c>
      <c r="B8501">
        <v>17.899999999999999</v>
      </c>
      <c r="C8501">
        <v>0.35</v>
      </c>
    </row>
    <row r="8502" spans="1:3" ht="15" customHeight="1" x14ac:dyDescent="0.25">
      <c r="A8502" t="s">
        <v>10664</v>
      </c>
      <c r="B8502">
        <v>17.899999999999999</v>
      </c>
      <c r="C8502">
        <v>0.35</v>
      </c>
    </row>
    <row r="8503" spans="1:3" ht="15" customHeight="1" x14ac:dyDescent="0.25">
      <c r="A8503" t="s">
        <v>10665</v>
      </c>
      <c r="B8503">
        <v>17.899999999999999</v>
      </c>
      <c r="C8503">
        <v>0.35</v>
      </c>
    </row>
    <row r="8504" spans="1:3" ht="15" customHeight="1" x14ac:dyDescent="0.25">
      <c r="A8504" t="s">
        <v>10666</v>
      </c>
      <c r="B8504">
        <v>17.899999999999999</v>
      </c>
      <c r="C8504">
        <v>0.35</v>
      </c>
    </row>
    <row r="8505" spans="1:3" ht="15" customHeight="1" x14ac:dyDescent="0.25">
      <c r="A8505" t="s">
        <v>10667</v>
      </c>
      <c r="B8505">
        <v>2.7</v>
      </c>
      <c r="C8505">
        <v>0.2</v>
      </c>
    </row>
    <row r="8506" spans="1:3" ht="15" customHeight="1" x14ac:dyDescent="0.25">
      <c r="A8506" t="s">
        <v>10668</v>
      </c>
      <c r="B8506">
        <v>2.7</v>
      </c>
      <c r="C8506">
        <v>0.2</v>
      </c>
    </row>
    <row r="8507" spans="1:3" ht="15" customHeight="1" x14ac:dyDescent="0.25">
      <c r="A8507" t="s">
        <v>10669</v>
      </c>
      <c r="B8507">
        <v>2.7</v>
      </c>
      <c r="C8507">
        <v>0.2</v>
      </c>
    </row>
    <row r="8508" spans="1:3" ht="15" customHeight="1" x14ac:dyDescent="0.25">
      <c r="A8508" t="s">
        <v>10670</v>
      </c>
      <c r="B8508">
        <v>2.7</v>
      </c>
      <c r="C8508">
        <v>0.2</v>
      </c>
    </row>
    <row r="8509" spans="1:3" ht="15" customHeight="1" x14ac:dyDescent="0.25">
      <c r="A8509" t="s">
        <v>10671</v>
      </c>
      <c r="B8509">
        <v>2.7</v>
      </c>
    </row>
    <row r="8510" spans="1:3" ht="15" customHeight="1" x14ac:dyDescent="0.25">
      <c r="A8510" t="s">
        <v>10672</v>
      </c>
      <c r="B8510">
        <v>2.7</v>
      </c>
    </row>
    <row r="8511" spans="1:3" ht="15" customHeight="1" x14ac:dyDescent="0.25">
      <c r="A8511" t="s">
        <v>10673</v>
      </c>
      <c r="B8511">
        <v>2.7</v>
      </c>
    </row>
    <row r="8512" spans="1:3" ht="15" customHeight="1" x14ac:dyDescent="0.25">
      <c r="A8512" t="s">
        <v>10674</v>
      </c>
      <c r="B8512">
        <v>6.8</v>
      </c>
    </row>
    <row r="8513" spans="1:3" ht="15" customHeight="1" x14ac:dyDescent="0.25">
      <c r="A8513" t="s">
        <v>10675</v>
      </c>
      <c r="B8513">
        <v>6.7</v>
      </c>
      <c r="C8513">
        <v>0.35</v>
      </c>
    </row>
    <row r="8514" spans="1:3" ht="15" customHeight="1" x14ac:dyDescent="0.25">
      <c r="A8514" t="s">
        <v>10676</v>
      </c>
      <c r="B8514">
        <v>5.6</v>
      </c>
      <c r="C8514">
        <v>0.35</v>
      </c>
    </row>
    <row r="8515" spans="1:3" ht="15" customHeight="1" x14ac:dyDescent="0.25">
      <c r="A8515" t="s">
        <v>10677</v>
      </c>
      <c r="B8515">
        <v>8.4</v>
      </c>
      <c r="C8515">
        <v>0.35</v>
      </c>
    </row>
    <row r="8516" spans="1:3" ht="15" customHeight="1" x14ac:dyDescent="0.25">
      <c r="A8516" t="s">
        <v>10678</v>
      </c>
      <c r="B8516">
        <v>8.4</v>
      </c>
      <c r="C8516">
        <v>0.35</v>
      </c>
    </row>
    <row r="8517" spans="1:3" ht="15" customHeight="1" x14ac:dyDescent="0.25">
      <c r="A8517" t="s">
        <v>10679</v>
      </c>
      <c r="B8517">
        <v>8.4</v>
      </c>
    </row>
    <row r="8518" spans="1:3" ht="15" customHeight="1" x14ac:dyDescent="0.25">
      <c r="A8518" t="s">
        <v>10680</v>
      </c>
      <c r="B8518">
        <v>8.4</v>
      </c>
      <c r="C8518">
        <v>0.35</v>
      </c>
    </row>
    <row r="8519" spans="1:3" ht="15" customHeight="1" x14ac:dyDescent="0.25">
      <c r="A8519" t="s">
        <v>10681</v>
      </c>
      <c r="B8519">
        <v>8.4</v>
      </c>
      <c r="C8519">
        <v>0.35</v>
      </c>
    </row>
    <row r="8520" spans="1:3" ht="15" customHeight="1" x14ac:dyDescent="0.25">
      <c r="A8520" t="s">
        <v>10682</v>
      </c>
      <c r="B8520">
        <v>8.4</v>
      </c>
      <c r="C8520">
        <v>0.35</v>
      </c>
    </row>
    <row r="8521" spans="1:3" ht="15" customHeight="1" x14ac:dyDescent="0.25">
      <c r="A8521" t="s">
        <v>10683</v>
      </c>
      <c r="B8521">
        <v>8.4</v>
      </c>
      <c r="C8521">
        <v>0.35</v>
      </c>
    </row>
    <row r="8522" spans="1:3" ht="15" customHeight="1" x14ac:dyDescent="0.25">
      <c r="A8522" t="s">
        <v>10684</v>
      </c>
      <c r="B8522">
        <v>8.4</v>
      </c>
      <c r="C8522">
        <v>0.35</v>
      </c>
    </row>
    <row r="8523" spans="1:3" ht="15" customHeight="1" x14ac:dyDescent="0.25">
      <c r="A8523" t="s">
        <v>10685</v>
      </c>
      <c r="B8523">
        <v>8.4</v>
      </c>
      <c r="C8523">
        <v>0.35</v>
      </c>
    </row>
    <row r="8524" spans="1:3" ht="15" customHeight="1" x14ac:dyDescent="0.25">
      <c r="A8524" t="s">
        <v>10686</v>
      </c>
      <c r="B8524">
        <v>8.4</v>
      </c>
      <c r="C8524">
        <v>0.35</v>
      </c>
    </row>
    <row r="8525" spans="1:3" ht="15" customHeight="1" x14ac:dyDescent="0.25">
      <c r="A8525" t="s">
        <v>10687</v>
      </c>
      <c r="B8525">
        <v>8.4</v>
      </c>
      <c r="C8525">
        <v>0.35</v>
      </c>
    </row>
    <row r="8526" spans="1:3" ht="15" customHeight="1" x14ac:dyDescent="0.25">
      <c r="A8526" t="s">
        <v>10688</v>
      </c>
      <c r="B8526">
        <v>8.4</v>
      </c>
      <c r="C8526">
        <v>0.35</v>
      </c>
    </row>
    <row r="8527" spans="1:3" ht="15" customHeight="1" x14ac:dyDescent="0.25">
      <c r="A8527" t="s">
        <v>10689</v>
      </c>
      <c r="B8527">
        <v>8.4</v>
      </c>
    </row>
    <row r="8528" spans="1:3" ht="15" customHeight="1" x14ac:dyDescent="0.25">
      <c r="A8528" t="s">
        <v>10690</v>
      </c>
      <c r="B8528">
        <v>8.4</v>
      </c>
      <c r="C8528">
        <v>0.35</v>
      </c>
    </row>
    <row r="8529" spans="1:3" ht="15" customHeight="1" x14ac:dyDescent="0.25">
      <c r="A8529" t="s">
        <v>10691</v>
      </c>
      <c r="B8529">
        <v>6.8</v>
      </c>
      <c r="C8529">
        <v>0.35</v>
      </c>
    </row>
    <row r="8530" spans="1:3" ht="15" customHeight="1" x14ac:dyDescent="0.25">
      <c r="A8530" t="s">
        <v>10692</v>
      </c>
      <c r="B8530">
        <v>6.8</v>
      </c>
    </row>
    <row r="8531" spans="1:3" ht="15" customHeight="1" x14ac:dyDescent="0.25">
      <c r="A8531" t="s">
        <v>10693</v>
      </c>
      <c r="B8531">
        <v>6.8</v>
      </c>
      <c r="C8531">
        <v>0.35</v>
      </c>
    </row>
    <row r="8532" spans="1:3" ht="15" customHeight="1" x14ac:dyDescent="0.25">
      <c r="A8532" t="s">
        <v>10694</v>
      </c>
      <c r="B8532">
        <v>6.8</v>
      </c>
      <c r="C8532">
        <v>0.35</v>
      </c>
    </row>
    <row r="8533" spans="1:3" ht="15" customHeight="1" x14ac:dyDescent="0.25">
      <c r="A8533" t="s">
        <v>10695</v>
      </c>
      <c r="B8533">
        <v>6.8</v>
      </c>
    </row>
    <row r="8534" spans="1:3" ht="15" customHeight="1" x14ac:dyDescent="0.25">
      <c r="A8534" t="s">
        <v>10696</v>
      </c>
      <c r="B8534">
        <v>6.8</v>
      </c>
      <c r="C8534">
        <v>0.35</v>
      </c>
    </row>
    <row r="8535" spans="1:3" ht="15" customHeight="1" x14ac:dyDescent="0.25">
      <c r="A8535" t="s">
        <v>10697</v>
      </c>
      <c r="B8535">
        <v>6.8</v>
      </c>
      <c r="C8535">
        <v>0.35</v>
      </c>
    </row>
    <row r="8536" spans="1:3" ht="15" customHeight="1" x14ac:dyDescent="0.25">
      <c r="A8536" t="s">
        <v>10698</v>
      </c>
      <c r="B8536">
        <v>6.8</v>
      </c>
      <c r="C8536">
        <v>0.35</v>
      </c>
    </row>
    <row r="8537" spans="1:3" ht="15" customHeight="1" x14ac:dyDescent="0.25">
      <c r="A8537" t="s">
        <v>10699</v>
      </c>
      <c r="B8537">
        <v>6.8</v>
      </c>
      <c r="C8537">
        <v>0.35</v>
      </c>
    </row>
    <row r="8538" spans="1:3" ht="15" customHeight="1" x14ac:dyDescent="0.25">
      <c r="A8538" t="s">
        <v>10700</v>
      </c>
      <c r="B8538">
        <v>6.8</v>
      </c>
    </row>
    <row r="8539" spans="1:3" ht="15" customHeight="1" x14ac:dyDescent="0.25">
      <c r="A8539" t="s">
        <v>10701</v>
      </c>
      <c r="B8539">
        <v>6.8</v>
      </c>
      <c r="C8539">
        <v>0.35</v>
      </c>
    </row>
    <row r="8540" spans="1:3" ht="15" customHeight="1" x14ac:dyDescent="0.25">
      <c r="A8540" t="s">
        <v>10702</v>
      </c>
      <c r="B8540">
        <v>6.8</v>
      </c>
      <c r="C8540">
        <v>0.35</v>
      </c>
    </row>
    <row r="8541" spans="1:3" ht="15" customHeight="1" x14ac:dyDescent="0.25">
      <c r="A8541" t="s">
        <v>10703</v>
      </c>
      <c r="B8541">
        <v>6.8</v>
      </c>
      <c r="C8541">
        <v>0.35</v>
      </c>
    </row>
    <row r="8542" spans="1:3" ht="15" customHeight="1" x14ac:dyDescent="0.25">
      <c r="A8542" t="s">
        <v>10704</v>
      </c>
      <c r="B8542">
        <v>6.8</v>
      </c>
      <c r="C8542">
        <v>0.35</v>
      </c>
    </row>
    <row r="8543" spans="1:3" ht="15" customHeight="1" x14ac:dyDescent="0.25">
      <c r="A8543" t="s">
        <v>10705</v>
      </c>
      <c r="B8543">
        <v>6.8</v>
      </c>
      <c r="C8543">
        <v>0.35</v>
      </c>
    </row>
    <row r="8544" spans="1:3" ht="15" customHeight="1" x14ac:dyDescent="0.25">
      <c r="A8544" t="s">
        <v>10706</v>
      </c>
      <c r="B8544">
        <v>6.8</v>
      </c>
      <c r="C8544">
        <v>0.35</v>
      </c>
    </row>
    <row r="8545" spans="1:3" ht="15" customHeight="1" x14ac:dyDescent="0.25">
      <c r="A8545" t="s">
        <v>10707</v>
      </c>
      <c r="B8545">
        <v>6.8</v>
      </c>
      <c r="C8545">
        <v>0.35</v>
      </c>
    </row>
    <row r="8546" spans="1:3" ht="15" customHeight="1" x14ac:dyDescent="0.25">
      <c r="A8546" t="s">
        <v>10708</v>
      </c>
      <c r="B8546">
        <v>6.8</v>
      </c>
    </row>
    <row r="8547" spans="1:3" ht="15" customHeight="1" x14ac:dyDescent="0.25">
      <c r="A8547" t="s">
        <v>10709</v>
      </c>
      <c r="B8547">
        <v>6.8</v>
      </c>
      <c r="C8547">
        <v>0.35</v>
      </c>
    </row>
    <row r="8548" spans="1:3" ht="15" customHeight="1" x14ac:dyDescent="0.25">
      <c r="A8548" t="s">
        <v>10710</v>
      </c>
      <c r="B8548">
        <v>6.8</v>
      </c>
    </row>
    <row r="8549" spans="1:3" ht="15" customHeight="1" x14ac:dyDescent="0.25">
      <c r="A8549" t="s">
        <v>10711</v>
      </c>
      <c r="B8549">
        <v>6.8</v>
      </c>
    </row>
    <row r="8550" spans="1:3" ht="15" customHeight="1" x14ac:dyDescent="0.25">
      <c r="A8550" t="s">
        <v>10712</v>
      </c>
      <c r="B8550">
        <v>6.8</v>
      </c>
      <c r="C8550">
        <v>0.35</v>
      </c>
    </row>
    <row r="8551" spans="1:3" ht="15" customHeight="1" x14ac:dyDescent="0.25">
      <c r="A8551" t="s">
        <v>10713</v>
      </c>
      <c r="B8551">
        <v>6.8</v>
      </c>
    </row>
    <row r="8552" spans="1:3" ht="15" customHeight="1" x14ac:dyDescent="0.25">
      <c r="A8552" t="s">
        <v>10714</v>
      </c>
      <c r="B8552">
        <v>6.8</v>
      </c>
      <c r="C8552">
        <v>0.35</v>
      </c>
    </row>
    <row r="8553" spans="1:3" ht="15" customHeight="1" x14ac:dyDescent="0.25">
      <c r="A8553" t="s">
        <v>10715</v>
      </c>
      <c r="B8553">
        <v>6.8</v>
      </c>
    </row>
    <row r="8554" spans="1:3" ht="15" customHeight="1" x14ac:dyDescent="0.25">
      <c r="A8554" t="s">
        <v>10716</v>
      </c>
      <c r="B8554">
        <v>6.8</v>
      </c>
      <c r="C8554">
        <v>0.35</v>
      </c>
    </row>
    <row r="8555" spans="1:3" ht="15" customHeight="1" x14ac:dyDescent="0.25">
      <c r="A8555" t="s">
        <v>10717</v>
      </c>
      <c r="B8555">
        <v>6.8</v>
      </c>
    </row>
    <row r="8556" spans="1:3" ht="15" customHeight="1" x14ac:dyDescent="0.25">
      <c r="A8556" t="s">
        <v>10718</v>
      </c>
      <c r="B8556">
        <v>6.8</v>
      </c>
      <c r="C8556">
        <v>0.35</v>
      </c>
    </row>
    <row r="8557" spans="1:3" ht="15" customHeight="1" x14ac:dyDescent="0.25">
      <c r="A8557" t="s">
        <v>10719</v>
      </c>
      <c r="B8557">
        <v>6.8</v>
      </c>
    </row>
    <row r="8558" spans="1:3" ht="15" customHeight="1" x14ac:dyDescent="0.25">
      <c r="A8558" t="s">
        <v>10720</v>
      </c>
      <c r="B8558">
        <v>6.8</v>
      </c>
      <c r="C8558">
        <v>0.35</v>
      </c>
    </row>
    <row r="8559" spans="1:3" ht="15" customHeight="1" x14ac:dyDescent="0.25">
      <c r="A8559" t="s">
        <v>10721</v>
      </c>
      <c r="B8559">
        <v>18.600000000000001</v>
      </c>
    </row>
    <row r="8560" spans="1:3" ht="15" customHeight="1" x14ac:dyDescent="0.25">
      <c r="A8560" t="s">
        <v>10722</v>
      </c>
      <c r="B8560">
        <v>20.8</v>
      </c>
      <c r="C8560">
        <v>0.35</v>
      </c>
    </row>
    <row r="8561" spans="1:3" ht="15" customHeight="1" x14ac:dyDescent="0.25">
      <c r="A8561" t="s">
        <v>10723</v>
      </c>
      <c r="B8561">
        <v>20.8</v>
      </c>
      <c r="C8561">
        <v>0.35</v>
      </c>
    </row>
    <row r="8562" spans="1:3" ht="15" customHeight="1" x14ac:dyDescent="0.25">
      <c r="A8562" t="s">
        <v>10724</v>
      </c>
      <c r="B8562">
        <v>16.899999999999999</v>
      </c>
    </row>
    <row r="8563" spans="1:3" ht="15" customHeight="1" x14ac:dyDescent="0.25">
      <c r="A8563" t="s">
        <v>10725</v>
      </c>
      <c r="B8563">
        <v>18.600000000000001</v>
      </c>
    </row>
    <row r="8564" spans="1:3" ht="15" customHeight="1" x14ac:dyDescent="0.25">
      <c r="A8564" t="s">
        <v>10726</v>
      </c>
      <c r="B8564">
        <v>20.8</v>
      </c>
      <c r="C8564">
        <v>0.35</v>
      </c>
    </row>
    <row r="8565" spans="1:3" ht="15" customHeight="1" x14ac:dyDescent="0.25">
      <c r="A8565" t="s">
        <v>10727</v>
      </c>
      <c r="B8565">
        <v>20.8</v>
      </c>
      <c r="C8565">
        <v>0.35</v>
      </c>
    </row>
    <row r="8566" spans="1:3" ht="15" customHeight="1" x14ac:dyDescent="0.25">
      <c r="A8566" t="s">
        <v>10728</v>
      </c>
      <c r="B8566">
        <v>16.899999999999999</v>
      </c>
      <c r="C8566">
        <v>0.35</v>
      </c>
    </row>
    <row r="8567" spans="1:3" ht="15" customHeight="1" x14ac:dyDescent="0.25">
      <c r="A8567" t="s">
        <v>10729</v>
      </c>
      <c r="B8567">
        <v>6.9</v>
      </c>
    </row>
    <row r="8568" spans="1:3" ht="15" customHeight="1" x14ac:dyDescent="0.25">
      <c r="A8568" t="s">
        <v>10730</v>
      </c>
      <c r="B8568">
        <v>6.9</v>
      </c>
      <c r="C8568">
        <v>0.35</v>
      </c>
    </row>
    <row r="8569" spans="1:3" ht="15" customHeight="1" x14ac:dyDescent="0.25">
      <c r="A8569" t="s">
        <v>10731</v>
      </c>
      <c r="B8569">
        <v>6.9</v>
      </c>
    </row>
    <row r="8570" spans="1:3" ht="15" customHeight="1" x14ac:dyDescent="0.25">
      <c r="A8570" t="s">
        <v>10732</v>
      </c>
      <c r="B8570">
        <v>6.9</v>
      </c>
    </row>
    <row r="8571" spans="1:3" ht="15" customHeight="1" x14ac:dyDescent="0.25">
      <c r="A8571" t="s">
        <v>10733</v>
      </c>
      <c r="B8571">
        <v>6.9</v>
      </c>
      <c r="C8571">
        <v>0.35</v>
      </c>
    </row>
    <row r="8572" spans="1:3" ht="15" customHeight="1" x14ac:dyDescent="0.25">
      <c r="A8572" t="s">
        <v>10734</v>
      </c>
      <c r="B8572">
        <v>6.9</v>
      </c>
    </row>
    <row r="8573" spans="1:3" ht="15" customHeight="1" x14ac:dyDescent="0.25">
      <c r="A8573" t="s">
        <v>10735</v>
      </c>
      <c r="B8573">
        <v>5.6</v>
      </c>
    </row>
    <row r="8574" spans="1:3" ht="15" customHeight="1" x14ac:dyDescent="0.25">
      <c r="A8574" t="s">
        <v>10736</v>
      </c>
      <c r="B8574">
        <v>6.9</v>
      </c>
      <c r="C8574">
        <v>0.35</v>
      </c>
    </row>
    <row r="8575" spans="1:3" ht="15" customHeight="1" x14ac:dyDescent="0.25">
      <c r="A8575" t="s">
        <v>10737</v>
      </c>
      <c r="B8575">
        <v>6.9</v>
      </c>
      <c r="C8575">
        <v>0.35</v>
      </c>
    </row>
    <row r="8576" spans="1:3" ht="15" customHeight="1" x14ac:dyDescent="0.25">
      <c r="A8576" t="s">
        <v>10738</v>
      </c>
      <c r="B8576">
        <v>6.9</v>
      </c>
      <c r="C8576">
        <v>0.35</v>
      </c>
    </row>
    <row r="8577" spans="1:3" ht="15" customHeight="1" x14ac:dyDescent="0.25">
      <c r="A8577" t="s">
        <v>10739</v>
      </c>
      <c r="B8577">
        <v>6.9</v>
      </c>
      <c r="C8577">
        <v>0.35</v>
      </c>
    </row>
    <row r="8578" spans="1:3" ht="15" customHeight="1" x14ac:dyDescent="0.25">
      <c r="A8578" t="s">
        <v>10740</v>
      </c>
      <c r="B8578">
        <v>6.9</v>
      </c>
    </row>
    <row r="8579" spans="1:3" ht="15" customHeight="1" x14ac:dyDescent="0.25">
      <c r="A8579" t="s">
        <v>10741</v>
      </c>
      <c r="B8579">
        <v>6.9</v>
      </c>
      <c r="C8579">
        <v>0.35</v>
      </c>
    </row>
    <row r="8580" spans="1:3" ht="15" customHeight="1" x14ac:dyDescent="0.25">
      <c r="A8580" t="s">
        <v>10742</v>
      </c>
      <c r="B8580">
        <v>6.9</v>
      </c>
      <c r="C8580">
        <v>0.35</v>
      </c>
    </row>
    <row r="8581" spans="1:3" ht="15" customHeight="1" x14ac:dyDescent="0.25">
      <c r="A8581" t="s">
        <v>10743</v>
      </c>
      <c r="B8581">
        <v>6.9</v>
      </c>
    </row>
    <row r="8582" spans="1:3" ht="15" customHeight="1" x14ac:dyDescent="0.25">
      <c r="A8582" t="s">
        <v>10744</v>
      </c>
      <c r="B8582">
        <v>6.9</v>
      </c>
      <c r="C8582">
        <v>0.35</v>
      </c>
    </row>
    <row r="8583" spans="1:3" ht="15" customHeight="1" x14ac:dyDescent="0.25">
      <c r="A8583" t="s">
        <v>10745</v>
      </c>
      <c r="B8583">
        <v>6.9</v>
      </c>
      <c r="C8583">
        <v>0.35</v>
      </c>
    </row>
    <row r="8584" spans="1:3" ht="15" customHeight="1" x14ac:dyDescent="0.25">
      <c r="A8584" t="s">
        <v>10746</v>
      </c>
      <c r="B8584">
        <v>6.9</v>
      </c>
    </row>
    <row r="8585" spans="1:3" ht="15" customHeight="1" x14ac:dyDescent="0.25">
      <c r="A8585" t="s">
        <v>10747</v>
      </c>
      <c r="B8585">
        <v>6.9</v>
      </c>
      <c r="C8585">
        <v>0.35</v>
      </c>
    </row>
    <row r="8586" spans="1:3" ht="15" customHeight="1" x14ac:dyDescent="0.25">
      <c r="A8586" t="s">
        <v>10748</v>
      </c>
      <c r="B8586">
        <v>6.9</v>
      </c>
      <c r="C8586">
        <v>0.35</v>
      </c>
    </row>
    <row r="8587" spans="1:3" ht="15" customHeight="1" x14ac:dyDescent="0.25">
      <c r="A8587" t="s">
        <v>10749</v>
      </c>
      <c r="B8587">
        <v>6.9</v>
      </c>
      <c r="C8587">
        <v>0.35</v>
      </c>
    </row>
    <row r="8588" spans="1:3" ht="15" customHeight="1" x14ac:dyDescent="0.25">
      <c r="A8588" t="s">
        <v>10750</v>
      </c>
      <c r="B8588">
        <v>6.9</v>
      </c>
      <c r="C8588">
        <v>0.35</v>
      </c>
    </row>
    <row r="8589" spans="1:3" ht="15" customHeight="1" x14ac:dyDescent="0.25">
      <c r="A8589" t="s">
        <v>10751</v>
      </c>
      <c r="B8589">
        <v>6.9</v>
      </c>
      <c r="C8589">
        <v>0.35</v>
      </c>
    </row>
    <row r="8590" spans="1:3" ht="15" customHeight="1" x14ac:dyDescent="0.25">
      <c r="A8590" t="s">
        <v>10752</v>
      </c>
      <c r="B8590">
        <v>6.9</v>
      </c>
      <c r="C8590">
        <v>0.35</v>
      </c>
    </row>
    <row r="8591" spans="1:3" ht="15" customHeight="1" x14ac:dyDescent="0.25">
      <c r="A8591" t="s">
        <v>10753</v>
      </c>
      <c r="B8591">
        <v>6.9</v>
      </c>
    </row>
    <row r="8592" spans="1:3" ht="15" customHeight="1" x14ac:dyDescent="0.25">
      <c r="A8592" t="s">
        <v>10754</v>
      </c>
      <c r="B8592">
        <v>5.6</v>
      </c>
    </row>
    <row r="8593" spans="1:3" ht="15" customHeight="1" x14ac:dyDescent="0.25">
      <c r="A8593" t="s">
        <v>10755</v>
      </c>
      <c r="B8593">
        <v>6.9</v>
      </c>
    </row>
    <row r="8594" spans="1:3" ht="15" customHeight="1" x14ac:dyDescent="0.25">
      <c r="A8594" t="s">
        <v>10756</v>
      </c>
      <c r="B8594">
        <v>6.9</v>
      </c>
      <c r="C8594">
        <v>0.35</v>
      </c>
    </row>
    <row r="8595" spans="1:3" ht="15" customHeight="1" x14ac:dyDescent="0.25">
      <c r="A8595" t="s">
        <v>10757</v>
      </c>
      <c r="B8595">
        <v>6.9</v>
      </c>
      <c r="C8595">
        <v>0.35</v>
      </c>
    </row>
    <row r="8596" spans="1:3" ht="15" customHeight="1" x14ac:dyDescent="0.25">
      <c r="A8596" t="s">
        <v>10758</v>
      </c>
      <c r="B8596">
        <v>6.9</v>
      </c>
    </row>
    <row r="8597" spans="1:3" ht="15" customHeight="1" x14ac:dyDescent="0.25">
      <c r="A8597" t="s">
        <v>10759</v>
      </c>
      <c r="B8597">
        <v>6.9</v>
      </c>
      <c r="C8597">
        <v>0.35</v>
      </c>
    </row>
    <row r="8598" spans="1:3" ht="15" customHeight="1" x14ac:dyDescent="0.25">
      <c r="A8598" t="s">
        <v>10760</v>
      </c>
      <c r="B8598">
        <v>6.9</v>
      </c>
      <c r="C8598">
        <v>0.35</v>
      </c>
    </row>
    <row r="8599" spans="1:3" ht="15" customHeight="1" x14ac:dyDescent="0.25">
      <c r="A8599" t="s">
        <v>10761</v>
      </c>
      <c r="B8599">
        <v>6.9</v>
      </c>
      <c r="C8599">
        <v>0.35</v>
      </c>
    </row>
    <row r="8600" spans="1:3" ht="15" customHeight="1" x14ac:dyDescent="0.25">
      <c r="A8600" t="s">
        <v>10762</v>
      </c>
      <c r="B8600">
        <v>10</v>
      </c>
    </row>
    <row r="8601" spans="1:3" ht="15" customHeight="1" x14ac:dyDescent="0.25">
      <c r="A8601" t="s">
        <v>10763</v>
      </c>
      <c r="B8601">
        <v>10</v>
      </c>
      <c r="C8601">
        <v>0.35</v>
      </c>
    </row>
    <row r="8602" spans="1:3" ht="15" customHeight="1" x14ac:dyDescent="0.25">
      <c r="A8602" t="s">
        <v>10764</v>
      </c>
      <c r="B8602">
        <v>10</v>
      </c>
      <c r="C8602">
        <v>0.35</v>
      </c>
    </row>
    <row r="8603" spans="1:3" ht="15" customHeight="1" x14ac:dyDescent="0.25">
      <c r="A8603" t="s">
        <v>10765</v>
      </c>
      <c r="B8603">
        <v>9.6999999999999993</v>
      </c>
    </row>
    <row r="8604" spans="1:3" ht="15" customHeight="1" x14ac:dyDescent="0.25">
      <c r="A8604" t="s">
        <v>10766</v>
      </c>
      <c r="B8604">
        <v>9.6999999999999993</v>
      </c>
      <c r="C8604">
        <v>0.35</v>
      </c>
    </row>
    <row r="8605" spans="1:3" ht="15" customHeight="1" x14ac:dyDescent="0.25">
      <c r="A8605" t="s">
        <v>10767</v>
      </c>
      <c r="B8605">
        <v>9.6999999999999993</v>
      </c>
      <c r="C8605">
        <v>0.35</v>
      </c>
    </row>
    <row r="8606" spans="1:3" ht="15" customHeight="1" x14ac:dyDescent="0.25">
      <c r="A8606" t="s">
        <v>10768</v>
      </c>
      <c r="B8606">
        <v>9.6999999999999993</v>
      </c>
      <c r="C8606">
        <v>0.35</v>
      </c>
    </row>
    <row r="8607" spans="1:3" ht="15" customHeight="1" x14ac:dyDescent="0.25">
      <c r="A8607" t="s">
        <v>10769</v>
      </c>
      <c r="B8607">
        <v>9.6999999999999993</v>
      </c>
      <c r="C8607">
        <v>0.35</v>
      </c>
    </row>
    <row r="8608" spans="1:3" ht="15" customHeight="1" x14ac:dyDescent="0.25">
      <c r="A8608" t="s">
        <v>10770</v>
      </c>
      <c r="B8608">
        <v>8.8000000000000007</v>
      </c>
    </row>
    <row r="8609" spans="1:3" ht="15" customHeight="1" x14ac:dyDescent="0.25">
      <c r="A8609" t="s">
        <v>10771</v>
      </c>
      <c r="B8609">
        <v>9.6</v>
      </c>
    </row>
    <row r="8610" spans="1:3" ht="15" customHeight="1" x14ac:dyDescent="0.25">
      <c r="A8610" t="s">
        <v>10772</v>
      </c>
      <c r="B8610">
        <v>9.6</v>
      </c>
    </row>
    <row r="8611" spans="1:3" ht="15" customHeight="1" x14ac:dyDescent="0.25">
      <c r="A8611" t="s">
        <v>10773</v>
      </c>
      <c r="B8611">
        <v>9.6</v>
      </c>
      <c r="C8611">
        <v>0.35</v>
      </c>
    </row>
    <row r="8612" spans="1:3" ht="15" customHeight="1" x14ac:dyDescent="0.25">
      <c r="A8612" t="s">
        <v>10774</v>
      </c>
      <c r="B8612">
        <v>9.6</v>
      </c>
      <c r="C8612">
        <v>0.35</v>
      </c>
    </row>
    <row r="8613" spans="1:3" ht="15" customHeight="1" x14ac:dyDescent="0.25">
      <c r="A8613" t="s">
        <v>10775</v>
      </c>
      <c r="B8613">
        <v>9.1999999999999993</v>
      </c>
    </row>
    <row r="8614" spans="1:3" ht="15" customHeight="1" x14ac:dyDescent="0.25">
      <c r="A8614" t="s">
        <v>10776</v>
      </c>
      <c r="B8614">
        <v>9.1999999999999993</v>
      </c>
      <c r="C8614">
        <v>0.35</v>
      </c>
    </row>
    <row r="8615" spans="1:3" ht="15" customHeight="1" x14ac:dyDescent="0.25">
      <c r="A8615" t="s">
        <v>10777</v>
      </c>
      <c r="B8615">
        <v>9.1999999999999993</v>
      </c>
      <c r="C8615">
        <v>0.35</v>
      </c>
    </row>
    <row r="8616" spans="1:3" ht="15" customHeight="1" x14ac:dyDescent="0.25">
      <c r="A8616" t="s">
        <v>10778</v>
      </c>
      <c r="B8616">
        <v>9.1999999999999993</v>
      </c>
    </row>
    <row r="8617" spans="1:3" ht="15" customHeight="1" x14ac:dyDescent="0.25">
      <c r="A8617" t="s">
        <v>10779</v>
      </c>
      <c r="B8617">
        <v>9.1999999999999993</v>
      </c>
      <c r="C8617">
        <v>0.35</v>
      </c>
    </row>
    <row r="8618" spans="1:3" ht="15" customHeight="1" x14ac:dyDescent="0.25">
      <c r="A8618" t="s">
        <v>10780</v>
      </c>
      <c r="B8618">
        <v>9.1999999999999993</v>
      </c>
      <c r="C8618">
        <v>0.35</v>
      </c>
    </row>
    <row r="8619" spans="1:3" ht="15" customHeight="1" x14ac:dyDescent="0.25">
      <c r="A8619" t="s">
        <v>10781</v>
      </c>
      <c r="B8619">
        <v>9.1999999999999993</v>
      </c>
    </row>
    <row r="8620" spans="1:3" ht="15" customHeight="1" x14ac:dyDescent="0.25">
      <c r="A8620" t="s">
        <v>10782</v>
      </c>
      <c r="B8620">
        <v>9.5</v>
      </c>
    </row>
    <row r="8621" spans="1:3" ht="15" customHeight="1" x14ac:dyDescent="0.25">
      <c r="A8621" t="s">
        <v>10783</v>
      </c>
      <c r="B8621">
        <v>9.5</v>
      </c>
      <c r="C8621">
        <v>0.35</v>
      </c>
    </row>
    <row r="8622" spans="1:3" ht="15" customHeight="1" x14ac:dyDescent="0.25">
      <c r="A8622" t="s">
        <v>10784</v>
      </c>
      <c r="B8622">
        <v>9.5</v>
      </c>
      <c r="C8622">
        <v>0.35</v>
      </c>
    </row>
    <row r="8623" spans="1:3" ht="15" customHeight="1" x14ac:dyDescent="0.25">
      <c r="A8623" t="s">
        <v>10785</v>
      </c>
      <c r="B8623">
        <v>8.4</v>
      </c>
    </row>
    <row r="8624" spans="1:3" ht="15" customHeight="1" x14ac:dyDescent="0.25">
      <c r="A8624" t="s">
        <v>10786</v>
      </c>
      <c r="B8624">
        <v>8.4</v>
      </c>
      <c r="C8624">
        <v>0.35</v>
      </c>
    </row>
    <row r="8625" spans="1:3" ht="15" customHeight="1" x14ac:dyDescent="0.25">
      <c r="A8625" t="s">
        <v>10787</v>
      </c>
      <c r="B8625">
        <v>8.4</v>
      </c>
      <c r="C8625">
        <v>0.35</v>
      </c>
    </row>
    <row r="8626" spans="1:3" ht="15" customHeight="1" x14ac:dyDescent="0.25">
      <c r="A8626" t="s">
        <v>10788</v>
      </c>
      <c r="B8626">
        <v>8.4</v>
      </c>
      <c r="C8626">
        <v>0.35</v>
      </c>
    </row>
    <row r="8627" spans="1:3" ht="15" customHeight="1" x14ac:dyDescent="0.25">
      <c r="A8627" t="s">
        <v>10789</v>
      </c>
      <c r="B8627">
        <v>8.4</v>
      </c>
    </row>
    <row r="8628" spans="1:3" ht="15" customHeight="1" x14ac:dyDescent="0.25">
      <c r="A8628" t="s">
        <v>10790</v>
      </c>
      <c r="B8628">
        <v>8.4</v>
      </c>
      <c r="C8628">
        <v>0.35</v>
      </c>
    </row>
    <row r="8629" spans="1:3" ht="15" customHeight="1" x14ac:dyDescent="0.25">
      <c r="A8629" t="s">
        <v>10791</v>
      </c>
      <c r="B8629">
        <v>8.4</v>
      </c>
    </row>
    <row r="8630" spans="1:3" ht="15" customHeight="1" x14ac:dyDescent="0.25">
      <c r="A8630" t="s">
        <v>10792</v>
      </c>
      <c r="B8630">
        <v>8.4</v>
      </c>
      <c r="C8630">
        <v>0.35</v>
      </c>
    </row>
    <row r="8631" spans="1:3" ht="15" customHeight="1" x14ac:dyDescent="0.25">
      <c r="A8631" t="s">
        <v>10793</v>
      </c>
      <c r="B8631">
        <v>6.9</v>
      </c>
      <c r="C8631">
        <v>0.35</v>
      </c>
    </row>
    <row r="8632" spans="1:3" ht="15" customHeight="1" x14ac:dyDescent="0.25">
      <c r="A8632" t="s">
        <v>10794</v>
      </c>
      <c r="B8632">
        <v>6.9</v>
      </c>
      <c r="C8632">
        <v>0.35</v>
      </c>
    </row>
    <row r="8633" spans="1:3" ht="15" customHeight="1" x14ac:dyDescent="0.25">
      <c r="A8633" t="s">
        <v>10795</v>
      </c>
      <c r="B8633">
        <v>6.9</v>
      </c>
      <c r="C8633">
        <v>0.35</v>
      </c>
    </row>
    <row r="8634" spans="1:3" ht="15" customHeight="1" x14ac:dyDescent="0.25">
      <c r="A8634" t="s">
        <v>10796</v>
      </c>
      <c r="B8634">
        <v>6.9</v>
      </c>
      <c r="C8634">
        <v>0.35</v>
      </c>
    </row>
    <row r="8635" spans="1:3" ht="15" customHeight="1" x14ac:dyDescent="0.25">
      <c r="A8635" t="s">
        <v>10797</v>
      </c>
      <c r="B8635">
        <v>7.3</v>
      </c>
    </row>
    <row r="8636" spans="1:3" ht="15" customHeight="1" x14ac:dyDescent="0.25">
      <c r="A8636" t="s">
        <v>10798</v>
      </c>
      <c r="B8636">
        <v>7.3</v>
      </c>
    </row>
    <row r="8637" spans="1:3" ht="15" customHeight="1" x14ac:dyDescent="0.25">
      <c r="A8637" t="s">
        <v>10799</v>
      </c>
      <c r="B8637">
        <v>7.3</v>
      </c>
      <c r="C8637">
        <v>0.35</v>
      </c>
    </row>
    <row r="8638" spans="1:3" ht="15" customHeight="1" x14ac:dyDescent="0.25">
      <c r="A8638" t="s">
        <v>10800</v>
      </c>
      <c r="B8638">
        <v>7.3</v>
      </c>
      <c r="C8638">
        <v>0.35</v>
      </c>
    </row>
    <row r="8639" spans="1:3" ht="15" customHeight="1" x14ac:dyDescent="0.25">
      <c r="A8639" t="s">
        <v>10801</v>
      </c>
      <c r="B8639">
        <v>9.1999999999999993</v>
      </c>
    </row>
    <row r="8640" spans="1:3" ht="15" customHeight="1" x14ac:dyDescent="0.25">
      <c r="A8640" t="s">
        <v>10802</v>
      </c>
      <c r="B8640">
        <v>9.1999999999999993</v>
      </c>
    </row>
    <row r="8641" spans="1:3" ht="15" customHeight="1" x14ac:dyDescent="0.25">
      <c r="A8641" t="s">
        <v>10803</v>
      </c>
      <c r="B8641">
        <v>9.1999999999999993</v>
      </c>
      <c r="C8641">
        <v>0.35</v>
      </c>
    </row>
    <row r="8642" spans="1:3" ht="15" customHeight="1" x14ac:dyDescent="0.25">
      <c r="A8642" t="s">
        <v>10804</v>
      </c>
      <c r="B8642">
        <v>9.1999999999999993</v>
      </c>
      <c r="C8642">
        <v>0.35</v>
      </c>
    </row>
    <row r="8643" spans="1:3" ht="15" customHeight="1" x14ac:dyDescent="0.25">
      <c r="A8643" t="s">
        <v>10805</v>
      </c>
      <c r="B8643">
        <v>7.3</v>
      </c>
    </row>
    <row r="8644" spans="1:3" ht="15" customHeight="1" x14ac:dyDescent="0.25">
      <c r="A8644" t="s">
        <v>10806</v>
      </c>
      <c r="B8644">
        <v>7.3</v>
      </c>
      <c r="C8644">
        <v>0.35</v>
      </c>
    </row>
    <row r="8645" spans="1:3" ht="15" customHeight="1" x14ac:dyDescent="0.25">
      <c r="A8645" t="s">
        <v>10807</v>
      </c>
      <c r="B8645">
        <v>7.3</v>
      </c>
      <c r="C8645">
        <v>0.35</v>
      </c>
    </row>
    <row r="8646" spans="1:3" ht="15" customHeight="1" x14ac:dyDescent="0.25">
      <c r="A8646" t="s">
        <v>10808</v>
      </c>
      <c r="B8646">
        <v>7.3</v>
      </c>
      <c r="C8646">
        <v>0.35</v>
      </c>
    </row>
    <row r="8647" spans="1:3" ht="15" customHeight="1" x14ac:dyDescent="0.25">
      <c r="A8647" t="s">
        <v>10809</v>
      </c>
      <c r="B8647">
        <v>7.3</v>
      </c>
    </row>
    <row r="8648" spans="1:3" ht="15" customHeight="1" x14ac:dyDescent="0.25">
      <c r="A8648" t="s">
        <v>10810</v>
      </c>
      <c r="B8648">
        <v>7.3</v>
      </c>
    </row>
    <row r="8649" spans="1:3" ht="15" customHeight="1" x14ac:dyDescent="0.25">
      <c r="A8649" t="s">
        <v>10811</v>
      </c>
      <c r="B8649">
        <v>7.3</v>
      </c>
    </row>
    <row r="8650" spans="1:3" ht="15" customHeight="1" x14ac:dyDescent="0.25">
      <c r="A8650" t="s">
        <v>10812</v>
      </c>
      <c r="B8650">
        <v>7.3</v>
      </c>
    </row>
    <row r="8651" spans="1:3" ht="15" customHeight="1" x14ac:dyDescent="0.25">
      <c r="A8651" t="s">
        <v>10813</v>
      </c>
      <c r="B8651">
        <v>7.3</v>
      </c>
    </row>
    <row r="8652" spans="1:3" ht="15" customHeight="1" x14ac:dyDescent="0.25">
      <c r="A8652" t="s">
        <v>10814</v>
      </c>
      <c r="B8652">
        <v>7.3</v>
      </c>
    </row>
    <row r="8653" spans="1:3" ht="15" customHeight="1" x14ac:dyDescent="0.25">
      <c r="A8653" t="s">
        <v>10815</v>
      </c>
      <c r="B8653">
        <v>7.3</v>
      </c>
    </row>
    <row r="8654" spans="1:3" ht="15" customHeight="1" x14ac:dyDescent="0.25">
      <c r="A8654" t="s">
        <v>10816</v>
      </c>
      <c r="B8654">
        <v>7.3</v>
      </c>
    </row>
    <row r="8655" spans="1:3" ht="15" customHeight="1" x14ac:dyDescent="0.25">
      <c r="A8655" t="s">
        <v>10817</v>
      </c>
      <c r="B8655">
        <v>7.3</v>
      </c>
      <c r="C8655">
        <v>0.35</v>
      </c>
    </row>
    <row r="8656" spans="1:3" ht="15" customHeight="1" x14ac:dyDescent="0.25">
      <c r="A8656" t="s">
        <v>10818</v>
      </c>
      <c r="B8656">
        <v>7.3</v>
      </c>
    </row>
    <row r="8657" spans="1:2" ht="15" customHeight="1" x14ac:dyDescent="0.25">
      <c r="A8657" t="s">
        <v>10819</v>
      </c>
      <c r="B8657">
        <v>6.9</v>
      </c>
    </row>
    <row r="8658" spans="1:2" ht="15" customHeight="1" x14ac:dyDescent="0.25">
      <c r="A8658" t="s">
        <v>10820</v>
      </c>
      <c r="B8658">
        <v>6.9</v>
      </c>
    </row>
    <row r="8659" spans="1:2" ht="15" customHeight="1" x14ac:dyDescent="0.25">
      <c r="A8659" t="s">
        <v>10821</v>
      </c>
      <c r="B8659">
        <v>6.9</v>
      </c>
    </row>
    <row r="8660" spans="1:2" ht="15" customHeight="1" x14ac:dyDescent="0.25">
      <c r="A8660" t="s">
        <v>10822</v>
      </c>
      <c r="B8660">
        <v>6.9</v>
      </c>
    </row>
    <row r="8661" spans="1:2" ht="15" customHeight="1" x14ac:dyDescent="0.25">
      <c r="A8661" t="s">
        <v>10823</v>
      </c>
      <c r="B8661">
        <v>6.9</v>
      </c>
    </row>
    <row r="8662" spans="1:2" ht="15" customHeight="1" x14ac:dyDescent="0.25">
      <c r="A8662" t="s">
        <v>10824</v>
      </c>
      <c r="B8662">
        <v>6.9</v>
      </c>
    </row>
    <row r="8663" spans="1:2" ht="15" customHeight="1" x14ac:dyDescent="0.25">
      <c r="A8663" t="s">
        <v>10825</v>
      </c>
      <c r="B8663">
        <v>6.9</v>
      </c>
    </row>
    <row r="8664" spans="1:2" ht="15" customHeight="1" x14ac:dyDescent="0.25">
      <c r="A8664" t="s">
        <v>10826</v>
      </c>
      <c r="B8664">
        <v>6.9</v>
      </c>
    </row>
    <row r="8665" spans="1:2" ht="15" customHeight="1" x14ac:dyDescent="0.25">
      <c r="A8665" t="s">
        <v>10827</v>
      </c>
      <c r="B8665">
        <v>6.9</v>
      </c>
    </row>
    <row r="8666" spans="1:2" ht="15" customHeight="1" x14ac:dyDescent="0.25">
      <c r="A8666" t="s">
        <v>10828</v>
      </c>
      <c r="B8666">
        <v>6.9</v>
      </c>
    </row>
    <row r="8667" spans="1:2" ht="15" customHeight="1" x14ac:dyDescent="0.25">
      <c r="A8667" t="s">
        <v>10829</v>
      </c>
      <c r="B8667">
        <v>6.9</v>
      </c>
    </row>
    <row r="8668" spans="1:2" ht="15" customHeight="1" x14ac:dyDescent="0.25">
      <c r="A8668" t="s">
        <v>10830</v>
      </c>
      <c r="B8668">
        <v>6.9</v>
      </c>
    </row>
    <row r="8669" spans="1:2" ht="15" customHeight="1" x14ac:dyDescent="0.25">
      <c r="A8669" t="s">
        <v>10831</v>
      </c>
      <c r="B8669">
        <v>6.9</v>
      </c>
    </row>
    <row r="8670" spans="1:2" ht="15" customHeight="1" x14ac:dyDescent="0.25">
      <c r="A8670" t="s">
        <v>10832</v>
      </c>
      <c r="B8670">
        <v>6.9</v>
      </c>
    </row>
    <row r="8671" spans="1:2" ht="15" customHeight="1" x14ac:dyDescent="0.25">
      <c r="A8671" t="s">
        <v>10833</v>
      </c>
      <c r="B8671">
        <v>6.9</v>
      </c>
    </row>
    <row r="8672" spans="1:2" ht="15" customHeight="1" x14ac:dyDescent="0.25">
      <c r="A8672" t="s">
        <v>10834</v>
      </c>
      <c r="B8672">
        <v>6.9</v>
      </c>
    </row>
    <row r="8673" spans="1:2" ht="15" customHeight="1" x14ac:dyDescent="0.25">
      <c r="A8673" t="s">
        <v>10835</v>
      </c>
      <c r="B8673">
        <v>5.6</v>
      </c>
    </row>
    <row r="8674" spans="1:2" ht="15" customHeight="1" x14ac:dyDescent="0.25">
      <c r="A8674" t="s">
        <v>10836</v>
      </c>
      <c r="B8674">
        <v>6.9</v>
      </c>
    </row>
    <row r="8675" spans="1:2" ht="15" customHeight="1" x14ac:dyDescent="0.25">
      <c r="A8675" t="s">
        <v>10837</v>
      </c>
      <c r="B8675">
        <v>6.9</v>
      </c>
    </row>
    <row r="8676" spans="1:2" ht="15" customHeight="1" x14ac:dyDescent="0.25">
      <c r="A8676" t="s">
        <v>10838</v>
      </c>
      <c r="B8676">
        <v>6.9</v>
      </c>
    </row>
    <row r="8677" spans="1:2" ht="15" customHeight="1" x14ac:dyDescent="0.25">
      <c r="A8677" t="s">
        <v>10839</v>
      </c>
      <c r="B8677">
        <v>6.9</v>
      </c>
    </row>
    <row r="8678" spans="1:2" ht="15" customHeight="1" x14ac:dyDescent="0.25">
      <c r="A8678" t="s">
        <v>10840</v>
      </c>
      <c r="B8678">
        <v>6.9</v>
      </c>
    </row>
    <row r="8679" spans="1:2" ht="15" customHeight="1" x14ac:dyDescent="0.25">
      <c r="A8679" t="s">
        <v>10841</v>
      </c>
      <c r="B8679">
        <v>6.9</v>
      </c>
    </row>
    <row r="8680" spans="1:2" ht="15" customHeight="1" x14ac:dyDescent="0.25">
      <c r="A8680" t="s">
        <v>10842</v>
      </c>
      <c r="B8680">
        <v>6.9</v>
      </c>
    </row>
    <row r="8681" spans="1:2" ht="15" customHeight="1" x14ac:dyDescent="0.25">
      <c r="A8681" t="s">
        <v>10843</v>
      </c>
      <c r="B8681">
        <v>6.9</v>
      </c>
    </row>
    <row r="8682" spans="1:2" ht="15" customHeight="1" x14ac:dyDescent="0.25">
      <c r="A8682" t="s">
        <v>10844</v>
      </c>
      <c r="B8682">
        <v>5.6</v>
      </c>
    </row>
    <row r="8683" spans="1:2" ht="15" customHeight="1" x14ac:dyDescent="0.25">
      <c r="A8683" t="s">
        <v>10845</v>
      </c>
      <c r="B8683">
        <v>6.9</v>
      </c>
    </row>
    <row r="8684" spans="1:2" ht="15" customHeight="1" x14ac:dyDescent="0.25">
      <c r="A8684" t="s">
        <v>10846</v>
      </c>
      <c r="B8684">
        <v>6.9</v>
      </c>
    </row>
    <row r="8685" spans="1:2" ht="15" customHeight="1" x14ac:dyDescent="0.25">
      <c r="A8685" t="s">
        <v>10847</v>
      </c>
      <c r="B8685">
        <v>6.9</v>
      </c>
    </row>
    <row r="8686" spans="1:2" ht="15" customHeight="1" x14ac:dyDescent="0.25">
      <c r="A8686" t="s">
        <v>10848</v>
      </c>
      <c r="B8686">
        <v>6.9</v>
      </c>
    </row>
    <row r="8687" spans="1:2" ht="15" customHeight="1" x14ac:dyDescent="0.25">
      <c r="A8687" t="s">
        <v>10849</v>
      </c>
      <c r="B8687">
        <v>6.9</v>
      </c>
    </row>
    <row r="8688" spans="1:2" ht="15" customHeight="1" x14ac:dyDescent="0.25">
      <c r="A8688" t="s">
        <v>10850</v>
      </c>
      <c r="B8688">
        <v>6.9</v>
      </c>
    </row>
    <row r="8689" spans="1:2" ht="15" customHeight="1" x14ac:dyDescent="0.25">
      <c r="A8689" t="s">
        <v>10851</v>
      </c>
      <c r="B8689">
        <v>6.9</v>
      </c>
    </row>
    <row r="8690" spans="1:2" ht="15" customHeight="1" x14ac:dyDescent="0.25">
      <c r="A8690" t="s">
        <v>10852</v>
      </c>
      <c r="B8690">
        <v>6.9</v>
      </c>
    </row>
    <row r="8691" spans="1:2" ht="15" customHeight="1" x14ac:dyDescent="0.25">
      <c r="A8691" t="s">
        <v>10853</v>
      </c>
      <c r="B8691">
        <v>6.9</v>
      </c>
    </row>
    <row r="8692" spans="1:2" ht="15" customHeight="1" x14ac:dyDescent="0.25">
      <c r="A8692" t="s">
        <v>10854</v>
      </c>
      <c r="B8692">
        <v>6.9</v>
      </c>
    </row>
    <row r="8693" spans="1:2" ht="15" customHeight="1" x14ac:dyDescent="0.25">
      <c r="A8693" t="s">
        <v>10855</v>
      </c>
      <c r="B8693">
        <v>6.9</v>
      </c>
    </row>
    <row r="8694" spans="1:2" ht="15" customHeight="1" x14ac:dyDescent="0.25">
      <c r="A8694" t="s">
        <v>10856</v>
      </c>
      <c r="B8694">
        <v>6.9</v>
      </c>
    </row>
    <row r="8695" spans="1:2" ht="15" customHeight="1" x14ac:dyDescent="0.25">
      <c r="A8695" t="s">
        <v>10857</v>
      </c>
      <c r="B8695">
        <v>6.9</v>
      </c>
    </row>
    <row r="8696" spans="1:2" ht="15" customHeight="1" x14ac:dyDescent="0.25">
      <c r="A8696" t="s">
        <v>10858</v>
      </c>
      <c r="B8696">
        <v>6.9</v>
      </c>
    </row>
    <row r="8697" spans="1:2" ht="15" customHeight="1" x14ac:dyDescent="0.25">
      <c r="A8697" t="s">
        <v>10859</v>
      </c>
      <c r="B8697">
        <v>6.9</v>
      </c>
    </row>
    <row r="8698" spans="1:2" ht="15" customHeight="1" x14ac:dyDescent="0.25">
      <c r="A8698" t="s">
        <v>10860</v>
      </c>
      <c r="B8698">
        <v>6.9</v>
      </c>
    </row>
    <row r="8699" spans="1:2" ht="15" customHeight="1" x14ac:dyDescent="0.25">
      <c r="A8699" t="s">
        <v>10861</v>
      </c>
      <c r="B8699">
        <v>6.9</v>
      </c>
    </row>
    <row r="8700" spans="1:2" ht="15" customHeight="1" x14ac:dyDescent="0.25">
      <c r="A8700" t="s">
        <v>10862</v>
      </c>
      <c r="B8700">
        <v>6.9</v>
      </c>
    </row>
    <row r="8701" spans="1:2" ht="15" customHeight="1" x14ac:dyDescent="0.25">
      <c r="A8701" t="s">
        <v>10863</v>
      </c>
      <c r="B8701">
        <v>6.9</v>
      </c>
    </row>
    <row r="8702" spans="1:2" ht="15" customHeight="1" x14ac:dyDescent="0.25">
      <c r="A8702" t="s">
        <v>10864</v>
      </c>
      <c r="B8702">
        <v>6.9</v>
      </c>
    </row>
    <row r="8703" spans="1:2" ht="15" customHeight="1" x14ac:dyDescent="0.25">
      <c r="A8703" t="s">
        <v>10865</v>
      </c>
      <c r="B8703">
        <v>6.9</v>
      </c>
    </row>
    <row r="8704" spans="1:2" ht="15" customHeight="1" x14ac:dyDescent="0.25">
      <c r="A8704" t="s">
        <v>10866</v>
      </c>
      <c r="B8704">
        <v>6.9</v>
      </c>
    </row>
    <row r="8705" spans="1:3" ht="15" customHeight="1" x14ac:dyDescent="0.25">
      <c r="A8705" t="s">
        <v>10867</v>
      </c>
      <c r="B8705">
        <v>8</v>
      </c>
      <c r="C8705">
        <v>0.35</v>
      </c>
    </row>
    <row r="8706" spans="1:3" ht="15" customHeight="1" x14ac:dyDescent="0.25">
      <c r="A8706" t="s">
        <v>10868</v>
      </c>
      <c r="B8706">
        <v>8</v>
      </c>
      <c r="C8706">
        <v>0.35</v>
      </c>
    </row>
    <row r="8707" spans="1:3" ht="15" customHeight="1" x14ac:dyDescent="0.25">
      <c r="A8707" t="s">
        <v>10869</v>
      </c>
      <c r="B8707">
        <v>8</v>
      </c>
      <c r="C8707">
        <v>0.35</v>
      </c>
    </row>
    <row r="8708" spans="1:3" ht="15" customHeight="1" x14ac:dyDescent="0.25">
      <c r="A8708" t="s">
        <v>10870</v>
      </c>
      <c r="B8708">
        <v>8</v>
      </c>
      <c r="C8708">
        <v>0.35</v>
      </c>
    </row>
    <row r="8709" spans="1:3" ht="15" customHeight="1" x14ac:dyDescent="0.25">
      <c r="A8709" t="s">
        <v>10871</v>
      </c>
      <c r="B8709">
        <v>8</v>
      </c>
    </row>
    <row r="8710" spans="1:3" ht="15" customHeight="1" x14ac:dyDescent="0.25">
      <c r="A8710" t="s">
        <v>10872</v>
      </c>
      <c r="B8710">
        <v>8</v>
      </c>
    </row>
    <row r="8711" spans="1:3" ht="15" customHeight="1" x14ac:dyDescent="0.25">
      <c r="A8711" t="s">
        <v>10873</v>
      </c>
      <c r="B8711">
        <v>8</v>
      </c>
    </row>
    <row r="8712" spans="1:3" ht="15" customHeight="1" x14ac:dyDescent="0.25">
      <c r="A8712" t="s">
        <v>10874</v>
      </c>
      <c r="B8712">
        <v>8</v>
      </c>
    </row>
    <row r="8713" spans="1:3" ht="15" customHeight="1" x14ac:dyDescent="0.25">
      <c r="A8713" t="s">
        <v>10875</v>
      </c>
      <c r="B8713">
        <v>8</v>
      </c>
      <c r="C8713">
        <v>0.35</v>
      </c>
    </row>
    <row r="8714" spans="1:3" ht="15" customHeight="1" x14ac:dyDescent="0.25">
      <c r="A8714" t="s">
        <v>10876</v>
      </c>
      <c r="B8714">
        <v>19.8</v>
      </c>
    </row>
    <row r="8715" spans="1:3" ht="15" customHeight="1" x14ac:dyDescent="0.25">
      <c r="A8715" t="s">
        <v>10877</v>
      </c>
      <c r="B8715">
        <v>20.8</v>
      </c>
    </row>
    <row r="8716" spans="1:3" ht="15" customHeight="1" x14ac:dyDescent="0.25">
      <c r="A8716" t="s">
        <v>10878</v>
      </c>
      <c r="B8716">
        <v>16.899999999999999</v>
      </c>
    </row>
    <row r="8717" spans="1:3" ht="15" customHeight="1" x14ac:dyDescent="0.25">
      <c r="A8717" t="s">
        <v>10879</v>
      </c>
      <c r="B8717">
        <v>19.8</v>
      </c>
    </row>
    <row r="8718" spans="1:3" ht="15" customHeight="1" x14ac:dyDescent="0.25">
      <c r="A8718" t="s">
        <v>10880</v>
      </c>
      <c r="B8718">
        <v>20.8</v>
      </c>
    </row>
    <row r="8719" spans="1:3" ht="15" customHeight="1" x14ac:dyDescent="0.25">
      <c r="A8719" t="s">
        <v>10881</v>
      </c>
      <c r="B8719">
        <v>16.899999999999999</v>
      </c>
    </row>
    <row r="8720" spans="1:3" ht="15" customHeight="1" x14ac:dyDescent="0.25">
      <c r="A8720" t="s">
        <v>10882</v>
      </c>
      <c r="B8720">
        <v>18.899999999999999</v>
      </c>
    </row>
    <row r="8721" spans="1:3" ht="15" customHeight="1" x14ac:dyDescent="0.25">
      <c r="A8721" t="s">
        <v>10883</v>
      </c>
      <c r="B8721">
        <v>20.3</v>
      </c>
    </row>
    <row r="8722" spans="1:3" ht="15" customHeight="1" x14ac:dyDescent="0.25">
      <c r="A8722" t="s">
        <v>10884</v>
      </c>
      <c r="B8722">
        <v>20.3</v>
      </c>
      <c r="C8722">
        <v>0.35</v>
      </c>
    </row>
    <row r="8723" spans="1:3" ht="15" customHeight="1" x14ac:dyDescent="0.25">
      <c r="A8723" t="s">
        <v>10885</v>
      </c>
      <c r="B8723">
        <v>20.3</v>
      </c>
      <c r="C8723">
        <v>0.35</v>
      </c>
    </row>
    <row r="8724" spans="1:3" ht="15" customHeight="1" x14ac:dyDescent="0.25">
      <c r="A8724" t="s">
        <v>10886</v>
      </c>
      <c r="B8724">
        <v>20.3</v>
      </c>
    </row>
    <row r="8725" spans="1:3" ht="15" customHeight="1" x14ac:dyDescent="0.25">
      <c r="A8725" t="s">
        <v>10887</v>
      </c>
      <c r="B8725">
        <v>16.100000000000001</v>
      </c>
      <c r="C8725">
        <v>0.35</v>
      </c>
    </row>
    <row r="8726" spans="1:3" ht="15" customHeight="1" x14ac:dyDescent="0.25">
      <c r="A8726" t="s">
        <v>10888</v>
      </c>
      <c r="B8726">
        <v>20.3</v>
      </c>
      <c r="C8726">
        <v>0.35</v>
      </c>
    </row>
    <row r="8727" spans="1:3" ht="15" customHeight="1" x14ac:dyDescent="0.25">
      <c r="A8727" t="s">
        <v>10889</v>
      </c>
      <c r="B8727">
        <v>13.3</v>
      </c>
    </row>
    <row r="8728" spans="1:3" ht="15" customHeight="1" x14ac:dyDescent="0.25">
      <c r="A8728" t="s">
        <v>10890</v>
      </c>
      <c r="B8728">
        <v>17.399999999999999</v>
      </c>
    </row>
    <row r="8729" spans="1:3" ht="15" customHeight="1" x14ac:dyDescent="0.25">
      <c r="A8729" t="s">
        <v>10891</v>
      </c>
      <c r="B8729">
        <v>17.399999999999999</v>
      </c>
    </row>
    <row r="8730" spans="1:3" ht="15" customHeight="1" x14ac:dyDescent="0.25">
      <c r="A8730" t="s">
        <v>10892</v>
      </c>
      <c r="B8730">
        <v>11.5</v>
      </c>
    </row>
    <row r="8731" spans="1:3" ht="15" customHeight="1" x14ac:dyDescent="0.25">
      <c r="A8731" t="s">
        <v>10893</v>
      </c>
      <c r="B8731">
        <v>13.3</v>
      </c>
    </row>
    <row r="8732" spans="1:3" ht="15" customHeight="1" x14ac:dyDescent="0.25">
      <c r="A8732" t="s">
        <v>10894</v>
      </c>
      <c r="B8732">
        <v>17.399999999999999</v>
      </c>
    </row>
    <row r="8733" spans="1:3" ht="15" customHeight="1" x14ac:dyDescent="0.25">
      <c r="A8733" t="s">
        <v>10895</v>
      </c>
      <c r="B8733">
        <v>17.399999999999999</v>
      </c>
    </row>
    <row r="8734" spans="1:3" ht="15" customHeight="1" x14ac:dyDescent="0.25">
      <c r="A8734" t="s">
        <v>10896</v>
      </c>
      <c r="B8734">
        <v>11.5</v>
      </c>
    </row>
    <row r="8735" spans="1:3" ht="15" customHeight="1" x14ac:dyDescent="0.25">
      <c r="A8735" t="s">
        <v>10897</v>
      </c>
      <c r="B8735">
        <v>8.4</v>
      </c>
    </row>
    <row r="8736" spans="1:3" ht="15" customHeight="1" x14ac:dyDescent="0.25">
      <c r="A8736" t="s">
        <v>10898</v>
      </c>
      <c r="B8736">
        <v>8.4</v>
      </c>
    </row>
    <row r="8737" spans="1:2" ht="15" customHeight="1" x14ac:dyDescent="0.25">
      <c r="A8737" t="s">
        <v>10899</v>
      </c>
      <c r="B8737">
        <v>8.4</v>
      </c>
    </row>
    <row r="8738" spans="1:2" ht="15" customHeight="1" x14ac:dyDescent="0.25">
      <c r="A8738" t="s">
        <v>10900</v>
      </c>
      <c r="B8738">
        <v>8.4</v>
      </c>
    </row>
    <row r="8739" spans="1:2" ht="15" customHeight="1" x14ac:dyDescent="0.25">
      <c r="A8739" t="s">
        <v>10901</v>
      </c>
      <c r="B8739">
        <v>8.4</v>
      </c>
    </row>
    <row r="8740" spans="1:2" ht="15" customHeight="1" x14ac:dyDescent="0.25">
      <c r="A8740" t="s">
        <v>10902</v>
      </c>
      <c r="B8740">
        <v>8.4</v>
      </c>
    </row>
    <row r="8741" spans="1:2" ht="15" customHeight="1" x14ac:dyDescent="0.25">
      <c r="A8741" t="s">
        <v>10903</v>
      </c>
      <c r="B8741">
        <v>8.4</v>
      </c>
    </row>
    <row r="8742" spans="1:2" ht="15" customHeight="1" x14ac:dyDescent="0.25">
      <c r="A8742" t="s">
        <v>10904</v>
      </c>
      <c r="B8742">
        <v>8.4</v>
      </c>
    </row>
    <row r="8743" spans="1:2" ht="15" customHeight="1" x14ac:dyDescent="0.25">
      <c r="A8743" t="s">
        <v>10905</v>
      </c>
      <c r="B8743">
        <v>8.4</v>
      </c>
    </row>
    <row r="8744" spans="1:2" ht="15" customHeight="1" x14ac:dyDescent="0.25">
      <c r="A8744" t="s">
        <v>10906</v>
      </c>
      <c r="B8744">
        <v>8.4</v>
      </c>
    </row>
    <row r="8745" spans="1:2" ht="15" customHeight="1" x14ac:dyDescent="0.25">
      <c r="A8745" t="s">
        <v>10907</v>
      </c>
      <c r="B8745">
        <v>8.4</v>
      </c>
    </row>
    <row r="8746" spans="1:2" ht="15" customHeight="1" x14ac:dyDescent="0.25">
      <c r="A8746" t="s">
        <v>10908</v>
      </c>
      <c r="B8746">
        <v>8.4</v>
      </c>
    </row>
    <row r="8747" spans="1:2" ht="15" customHeight="1" x14ac:dyDescent="0.25">
      <c r="A8747" t="s">
        <v>10909</v>
      </c>
      <c r="B8747">
        <v>8.4</v>
      </c>
    </row>
    <row r="8748" spans="1:2" ht="15" customHeight="1" x14ac:dyDescent="0.25">
      <c r="A8748" t="s">
        <v>10910</v>
      </c>
      <c r="B8748">
        <v>8.4</v>
      </c>
    </row>
    <row r="8749" spans="1:2" ht="15" customHeight="1" x14ac:dyDescent="0.25">
      <c r="A8749" t="s">
        <v>10911</v>
      </c>
      <c r="B8749">
        <v>6.8</v>
      </c>
    </row>
    <row r="8750" spans="1:2" ht="15" customHeight="1" x14ac:dyDescent="0.25">
      <c r="A8750" t="s">
        <v>10912</v>
      </c>
      <c r="B8750">
        <v>6.8</v>
      </c>
    </row>
    <row r="8751" spans="1:2" ht="15" customHeight="1" x14ac:dyDescent="0.25">
      <c r="A8751" t="s">
        <v>10913</v>
      </c>
      <c r="B8751">
        <v>6.8</v>
      </c>
    </row>
    <row r="8752" spans="1:2" ht="15" customHeight="1" x14ac:dyDescent="0.25">
      <c r="A8752" t="s">
        <v>10914</v>
      </c>
      <c r="B8752">
        <v>6.8</v>
      </c>
    </row>
    <row r="8753" spans="1:2" ht="15" customHeight="1" x14ac:dyDescent="0.25">
      <c r="A8753" t="s">
        <v>10915</v>
      </c>
      <c r="B8753">
        <v>6.8</v>
      </c>
    </row>
    <row r="8754" spans="1:2" ht="15" customHeight="1" x14ac:dyDescent="0.25">
      <c r="A8754" t="s">
        <v>10916</v>
      </c>
      <c r="B8754">
        <v>6.8</v>
      </c>
    </row>
    <row r="8755" spans="1:2" ht="15" customHeight="1" x14ac:dyDescent="0.25">
      <c r="A8755" t="s">
        <v>10917</v>
      </c>
      <c r="B8755">
        <v>6.8</v>
      </c>
    </row>
    <row r="8756" spans="1:2" ht="15" customHeight="1" x14ac:dyDescent="0.25">
      <c r="A8756" t="s">
        <v>10918</v>
      </c>
      <c r="B8756">
        <v>6.8</v>
      </c>
    </row>
    <row r="8757" spans="1:2" ht="15" customHeight="1" x14ac:dyDescent="0.25">
      <c r="A8757" t="s">
        <v>10919</v>
      </c>
      <c r="B8757">
        <v>6.8</v>
      </c>
    </row>
    <row r="8758" spans="1:2" ht="15" customHeight="1" x14ac:dyDescent="0.25">
      <c r="A8758" t="s">
        <v>10920</v>
      </c>
      <c r="B8758">
        <v>6.8</v>
      </c>
    </row>
    <row r="8759" spans="1:2" ht="15" customHeight="1" x14ac:dyDescent="0.25">
      <c r="A8759" t="s">
        <v>10921</v>
      </c>
      <c r="B8759">
        <v>6.8</v>
      </c>
    </row>
    <row r="8760" spans="1:2" ht="15" customHeight="1" x14ac:dyDescent="0.25">
      <c r="A8760" t="s">
        <v>10922</v>
      </c>
      <c r="B8760">
        <v>6.8</v>
      </c>
    </row>
    <row r="8761" spans="1:2" ht="15" customHeight="1" x14ac:dyDescent="0.25">
      <c r="A8761" t="s">
        <v>10923</v>
      </c>
      <c r="B8761">
        <v>6.8</v>
      </c>
    </row>
    <row r="8762" spans="1:2" ht="15" customHeight="1" x14ac:dyDescent="0.25">
      <c r="A8762" t="s">
        <v>10924</v>
      </c>
      <c r="B8762">
        <v>6.8</v>
      </c>
    </row>
    <row r="8763" spans="1:2" ht="15" customHeight="1" x14ac:dyDescent="0.25">
      <c r="A8763" t="s">
        <v>10925</v>
      </c>
      <c r="B8763">
        <v>6.8</v>
      </c>
    </row>
    <row r="8764" spans="1:2" ht="15" customHeight="1" x14ac:dyDescent="0.25">
      <c r="A8764" t="s">
        <v>10926</v>
      </c>
      <c r="B8764">
        <v>6.8</v>
      </c>
    </row>
    <row r="8765" spans="1:2" ht="15" customHeight="1" x14ac:dyDescent="0.25">
      <c r="A8765" t="s">
        <v>10927</v>
      </c>
      <c r="B8765">
        <v>10.1</v>
      </c>
    </row>
    <row r="8766" spans="1:2" ht="15" customHeight="1" x14ac:dyDescent="0.25">
      <c r="A8766" t="s">
        <v>10928</v>
      </c>
      <c r="B8766">
        <v>10.1</v>
      </c>
    </row>
    <row r="8767" spans="1:2" ht="15" customHeight="1" x14ac:dyDescent="0.25">
      <c r="A8767" t="s">
        <v>10929</v>
      </c>
      <c r="B8767">
        <v>10.1</v>
      </c>
    </row>
    <row r="8768" spans="1:2" ht="15" customHeight="1" x14ac:dyDescent="0.25">
      <c r="A8768" t="s">
        <v>10930</v>
      </c>
      <c r="B8768">
        <v>10.1</v>
      </c>
    </row>
    <row r="8769" spans="1:3" ht="15" customHeight="1" x14ac:dyDescent="0.25">
      <c r="A8769" t="s">
        <v>10931</v>
      </c>
      <c r="B8769">
        <v>10.1</v>
      </c>
    </row>
    <row r="8770" spans="1:3" ht="15" customHeight="1" x14ac:dyDescent="0.25">
      <c r="A8770" t="s">
        <v>10932</v>
      </c>
      <c r="B8770">
        <v>10.1</v>
      </c>
    </row>
    <row r="8771" spans="1:3" ht="15" customHeight="1" x14ac:dyDescent="0.25">
      <c r="A8771" t="s">
        <v>10933</v>
      </c>
      <c r="B8771">
        <v>10.1</v>
      </c>
    </row>
    <row r="8772" spans="1:3" ht="15" customHeight="1" x14ac:dyDescent="0.25">
      <c r="A8772" t="s">
        <v>10934</v>
      </c>
      <c r="B8772">
        <v>10.1</v>
      </c>
    </row>
    <row r="8773" spans="1:3" ht="15" customHeight="1" x14ac:dyDescent="0.25">
      <c r="A8773" t="s">
        <v>10935</v>
      </c>
      <c r="B8773">
        <v>10.1</v>
      </c>
    </row>
    <row r="8774" spans="1:3" ht="15" customHeight="1" x14ac:dyDescent="0.25">
      <c r="A8774" t="s">
        <v>10936</v>
      </c>
      <c r="B8774">
        <v>10.1</v>
      </c>
    </row>
    <row r="8775" spans="1:3" ht="15" customHeight="1" x14ac:dyDescent="0.25">
      <c r="A8775" t="s">
        <v>10937</v>
      </c>
      <c r="B8775">
        <v>10.1</v>
      </c>
    </row>
    <row r="8776" spans="1:3" ht="15" customHeight="1" x14ac:dyDescent="0.25">
      <c r="A8776" t="s">
        <v>10938</v>
      </c>
      <c r="B8776">
        <v>10.1</v>
      </c>
    </row>
    <row r="8777" spans="1:3" ht="15" customHeight="1" x14ac:dyDescent="0.25">
      <c r="A8777" t="s">
        <v>10939</v>
      </c>
      <c r="B8777">
        <v>10.1</v>
      </c>
    </row>
    <row r="8778" spans="1:3" ht="15" customHeight="1" x14ac:dyDescent="0.25">
      <c r="A8778" t="s">
        <v>10940</v>
      </c>
      <c r="B8778">
        <v>10.1</v>
      </c>
    </row>
    <row r="8779" spans="1:3" ht="15" customHeight="1" x14ac:dyDescent="0.25">
      <c r="A8779" t="s">
        <v>10941</v>
      </c>
      <c r="B8779">
        <v>5.6</v>
      </c>
      <c r="C8779">
        <v>0.35</v>
      </c>
    </row>
    <row r="8780" spans="1:3" ht="15" customHeight="1" x14ac:dyDescent="0.25">
      <c r="A8780" t="s">
        <v>10942</v>
      </c>
      <c r="B8780">
        <v>5.6</v>
      </c>
      <c r="C8780">
        <v>0.35</v>
      </c>
    </row>
    <row r="8781" spans="1:3" ht="15" customHeight="1" x14ac:dyDescent="0.25">
      <c r="A8781" t="s">
        <v>10943</v>
      </c>
      <c r="B8781">
        <v>5.6</v>
      </c>
      <c r="C8781">
        <v>0.35</v>
      </c>
    </row>
    <row r="8782" spans="1:3" ht="15" customHeight="1" x14ac:dyDescent="0.25">
      <c r="A8782" t="s">
        <v>10944</v>
      </c>
      <c r="B8782">
        <v>5.6</v>
      </c>
      <c r="C8782">
        <v>0.35</v>
      </c>
    </row>
    <row r="8783" spans="1:3" ht="15" customHeight="1" x14ac:dyDescent="0.25">
      <c r="A8783" t="s">
        <v>10945</v>
      </c>
      <c r="B8783">
        <v>5.6</v>
      </c>
      <c r="C8783">
        <v>0.35</v>
      </c>
    </row>
    <row r="8784" spans="1:3" ht="15" customHeight="1" x14ac:dyDescent="0.25">
      <c r="A8784" t="s">
        <v>10946</v>
      </c>
      <c r="B8784">
        <v>5.6</v>
      </c>
      <c r="C8784">
        <v>0.35</v>
      </c>
    </row>
    <row r="8785" spans="1:2" ht="15" customHeight="1" x14ac:dyDescent="0.25">
      <c r="A8785" t="s">
        <v>10947</v>
      </c>
      <c r="B8785">
        <v>5.6</v>
      </c>
    </row>
    <row r="8786" spans="1:2" ht="15" customHeight="1" x14ac:dyDescent="0.25">
      <c r="A8786" t="s">
        <v>10948</v>
      </c>
      <c r="B8786">
        <v>5.6</v>
      </c>
    </row>
    <row r="8787" spans="1:2" ht="15" customHeight="1" x14ac:dyDescent="0.25">
      <c r="A8787" t="s">
        <v>10949</v>
      </c>
      <c r="B8787">
        <v>5.6</v>
      </c>
    </row>
    <row r="8788" spans="1:2" ht="15" customHeight="1" x14ac:dyDescent="0.25">
      <c r="A8788" t="s">
        <v>10950</v>
      </c>
      <c r="B8788">
        <v>5.6</v>
      </c>
    </row>
    <row r="8789" spans="1:2" ht="15" customHeight="1" x14ac:dyDescent="0.25">
      <c r="A8789" t="s">
        <v>10951</v>
      </c>
      <c r="B8789">
        <v>5.6</v>
      </c>
    </row>
    <row r="8790" spans="1:2" ht="15" customHeight="1" x14ac:dyDescent="0.25">
      <c r="A8790" t="s">
        <v>10952</v>
      </c>
      <c r="B8790">
        <v>5.6</v>
      </c>
    </row>
    <row r="8791" spans="1:2" ht="15" customHeight="1" x14ac:dyDescent="0.25">
      <c r="A8791" t="s">
        <v>10953</v>
      </c>
      <c r="B8791">
        <v>5.6</v>
      </c>
    </row>
    <row r="8792" spans="1:2" ht="15" customHeight="1" x14ac:dyDescent="0.25">
      <c r="A8792" t="s">
        <v>10954</v>
      </c>
      <c r="B8792">
        <v>5.6</v>
      </c>
    </row>
    <row r="8793" spans="1:2" ht="15" customHeight="1" x14ac:dyDescent="0.25">
      <c r="A8793" t="s">
        <v>10955</v>
      </c>
      <c r="B8793">
        <v>6.8</v>
      </c>
    </row>
    <row r="8794" spans="1:2" ht="15" customHeight="1" x14ac:dyDescent="0.25">
      <c r="A8794" t="s">
        <v>10956</v>
      </c>
      <c r="B8794">
        <v>6.8</v>
      </c>
    </row>
    <row r="8795" spans="1:2" ht="15" customHeight="1" x14ac:dyDescent="0.25">
      <c r="A8795" t="s">
        <v>10957</v>
      </c>
      <c r="B8795">
        <v>6.8</v>
      </c>
    </row>
    <row r="8796" spans="1:2" ht="15" customHeight="1" x14ac:dyDescent="0.25">
      <c r="A8796" t="s">
        <v>10958</v>
      </c>
      <c r="B8796">
        <v>6.8</v>
      </c>
    </row>
    <row r="8797" spans="1:2" ht="15" customHeight="1" x14ac:dyDescent="0.25">
      <c r="A8797" t="s">
        <v>10959</v>
      </c>
      <c r="B8797">
        <v>6.8</v>
      </c>
    </row>
    <row r="8798" spans="1:2" ht="15" customHeight="1" x14ac:dyDescent="0.25">
      <c r="A8798" t="s">
        <v>10960</v>
      </c>
      <c r="B8798">
        <v>6.8</v>
      </c>
    </row>
    <row r="8799" spans="1:2" ht="15" customHeight="1" x14ac:dyDescent="0.25">
      <c r="A8799" t="s">
        <v>10961</v>
      </c>
      <c r="B8799">
        <v>6.8</v>
      </c>
    </row>
    <row r="8800" spans="1:2" ht="15" customHeight="1" x14ac:dyDescent="0.25">
      <c r="A8800" t="s">
        <v>10962</v>
      </c>
      <c r="B8800">
        <v>6.8</v>
      </c>
    </row>
    <row r="8801" spans="1:3" ht="15" customHeight="1" x14ac:dyDescent="0.25">
      <c r="A8801" t="s">
        <v>10963</v>
      </c>
      <c r="B8801">
        <v>6.8</v>
      </c>
    </row>
    <row r="8802" spans="1:3" ht="15" customHeight="1" x14ac:dyDescent="0.25">
      <c r="A8802" t="s">
        <v>10964</v>
      </c>
      <c r="B8802">
        <v>6.8</v>
      </c>
    </row>
    <row r="8803" spans="1:3" ht="15" customHeight="1" x14ac:dyDescent="0.25">
      <c r="A8803" t="s">
        <v>10965</v>
      </c>
      <c r="B8803">
        <v>6.8</v>
      </c>
    </row>
    <row r="8804" spans="1:3" ht="15" customHeight="1" x14ac:dyDescent="0.25">
      <c r="A8804" t="s">
        <v>10966</v>
      </c>
      <c r="B8804">
        <v>6.8</v>
      </c>
    </row>
    <row r="8805" spans="1:3" ht="15" customHeight="1" x14ac:dyDescent="0.25">
      <c r="A8805" t="s">
        <v>10967</v>
      </c>
      <c r="B8805">
        <v>6.8</v>
      </c>
    </row>
    <row r="8806" spans="1:3" ht="15" customHeight="1" x14ac:dyDescent="0.25">
      <c r="A8806" t="s">
        <v>10968</v>
      </c>
      <c r="B8806">
        <v>6.8</v>
      </c>
    </row>
    <row r="8807" spans="1:3" ht="15" customHeight="1" x14ac:dyDescent="0.25">
      <c r="A8807" t="s">
        <v>10969</v>
      </c>
      <c r="B8807">
        <v>8.1</v>
      </c>
    </row>
    <row r="8808" spans="1:3" ht="15" customHeight="1" x14ac:dyDescent="0.25">
      <c r="A8808" t="s">
        <v>10970</v>
      </c>
      <c r="B8808">
        <v>8.1</v>
      </c>
    </row>
    <row r="8809" spans="1:3" ht="15" customHeight="1" x14ac:dyDescent="0.25">
      <c r="A8809" t="s">
        <v>10971</v>
      </c>
      <c r="B8809">
        <v>8.1</v>
      </c>
    </row>
    <row r="8810" spans="1:3" ht="15" customHeight="1" x14ac:dyDescent="0.25">
      <c r="A8810" t="s">
        <v>10972</v>
      </c>
      <c r="B8810">
        <v>8.1</v>
      </c>
    </row>
    <row r="8811" spans="1:3" ht="15" customHeight="1" x14ac:dyDescent="0.25">
      <c r="A8811" t="s">
        <v>10973</v>
      </c>
      <c r="B8811">
        <v>8.1</v>
      </c>
      <c r="C8811">
        <v>0.35</v>
      </c>
    </row>
    <row r="8812" spans="1:3" ht="15" customHeight="1" x14ac:dyDescent="0.25">
      <c r="A8812" t="s">
        <v>10974</v>
      </c>
      <c r="B8812">
        <v>8.1</v>
      </c>
      <c r="C8812">
        <v>0.35</v>
      </c>
    </row>
    <row r="8813" spans="1:3" ht="15" customHeight="1" x14ac:dyDescent="0.25">
      <c r="A8813" t="s">
        <v>10975</v>
      </c>
      <c r="B8813">
        <v>4.2</v>
      </c>
    </row>
    <row r="8814" spans="1:3" ht="15" customHeight="1" x14ac:dyDescent="0.25">
      <c r="A8814" t="s">
        <v>10976</v>
      </c>
      <c r="B8814">
        <v>6.6</v>
      </c>
    </row>
    <row r="8815" spans="1:3" ht="15" customHeight="1" x14ac:dyDescent="0.25">
      <c r="A8815" t="s">
        <v>10977</v>
      </c>
      <c r="B8815">
        <v>6.6</v>
      </c>
    </row>
    <row r="8816" spans="1:3" ht="15" customHeight="1" x14ac:dyDescent="0.25">
      <c r="A8816" t="s">
        <v>10978</v>
      </c>
      <c r="B8816">
        <v>6.6</v>
      </c>
    </row>
    <row r="8817" spans="1:3" ht="15" customHeight="1" x14ac:dyDescent="0.25">
      <c r="A8817" t="s">
        <v>10979</v>
      </c>
      <c r="B8817">
        <v>6.6</v>
      </c>
    </row>
    <row r="8818" spans="1:3" ht="15" customHeight="1" x14ac:dyDescent="0.25">
      <c r="A8818" t="s">
        <v>10980</v>
      </c>
      <c r="B8818">
        <v>4.2</v>
      </c>
    </row>
    <row r="8819" spans="1:3" ht="15" customHeight="1" x14ac:dyDescent="0.25">
      <c r="A8819" t="s">
        <v>10981</v>
      </c>
      <c r="B8819">
        <v>6.6</v>
      </c>
    </row>
    <row r="8820" spans="1:3" ht="15" customHeight="1" x14ac:dyDescent="0.25">
      <c r="A8820" t="s">
        <v>10982</v>
      </c>
      <c r="B8820">
        <v>6.6</v>
      </c>
    </row>
    <row r="8821" spans="1:3" ht="15" customHeight="1" x14ac:dyDescent="0.25">
      <c r="A8821" t="s">
        <v>10983</v>
      </c>
      <c r="B8821">
        <v>6.6</v>
      </c>
      <c r="C8821">
        <v>0.35</v>
      </c>
    </row>
    <row r="8822" spans="1:3" ht="15" customHeight="1" x14ac:dyDescent="0.25">
      <c r="A8822" t="s">
        <v>10984</v>
      </c>
      <c r="B8822">
        <v>6.6</v>
      </c>
      <c r="C8822">
        <v>0.35</v>
      </c>
    </row>
    <row r="8823" spans="1:3" ht="15" customHeight="1" x14ac:dyDescent="0.25">
      <c r="A8823" t="s">
        <v>10985</v>
      </c>
      <c r="B8823">
        <v>4.2</v>
      </c>
    </row>
    <row r="8824" spans="1:3" ht="15" customHeight="1" x14ac:dyDescent="0.25">
      <c r="A8824" t="s">
        <v>10986</v>
      </c>
      <c r="B8824">
        <v>4.2</v>
      </c>
      <c r="C8824">
        <v>0.35</v>
      </c>
    </row>
    <row r="8825" spans="1:3" ht="15" customHeight="1" x14ac:dyDescent="0.25">
      <c r="A8825" t="s">
        <v>10987</v>
      </c>
      <c r="B8825">
        <v>4.2</v>
      </c>
      <c r="C8825">
        <v>0.35</v>
      </c>
    </row>
    <row r="8826" spans="1:3" ht="15" customHeight="1" x14ac:dyDescent="0.25">
      <c r="A8826" t="s">
        <v>10988</v>
      </c>
      <c r="B8826">
        <v>4.2</v>
      </c>
      <c r="C8826">
        <v>0.35</v>
      </c>
    </row>
    <row r="8827" spans="1:3" ht="15" customHeight="1" x14ac:dyDescent="0.25">
      <c r="A8827" t="s">
        <v>10989</v>
      </c>
      <c r="B8827">
        <v>4.2</v>
      </c>
    </row>
    <row r="8828" spans="1:3" ht="15" customHeight="1" x14ac:dyDescent="0.25">
      <c r="A8828" t="s">
        <v>10990</v>
      </c>
      <c r="B8828">
        <v>4.2</v>
      </c>
    </row>
    <row r="8829" spans="1:3" ht="15" customHeight="1" x14ac:dyDescent="0.25">
      <c r="A8829" t="s">
        <v>10991</v>
      </c>
      <c r="B8829">
        <v>4.2</v>
      </c>
    </row>
    <row r="8830" spans="1:3" ht="15" customHeight="1" x14ac:dyDescent="0.25">
      <c r="A8830" t="s">
        <v>10992</v>
      </c>
      <c r="B8830">
        <v>4.2</v>
      </c>
    </row>
    <row r="8831" spans="1:3" ht="15" customHeight="1" x14ac:dyDescent="0.25">
      <c r="A8831" t="s">
        <v>10993</v>
      </c>
      <c r="B8831">
        <v>4.2</v>
      </c>
      <c r="C8831">
        <v>0.35</v>
      </c>
    </row>
    <row r="8832" spans="1:3" ht="15" customHeight="1" x14ac:dyDescent="0.25">
      <c r="A8832" t="s">
        <v>10994</v>
      </c>
      <c r="B8832">
        <v>4.2</v>
      </c>
      <c r="C8832">
        <v>0.35</v>
      </c>
    </row>
    <row r="8833" spans="1:2" ht="15" customHeight="1" x14ac:dyDescent="0.25">
      <c r="A8833" t="s">
        <v>10995</v>
      </c>
      <c r="B8833">
        <v>4.2</v>
      </c>
    </row>
    <row r="8834" spans="1:2" ht="15" customHeight="1" x14ac:dyDescent="0.25">
      <c r="A8834" t="s">
        <v>10996</v>
      </c>
      <c r="B8834">
        <v>4.2</v>
      </c>
    </row>
    <row r="8835" spans="1:2" ht="15" customHeight="1" x14ac:dyDescent="0.25">
      <c r="A8835" t="s">
        <v>10997</v>
      </c>
      <c r="B8835">
        <v>4.2</v>
      </c>
    </row>
    <row r="8836" spans="1:2" ht="15" customHeight="1" x14ac:dyDescent="0.25">
      <c r="A8836" t="s">
        <v>10998</v>
      </c>
      <c r="B8836">
        <v>4.2</v>
      </c>
    </row>
    <row r="8837" spans="1:2" ht="15" customHeight="1" x14ac:dyDescent="0.25">
      <c r="A8837" t="s">
        <v>10999</v>
      </c>
      <c r="B8837">
        <v>4.2</v>
      </c>
    </row>
    <row r="8838" spans="1:2" ht="15" customHeight="1" x14ac:dyDescent="0.25">
      <c r="A8838" t="s">
        <v>11000</v>
      </c>
      <c r="B8838">
        <v>4.2</v>
      </c>
    </row>
    <row r="8839" spans="1:2" ht="15" customHeight="1" x14ac:dyDescent="0.25">
      <c r="A8839" t="s">
        <v>11001</v>
      </c>
      <c r="B8839">
        <v>4.2</v>
      </c>
    </row>
    <row r="8840" spans="1:2" ht="15" customHeight="1" x14ac:dyDescent="0.25">
      <c r="A8840" t="s">
        <v>11002</v>
      </c>
      <c r="B8840">
        <v>4.2</v>
      </c>
    </row>
    <row r="8841" spans="1:2" ht="15" customHeight="1" x14ac:dyDescent="0.25">
      <c r="A8841" t="s">
        <v>11003</v>
      </c>
      <c r="B8841">
        <v>4.2</v>
      </c>
    </row>
    <row r="8842" spans="1:2" ht="15" customHeight="1" x14ac:dyDescent="0.25">
      <c r="A8842" t="s">
        <v>11004</v>
      </c>
      <c r="B8842">
        <v>4.2</v>
      </c>
    </row>
    <row r="8843" spans="1:2" ht="15" customHeight="1" x14ac:dyDescent="0.25">
      <c r="A8843" t="s">
        <v>11005</v>
      </c>
      <c r="B8843">
        <v>26.1</v>
      </c>
    </row>
    <row r="8844" spans="1:2" ht="15" customHeight="1" x14ac:dyDescent="0.25">
      <c r="A8844" t="s">
        <v>11006</v>
      </c>
      <c r="B8844">
        <v>28.5</v>
      </c>
    </row>
    <row r="8845" spans="1:2" ht="15" customHeight="1" x14ac:dyDescent="0.25">
      <c r="A8845" t="s">
        <v>11007</v>
      </c>
      <c r="B8845">
        <v>20.3</v>
      </c>
    </row>
    <row r="8846" spans="1:2" ht="15" customHeight="1" x14ac:dyDescent="0.25">
      <c r="A8846" t="s">
        <v>11008</v>
      </c>
      <c r="B8846">
        <v>26.1</v>
      </c>
    </row>
    <row r="8847" spans="1:2" ht="15" customHeight="1" x14ac:dyDescent="0.25">
      <c r="A8847" t="s">
        <v>11009</v>
      </c>
      <c r="B8847">
        <v>28.5</v>
      </c>
    </row>
    <row r="8848" spans="1:2" ht="15" customHeight="1" x14ac:dyDescent="0.25">
      <c r="A8848" t="s">
        <v>11010</v>
      </c>
      <c r="B8848">
        <v>20.3</v>
      </c>
    </row>
    <row r="8849" spans="1:2" ht="15" customHeight="1" x14ac:dyDescent="0.25">
      <c r="A8849" t="s">
        <v>11011</v>
      </c>
      <c r="B8849">
        <v>20.100000000000001</v>
      </c>
    </row>
    <row r="8850" spans="1:2" ht="15" customHeight="1" x14ac:dyDescent="0.25">
      <c r="A8850" t="s">
        <v>11012</v>
      </c>
      <c r="B8850">
        <v>20.8</v>
      </c>
    </row>
    <row r="8851" spans="1:2" ht="15" customHeight="1" x14ac:dyDescent="0.25">
      <c r="A8851" t="s">
        <v>11013</v>
      </c>
      <c r="B8851">
        <v>20.8</v>
      </c>
    </row>
    <row r="8852" spans="1:2" ht="15" customHeight="1" x14ac:dyDescent="0.25">
      <c r="A8852" t="s">
        <v>11014</v>
      </c>
      <c r="B8852">
        <v>16.899999999999999</v>
      </c>
    </row>
    <row r="8853" spans="1:2" ht="15" customHeight="1" x14ac:dyDescent="0.25">
      <c r="A8853" t="s">
        <v>11015</v>
      </c>
      <c r="B8853">
        <v>20.100000000000001</v>
      </c>
    </row>
    <row r="8854" spans="1:2" ht="15" customHeight="1" x14ac:dyDescent="0.25">
      <c r="A8854" t="s">
        <v>11016</v>
      </c>
      <c r="B8854">
        <v>20.8</v>
      </c>
    </row>
    <row r="8855" spans="1:2" ht="15" customHeight="1" x14ac:dyDescent="0.25">
      <c r="A8855" t="s">
        <v>11017</v>
      </c>
      <c r="B8855">
        <v>20.8</v>
      </c>
    </row>
    <row r="8856" spans="1:2" ht="15" customHeight="1" x14ac:dyDescent="0.25">
      <c r="A8856" t="s">
        <v>11018</v>
      </c>
      <c r="B8856">
        <v>16.899999999999999</v>
      </c>
    </row>
    <row r="8857" spans="1:2" ht="15" customHeight="1" x14ac:dyDescent="0.25">
      <c r="A8857" t="s">
        <v>11019</v>
      </c>
      <c r="B8857">
        <v>6.6</v>
      </c>
    </row>
    <row r="8858" spans="1:2" ht="15" customHeight="1" x14ac:dyDescent="0.25">
      <c r="A8858" t="s">
        <v>11020</v>
      </c>
      <c r="B8858">
        <v>6.6</v>
      </c>
    </row>
    <row r="8859" spans="1:2" ht="15" customHeight="1" x14ac:dyDescent="0.25">
      <c r="A8859" t="s">
        <v>11021</v>
      </c>
      <c r="B8859">
        <v>6.6</v>
      </c>
    </row>
    <row r="8860" spans="1:2" ht="15" customHeight="1" x14ac:dyDescent="0.25">
      <c r="A8860" t="s">
        <v>11022</v>
      </c>
      <c r="B8860">
        <v>6.6</v>
      </c>
    </row>
    <row r="8861" spans="1:2" ht="15" customHeight="1" x14ac:dyDescent="0.25">
      <c r="A8861" t="s">
        <v>11023</v>
      </c>
      <c r="B8861">
        <v>6.6</v>
      </c>
    </row>
    <row r="8862" spans="1:2" ht="15" customHeight="1" x14ac:dyDescent="0.25">
      <c r="A8862" t="s">
        <v>11024</v>
      </c>
      <c r="B8862">
        <v>6.6</v>
      </c>
    </row>
    <row r="8863" spans="1:2" ht="15" customHeight="1" x14ac:dyDescent="0.25">
      <c r="A8863" t="s">
        <v>11025</v>
      </c>
      <c r="B8863">
        <v>6.6</v>
      </c>
    </row>
    <row r="8864" spans="1:2" ht="15" customHeight="1" x14ac:dyDescent="0.25">
      <c r="A8864" t="s">
        <v>11026</v>
      </c>
      <c r="B8864">
        <v>6.6</v>
      </c>
    </row>
    <row r="8865" spans="1:3" ht="15" customHeight="1" x14ac:dyDescent="0.25">
      <c r="A8865" t="s">
        <v>11027</v>
      </c>
      <c r="B8865">
        <v>6.6</v>
      </c>
      <c r="C8865">
        <v>0.35</v>
      </c>
    </row>
    <row r="8866" spans="1:3" ht="15" customHeight="1" x14ac:dyDescent="0.25">
      <c r="A8866" t="s">
        <v>11028</v>
      </c>
      <c r="B8866">
        <v>6.6</v>
      </c>
    </row>
    <row r="8867" spans="1:3" ht="15" customHeight="1" x14ac:dyDescent="0.25">
      <c r="A8867" t="s">
        <v>11029</v>
      </c>
      <c r="B8867">
        <v>6.6</v>
      </c>
      <c r="C8867">
        <v>0.35</v>
      </c>
    </row>
    <row r="8868" spans="1:3" ht="15" customHeight="1" x14ac:dyDescent="0.25">
      <c r="A8868" t="s">
        <v>11030</v>
      </c>
      <c r="B8868">
        <v>6.6</v>
      </c>
      <c r="C8868">
        <v>0.35</v>
      </c>
    </row>
    <row r="8869" spans="1:3" ht="15" customHeight="1" x14ac:dyDescent="0.25">
      <c r="A8869" t="s">
        <v>11031</v>
      </c>
      <c r="B8869">
        <v>6.6</v>
      </c>
    </row>
    <row r="8870" spans="1:3" ht="15" customHeight="1" x14ac:dyDescent="0.25">
      <c r="A8870" t="s">
        <v>11032</v>
      </c>
      <c r="B8870">
        <v>6.6</v>
      </c>
      <c r="C8870">
        <v>0.35</v>
      </c>
    </row>
    <row r="8871" spans="1:3" ht="15" customHeight="1" x14ac:dyDescent="0.25">
      <c r="A8871" t="s">
        <v>11033</v>
      </c>
      <c r="B8871">
        <v>6.6</v>
      </c>
      <c r="C8871">
        <v>0.35</v>
      </c>
    </row>
    <row r="8872" spans="1:3" ht="15" customHeight="1" x14ac:dyDescent="0.25">
      <c r="A8872" t="s">
        <v>11034</v>
      </c>
      <c r="B8872">
        <v>6.6</v>
      </c>
      <c r="C8872">
        <v>0.35</v>
      </c>
    </row>
    <row r="8873" spans="1:3" ht="15" customHeight="1" x14ac:dyDescent="0.25">
      <c r="A8873" t="s">
        <v>11035</v>
      </c>
      <c r="B8873">
        <v>36.5</v>
      </c>
      <c r="C8873">
        <v>0.35</v>
      </c>
    </row>
    <row r="8874" spans="1:3" ht="15" customHeight="1" x14ac:dyDescent="0.25">
      <c r="A8874" t="s">
        <v>11036</v>
      </c>
      <c r="B8874">
        <v>36.799999999999997</v>
      </c>
      <c r="C8874">
        <v>0.35</v>
      </c>
    </row>
    <row r="8875" spans="1:3" ht="15" customHeight="1" x14ac:dyDescent="0.25">
      <c r="A8875" t="s">
        <v>11037</v>
      </c>
      <c r="B8875">
        <v>30.7</v>
      </c>
      <c r="C8875">
        <v>0.35</v>
      </c>
    </row>
    <row r="8876" spans="1:3" ht="15" customHeight="1" x14ac:dyDescent="0.25">
      <c r="A8876" t="s">
        <v>11038</v>
      </c>
      <c r="B8876">
        <v>8.5</v>
      </c>
      <c r="C8876">
        <v>0.15</v>
      </c>
    </row>
    <row r="8877" spans="1:3" ht="15" customHeight="1" x14ac:dyDescent="0.25">
      <c r="A8877" t="s">
        <v>11039</v>
      </c>
      <c r="B8877">
        <v>8.5</v>
      </c>
      <c r="C8877">
        <v>0.15</v>
      </c>
    </row>
    <row r="8878" spans="1:3" ht="15" customHeight="1" x14ac:dyDescent="0.25">
      <c r="A8878" t="s">
        <v>11040</v>
      </c>
      <c r="B8878">
        <v>8.5</v>
      </c>
      <c r="C8878">
        <v>0.15</v>
      </c>
    </row>
    <row r="8879" spans="1:3" ht="15" customHeight="1" x14ac:dyDescent="0.25">
      <c r="A8879" t="s">
        <v>11041</v>
      </c>
      <c r="B8879">
        <v>11.5</v>
      </c>
      <c r="C8879">
        <v>0.15</v>
      </c>
    </row>
    <row r="8880" spans="1:3" ht="15" customHeight="1" x14ac:dyDescent="0.25">
      <c r="A8880" t="s">
        <v>11042</v>
      </c>
      <c r="B8880">
        <v>11.5</v>
      </c>
      <c r="C8880">
        <v>0.15</v>
      </c>
    </row>
    <row r="8881" spans="1:3" ht="15" customHeight="1" x14ac:dyDescent="0.25">
      <c r="A8881" t="s">
        <v>11043</v>
      </c>
      <c r="B8881">
        <v>35.1</v>
      </c>
    </row>
    <row r="8882" spans="1:3" ht="15" customHeight="1" x14ac:dyDescent="0.25">
      <c r="A8882" t="s">
        <v>11044</v>
      </c>
      <c r="B8882">
        <v>35.1</v>
      </c>
    </row>
    <row r="8883" spans="1:3" ht="15" customHeight="1" x14ac:dyDescent="0.25">
      <c r="A8883" t="s">
        <v>11045</v>
      </c>
      <c r="B8883">
        <v>35.1</v>
      </c>
    </row>
    <row r="8884" spans="1:3" ht="15" customHeight="1" x14ac:dyDescent="0.25">
      <c r="A8884" t="s">
        <v>11046</v>
      </c>
      <c r="B8884">
        <v>35.1</v>
      </c>
      <c r="C8884">
        <v>0.15</v>
      </c>
    </row>
    <row r="8885" spans="1:3" ht="15" customHeight="1" x14ac:dyDescent="0.25">
      <c r="A8885" t="s">
        <v>11047</v>
      </c>
      <c r="B8885">
        <v>156.6</v>
      </c>
    </row>
    <row r="8886" spans="1:3" ht="15" customHeight="1" x14ac:dyDescent="0.25">
      <c r="A8886" t="s">
        <v>11048</v>
      </c>
      <c r="B8886">
        <v>156.6</v>
      </c>
    </row>
    <row r="8887" spans="1:3" ht="15" customHeight="1" x14ac:dyDescent="0.25">
      <c r="A8887" t="s">
        <v>1400</v>
      </c>
      <c r="B8887">
        <v>24.7</v>
      </c>
      <c r="C8887">
        <v>0.15</v>
      </c>
    </row>
    <row r="8888" spans="1:3" ht="15" customHeight="1" x14ac:dyDescent="0.25">
      <c r="A8888" t="s">
        <v>11049</v>
      </c>
      <c r="B8888">
        <v>24.7</v>
      </c>
      <c r="C8888">
        <v>0.15</v>
      </c>
    </row>
    <row r="8889" spans="1:3" ht="15" customHeight="1" x14ac:dyDescent="0.25">
      <c r="A8889" t="s">
        <v>11050</v>
      </c>
      <c r="B8889">
        <v>174.6</v>
      </c>
      <c r="C8889">
        <v>0.15</v>
      </c>
    </row>
    <row r="8890" spans="1:3" ht="15" customHeight="1" x14ac:dyDescent="0.25">
      <c r="A8890" t="s">
        <v>11051</v>
      </c>
      <c r="B8890">
        <v>206.5</v>
      </c>
      <c r="C8890">
        <v>0.15</v>
      </c>
    </row>
    <row r="8891" spans="1:3" ht="15" customHeight="1" x14ac:dyDescent="0.25">
      <c r="A8891" t="s">
        <v>11052</v>
      </c>
      <c r="B8891">
        <v>17.399999999999999</v>
      </c>
      <c r="C8891">
        <v>0.15</v>
      </c>
    </row>
    <row r="8892" spans="1:3" ht="15" customHeight="1" x14ac:dyDescent="0.25">
      <c r="A8892" t="s">
        <v>11053</v>
      </c>
      <c r="B8892">
        <v>17.399999999999999</v>
      </c>
      <c r="C8892">
        <v>0.15</v>
      </c>
    </row>
    <row r="8893" spans="1:3" ht="15" customHeight="1" x14ac:dyDescent="0.25">
      <c r="A8893" t="s">
        <v>11054</v>
      </c>
      <c r="B8893">
        <v>17.399999999999999</v>
      </c>
      <c r="C8893">
        <v>0.15</v>
      </c>
    </row>
    <row r="8894" spans="1:3" ht="15" customHeight="1" x14ac:dyDescent="0.25">
      <c r="A8894" t="s">
        <v>11055</v>
      </c>
      <c r="B8894">
        <v>17.399999999999999</v>
      </c>
      <c r="C8894">
        <v>0.15</v>
      </c>
    </row>
    <row r="8895" spans="1:3" ht="15" customHeight="1" x14ac:dyDescent="0.25">
      <c r="A8895" t="s">
        <v>11056</v>
      </c>
      <c r="B8895">
        <v>17.399999999999999</v>
      </c>
      <c r="C8895">
        <v>0.15</v>
      </c>
    </row>
    <row r="8896" spans="1:3" ht="15" customHeight="1" x14ac:dyDescent="0.25">
      <c r="A8896" t="s">
        <v>11057</v>
      </c>
      <c r="B8896">
        <v>17.399999999999999</v>
      </c>
      <c r="C8896">
        <v>0.15</v>
      </c>
    </row>
    <row r="8897" spans="1:3" ht="15" customHeight="1" x14ac:dyDescent="0.25">
      <c r="A8897" t="s">
        <v>11058</v>
      </c>
      <c r="B8897">
        <v>7</v>
      </c>
      <c r="C8897">
        <v>0.15</v>
      </c>
    </row>
    <row r="8898" spans="1:3" ht="15" customHeight="1" x14ac:dyDescent="0.25">
      <c r="A8898" t="s">
        <v>11059</v>
      </c>
      <c r="B8898">
        <v>7</v>
      </c>
      <c r="C8898">
        <v>0.15</v>
      </c>
    </row>
    <row r="8899" spans="1:3" ht="15" customHeight="1" x14ac:dyDescent="0.25">
      <c r="A8899" t="s">
        <v>11060</v>
      </c>
      <c r="B8899">
        <v>7</v>
      </c>
      <c r="C8899">
        <v>0.15</v>
      </c>
    </row>
    <row r="8900" spans="1:3" ht="15" customHeight="1" x14ac:dyDescent="0.25">
      <c r="A8900" t="s">
        <v>11061</v>
      </c>
      <c r="B8900">
        <v>19.600000000000001</v>
      </c>
      <c r="C8900">
        <v>0.15</v>
      </c>
    </row>
    <row r="8901" spans="1:3" ht="15" customHeight="1" x14ac:dyDescent="0.25">
      <c r="A8901" t="s">
        <v>11062</v>
      </c>
      <c r="B8901">
        <v>19.600000000000001</v>
      </c>
      <c r="C8901">
        <v>0.15</v>
      </c>
    </row>
    <row r="8902" spans="1:3" ht="15" customHeight="1" x14ac:dyDescent="0.25">
      <c r="A8902" t="s">
        <v>11063</v>
      </c>
      <c r="B8902">
        <v>19.600000000000001</v>
      </c>
      <c r="C8902">
        <v>0.15</v>
      </c>
    </row>
    <row r="8903" spans="1:3" ht="15" customHeight="1" x14ac:dyDescent="0.25">
      <c r="A8903" t="s">
        <v>11064</v>
      </c>
      <c r="B8903">
        <v>19.600000000000001</v>
      </c>
      <c r="C8903">
        <v>0.15</v>
      </c>
    </row>
    <row r="8904" spans="1:3" ht="15" customHeight="1" x14ac:dyDescent="0.25">
      <c r="A8904" t="s">
        <v>11065</v>
      </c>
      <c r="B8904">
        <v>19.600000000000001</v>
      </c>
      <c r="C8904">
        <v>0.15</v>
      </c>
    </row>
    <row r="8905" spans="1:3" ht="15" customHeight="1" x14ac:dyDescent="0.25">
      <c r="A8905" t="s">
        <v>11066</v>
      </c>
      <c r="B8905">
        <v>19.600000000000001</v>
      </c>
      <c r="C8905">
        <v>0.15</v>
      </c>
    </row>
    <row r="8906" spans="1:3" ht="15" customHeight="1" x14ac:dyDescent="0.25">
      <c r="A8906" t="s">
        <v>11067</v>
      </c>
      <c r="B8906">
        <v>14.6</v>
      </c>
      <c r="C8906">
        <v>0.15</v>
      </c>
    </row>
    <row r="8907" spans="1:3" ht="15" customHeight="1" x14ac:dyDescent="0.25">
      <c r="A8907" t="s">
        <v>11068</v>
      </c>
      <c r="B8907">
        <v>14.6</v>
      </c>
      <c r="C8907">
        <v>0.15</v>
      </c>
    </row>
    <row r="8908" spans="1:3" ht="15" customHeight="1" x14ac:dyDescent="0.25">
      <c r="A8908" t="s">
        <v>11069</v>
      </c>
      <c r="B8908">
        <v>14.6</v>
      </c>
      <c r="C8908">
        <v>0.15</v>
      </c>
    </row>
    <row r="8909" spans="1:3" ht="15" customHeight="1" x14ac:dyDescent="0.25">
      <c r="A8909" t="s">
        <v>11070</v>
      </c>
      <c r="B8909">
        <v>14.6</v>
      </c>
      <c r="C8909">
        <v>0.15</v>
      </c>
    </row>
    <row r="8910" spans="1:3" ht="15" customHeight="1" x14ac:dyDescent="0.25">
      <c r="A8910" t="s">
        <v>11071</v>
      </c>
      <c r="B8910">
        <v>14.6</v>
      </c>
      <c r="C8910">
        <v>0.15</v>
      </c>
    </row>
    <row r="8911" spans="1:3" ht="15" customHeight="1" x14ac:dyDescent="0.25">
      <c r="A8911" t="s">
        <v>11072</v>
      </c>
      <c r="B8911">
        <v>14.6</v>
      </c>
      <c r="C8911">
        <v>0.15</v>
      </c>
    </row>
    <row r="8912" spans="1:3" ht="15" customHeight="1" x14ac:dyDescent="0.25">
      <c r="A8912" t="s">
        <v>11073</v>
      </c>
      <c r="B8912">
        <v>5.8</v>
      </c>
      <c r="C8912">
        <v>0.15</v>
      </c>
    </row>
    <row r="8913" spans="1:3" ht="15" customHeight="1" x14ac:dyDescent="0.25">
      <c r="A8913" t="s">
        <v>11074</v>
      </c>
      <c r="B8913">
        <v>5.8</v>
      </c>
      <c r="C8913">
        <v>0.15</v>
      </c>
    </row>
    <row r="8914" spans="1:3" ht="15" customHeight="1" x14ac:dyDescent="0.25">
      <c r="A8914" t="s">
        <v>11075</v>
      </c>
      <c r="B8914">
        <v>5.8</v>
      </c>
      <c r="C8914">
        <v>0.15</v>
      </c>
    </row>
    <row r="8915" spans="1:3" ht="15" customHeight="1" x14ac:dyDescent="0.25">
      <c r="A8915" t="s">
        <v>11076</v>
      </c>
      <c r="B8915">
        <v>5.8</v>
      </c>
      <c r="C8915">
        <v>0.15</v>
      </c>
    </row>
    <row r="8916" spans="1:3" ht="15" customHeight="1" x14ac:dyDescent="0.25">
      <c r="A8916" t="s">
        <v>11077</v>
      </c>
      <c r="B8916">
        <v>5.8</v>
      </c>
      <c r="C8916">
        <v>0.15</v>
      </c>
    </row>
    <row r="8917" spans="1:3" ht="15" customHeight="1" x14ac:dyDescent="0.25">
      <c r="A8917" t="s">
        <v>11078</v>
      </c>
      <c r="B8917">
        <v>5.8</v>
      </c>
      <c r="C8917">
        <v>0.15</v>
      </c>
    </row>
    <row r="8918" spans="1:3" ht="15" customHeight="1" x14ac:dyDescent="0.25">
      <c r="A8918" t="s">
        <v>11079</v>
      </c>
      <c r="B8918">
        <v>5.8</v>
      </c>
      <c r="C8918">
        <v>0.15</v>
      </c>
    </row>
    <row r="8919" spans="1:3" ht="15" customHeight="1" x14ac:dyDescent="0.25">
      <c r="A8919" t="s">
        <v>11080</v>
      </c>
      <c r="B8919">
        <v>5.8</v>
      </c>
      <c r="C8919">
        <v>0.15</v>
      </c>
    </row>
    <row r="8920" spans="1:3" ht="15" customHeight="1" x14ac:dyDescent="0.25">
      <c r="A8920" t="s">
        <v>11081</v>
      </c>
      <c r="B8920">
        <v>5.8</v>
      </c>
      <c r="C8920">
        <v>0.15</v>
      </c>
    </row>
    <row r="8921" spans="1:3" ht="15" customHeight="1" x14ac:dyDescent="0.25">
      <c r="A8921" t="s">
        <v>11082</v>
      </c>
      <c r="B8921">
        <v>5.8</v>
      </c>
      <c r="C8921">
        <v>0.15</v>
      </c>
    </row>
    <row r="8922" spans="1:3" ht="15" customHeight="1" x14ac:dyDescent="0.25">
      <c r="A8922" t="s">
        <v>11083</v>
      </c>
      <c r="B8922">
        <v>27.6</v>
      </c>
      <c r="C8922">
        <v>0.15</v>
      </c>
    </row>
    <row r="8923" spans="1:3" ht="15" customHeight="1" x14ac:dyDescent="0.25">
      <c r="A8923" t="s">
        <v>11084</v>
      </c>
      <c r="B8923">
        <v>27.6</v>
      </c>
      <c r="C8923">
        <v>0.15</v>
      </c>
    </row>
    <row r="8924" spans="1:3" ht="15" customHeight="1" x14ac:dyDescent="0.25">
      <c r="A8924" t="s">
        <v>11085</v>
      </c>
      <c r="B8924">
        <v>27.6</v>
      </c>
      <c r="C8924">
        <v>0.15</v>
      </c>
    </row>
    <row r="8925" spans="1:3" ht="15" customHeight="1" x14ac:dyDescent="0.25">
      <c r="A8925" t="s">
        <v>11086</v>
      </c>
      <c r="B8925">
        <v>14.3</v>
      </c>
      <c r="C8925">
        <v>0.15</v>
      </c>
    </row>
    <row r="8926" spans="1:3" ht="15" customHeight="1" x14ac:dyDescent="0.25">
      <c r="A8926" t="s">
        <v>11087</v>
      </c>
      <c r="B8926">
        <v>14.3</v>
      </c>
      <c r="C8926">
        <v>0.15</v>
      </c>
    </row>
    <row r="8927" spans="1:3" ht="15" customHeight="1" x14ac:dyDescent="0.25">
      <c r="A8927" t="s">
        <v>11088</v>
      </c>
      <c r="B8927">
        <v>14.3</v>
      </c>
      <c r="C8927">
        <v>0.15</v>
      </c>
    </row>
    <row r="8928" spans="1:3" ht="15" customHeight="1" x14ac:dyDescent="0.25">
      <c r="A8928" t="s">
        <v>11089</v>
      </c>
      <c r="B8928">
        <v>14.3</v>
      </c>
      <c r="C8928">
        <v>0.15</v>
      </c>
    </row>
    <row r="8929" spans="1:3" ht="15" customHeight="1" x14ac:dyDescent="0.25">
      <c r="A8929" t="s">
        <v>11090</v>
      </c>
      <c r="B8929">
        <v>14.3</v>
      </c>
      <c r="C8929">
        <v>0.15</v>
      </c>
    </row>
    <row r="8930" spans="1:3" ht="15" customHeight="1" x14ac:dyDescent="0.25">
      <c r="A8930" t="s">
        <v>11091</v>
      </c>
      <c r="B8930">
        <v>20.6</v>
      </c>
      <c r="C8930">
        <v>0.15</v>
      </c>
    </row>
    <row r="8931" spans="1:3" ht="15" customHeight="1" x14ac:dyDescent="0.25">
      <c r="A8931" t="s">
        <v>11092</v>
      </c>
      <c r="B8931">
        <v>20.6</v>
      </c>
      <c r="C8931">
        <v>0.15</v>
      </c>
    </row>
    <row r="8932" spans="1:3" ht="15" customHeight="1" x14ac:dyDescent="0.25">
      <c r="A8932" t="s">
        <v>11093</v>
      </c>
      <c r="B8932">
        <v>20.6</v>
      </c>
      <c r="C8932">
        <v>0.15</v>
      </c>
    </row>
    <row r="8933" spans="1:3" ht="15" customHeight="1" x14ac:dyDescent="0.25">
      <c r="A8933" t="s">
        <v>11094</v>
      </c>
      <c r="B8933">
        <v>20.6</v>
      </c>
      <c r="C8933">
        <v>0.15</v>
      </c>
    </row>
    <row r="8934" spans="1:3" ht="15" customHeight="1" x14ac:dyDescent="0.25">
      <c r="A8934" t="s">
        <v>11095</v>
      </c>
      <c r="B8934">
        <v>20.6</v>
      </c>
      <c r="C8934">
        <v>0.15</v>
      </c>
    </row>
    <row r="8935" spans="1:3" ht="15" customHeight="1" x14ac:dyDescent="0.25">
      <c r="A8935" t="s">
        <v>11096</v>
      </c>
      <c r="B8935">
        <v>31.4</v>
      </c>
      <c r="C8935">
        <v>0.15</v>
      </c>
    </row>
    <row r="8936" spans="1:3" ht="15" customHeight="1" x14ac:dyDescent="0.25">
      <c r="A8936" t="s">
        <v>11097</v>
      </c>
      <c r="B8936">
        <v>31.4</v>
      </c>
      <c r="C8936">
        <v>0.15</v>
      </c>
    </row>
    <row r="8937" spans="1:3" ht="15" customHeight="1" x14ac:dyDescent="0.25">
      <c r="A8937" t="s">
        <v>11098</v>
      </c>
      <c r="B8937">
        <v>31.4</v>
      </c>
      <c r="C8937">
        <v>0.15</v>
      </c>
    </row>
    <row r="8938" spans="1:3" ht="15" customHeight="1" x14ac:dyDescent="0.25">
      <c r="A8938" t="s">
        <v>11099</v>
      </c>
      <c r="B8938">
        <v>13.3</v>
      </c>
      <c r="C8938">
        <v>0.25</v>
      </c>
    </row>
    <row r="8939" spans="1:3" ht="15" customHeight="1" x14ac:dyDescent="0.25">
      <c r="A8939" t="s">
        <v>11100</v>
      </c>
      <c r="B8939">
        <v>13.3</v>
      </c>
      <c r="C8939">
        <v>0.25</v>
      </c>
    </row>
    <row r="8940" spans="1:3" ht="15" customHeight="1" x14ac:dyDescent="0.25">
      <c r="A8940" t="s">
        <v>11101</v>
      </c>
      <c r="B8940">
        <v>13.3</v>
      </c>
      <c r="C8940">
        <v>0.25</v>
      </c>
    </row>
    <row r="8941" spans="1:3" ht="15" customHeight="1" x14ac:dyDescent="0.25">
      <c r="A8941" t="s">
        <v>11102</v>
      </c>
      <c r="B8941">
        <v>13.3</v>
      </c>
      <c r="C8941">
        <v>0.25</v>
      </c>
    </row>
    <row r="8942" spans="1:3" ht="15" customHeight="1" x14ac:dyDescent="0.25">
      <c r="A8942" t="s">
        <v>11103</v>
      </c>
      <c r="B8942">
        <v>7.6</v>
      </c>
      <c r="C8942">
        <v>0.25</v>
      </c>
    </row>
    <row r="8943" spans="1:3" ht="15" customHeight="1" x14ac:dyDescent="0.25">
      <c r="A8943" t="s">
        <v>11104</v>
      </c>
      <c r="B8943">
        <v>7.6</v>
      </c>
    </row>
    <row r="8944" spans="1:3" ht="15" customHeight="1" x14ac:dyDescent="0.25">
      <c r="A8944" t="s">
        <v>11105</v>
      </c>
      <c r="B8944">
        <v>7.6</v>
      </c>
      <c r="C8944">
        <v>0.25</v>
      </c>
    </row>
    <row r="8945" spans="1:3" ht="15" customHeight="1" x14ac:dyDescent="0.25">
      <c r="A8945" t="s">
        <v>11106</v>
      </c>
      <c r="B8945">
        <v>7.6</v>
      </c>
      <c r="C8945">
        <v>0.25</v>
      </c>
    </row>
    <row r="8946" spans="1:3" ht="15" customHeight="1" x14ac:dyDescent="0.25">
      <c r="A8946" t="s">
        <v>11107</v>
      </c>
      <c r="B8946">
        <v>7.6</v>
      </c>
      <c r="C8946">
        <v>0.25</v>
      </c>
    </row>
    <row r="8947" spans="1:3" ht="15" customHeight="1" x14ac:dyDescent="0.25">
      <c r="A8947" t="s">
        <v>11108</v>
      </c>
      <c r="B8947">
        <v>7.6</v>
      </c>
      <c r="C8947">
        <v>0.25</v>
      </c>
    </row>
    <row r="8948" spans="1:3" ht="15" customHeight="1" x14ac:dyDescent="0.25">
      <c r="A8948" t="s">
        <v>11109</v>
      </c>
      <c r="B8948">
        <v>7.5</v>
      </c>
      <c r="C8948">
        <v>0.25</v>
      </c>
    </row>
    <row r="8949" spans="1:3" ht="15" customHeight="1" x14ac:dyDescent="0.25">
      <c r="A8949" t="s">
        <v>11110</v>
      </c>
      <c r="B8949">
        <v>7.5</v>
      </c>
      <c r="C8949">
        <v>0.25</v>
      </c>
    </row>
    <row r="8950" spans="1:3" ht="15" customHeight="1" x14ac:dyDescent="0.25">
      <c r="A8950" t="s">
        <v>11111</v>
      </c>
      <c r="B8950">
        <v>7.5</v>
      </c>
      <c r="C8950">
        <v>0.25</v>
      </c>
    </row>
    <row r="8951" spans="1:3" ht="15" customHeight="1" x14ac:dyDescent="0.25">
      <c r="A8951" t="s">
        <v>11112</v>
      </c>
      <c r="B8951">
        <v>7.5</v>
      </c>
      <c r="C8951">
        <v>0.25</v>
      </c>
    </row>
    <row r="8952" spans="1:3" ht="15" customHeight="1" x14ac:dyDescent="0.25">
      <c r="A8952" t="s">
        <v>11113</v>
      </c>
      <c r="B8952">
        <v>7.5</v>
      </c>
      <c r="C8952">
        <v>0.25</v>
      </c>
    </row>
    <row r="8953" spans="1:3" ht="15" customHeight="1" x14ac:dyDescent="0.25">
      <c r="A8953" t="s">
        <v>11114</v>
      </c>
      <c r="B8953">
        <v>7.5</v>
      </c>
      <c r="C8953">
        <v>0.25</v>
      </c>
    </row>
    <row r="8954" spans="1:3" ht="15" customHeight="1" x14ac:dyDescent="0.25">
      <c r="A8954" t="s">
        <v>11115</v>
      </c>
      <c r="B8954">
        <v>7.6</v>
      </c>
      <c r="C8954">
        <v>0.25</v>
      </c>
    </row>
    <row r="8955" spans="1:3" ht="15" customHeight="1" x14ac:dyDescent="0.25">
      <c r="A8955" t="s">
        <v>11116</v>
      </c>
      <c r="B8955">
        <v>7.6</v>
      </c>
    </row>
    <row r="8956" spans="1:3" ht="15" customHeight="1" x14ac:dyDescent="0.25">
      <c r="A8956" t="s">
        <v>11117</v>
      </c>
      <c r="B8956">
        <v>7.6</v>
      </c>
    </row>
    <row r="8957" spans="1:3" ht="15" customHeight="1" x14ac:dyDescent="0.25">
      <c r="A8957" t="s">
        <v>11118</v>
      </c>
      <c r="B8957">
        <v>7.6</v>
      </c>
      <c r="C8957">
        <v>0.25</v>
      </c>
    </row>
    <row r="8958" spans="1:3" ht="15" customHeight="1" x14ac:dyDescent="0.25">
      <c r="A8958" t="s">
        <v>11119</v>
      </c>
      <c r="B8958">
        <v>7.6</v>
      </c>
      <c r="C8958">
        <v>0.25</v>
      </c>
    </row>
    <row r="8959" spans="1:3" ht="15" customHeight="1" x14ac:dyDescent="0.25">
      <c r="A8959" t="s">
        <v>11120</v>
      </c>
      <c r="B8959">
        <v>14.9</v>
      </c>
    </row>
    <row r="8960" spans="1:3" ht="15" customHeight="1" x14ac:dyDescent="0.25">
      <c r="A8960" t="s">
        <v>11121</v>
      </c>
      <c r="B8960">
        <v>14.9</v>
      </c>
    </row>
    <row r="8961" spans="1:2" ht="15" customHeight="1" x14ac:dyDescent="0.25">
      <c r="A8961" t="s">
        <v>11122</v>
      </c>
      <c r="B8961">
        <v>14.9</v>
      </c>
    </row>
    <row r="8962" spans="1:2" ht="15" customHeight="1" x14ac:dyDescent="0.25">
      <c r="A8962" t="s">
        <v>11123</v>
      </c>
      <c r="B8962">
        <v>14.9</v>
      </c>
    </row>
    <row r="8963" spans="1:2" ht="15" customHeight="1" x14ac:dyDescent="0.25">
      <c r="A8963" t="s">
        <v>11124</v>
      </c>
      <c r="B8963">
        <v>14.9</v>
      </c>
    </row>
    <row r="8964" spans="1:2" ht="15" customHeight="1" x14ac:dyDescent="0.25">
      <c r="A8964" t="s">
        <v>11125</v>
      </c>
      <c r="B8964">
        <v>14.9</v>
      </c>
    </row>
    <row r="8965" spans="1:2" ht="15" customHeight="1" x14ac:dyDescent="0.25">
      <c r="A8965" t="s">
        <v>11126</v>
      </c>
      <c r="B8965">
        <v>14.9</v>
      </c>
    </row>
    <row r="8966" spans="1:2" ht="15" customHeight="1" x14ac:dyDescent="0.25">
      <c r="A8966" t="s">
        <v>11127</v>
      </c>
      <c r="B8966">
        <v>14.9</v>
      </c>
    </row>
    <row r="8967" spans="1:2" ht="15" customHeight="1" x14ac:dyDescent="0.25">
      <c r="A8967" t="s">
        <v>11128</v>
      </c>
      <c r="B8967">
        <v>14.9</v>
      </c>
    </row>
    <row r="8968" spans="1:2" ht="15" customHeight="1" x14ac:dyDescent="0.25">
      <c r="A8968" t="s">
        <v>11129</v>
      </c>
      <c r="B8968">
        <v>14.9</v>
      </c>
    </row>
    <row r="8969" spans="1:2" ht="15" customHeight="1" x14ac:dyDescent="0.25">
      <c r="A8969" t="s">
        <v>11130</v>
      </c>
      <c r="B8969">
        <v>14.9</v>
      </c>
    </row>
    <row r="8970" spans="1:2" ht="15" customHeight="1" x14ac:dyDescent="0.25">
      <c r="A8970" t="s">
        <v>11131</v>
      </c>
      <c r="B8970">
        <v>14.9</v>
      </c>
    </row>
    <row r="8971" spans="1:2" ht="15" customHeight="1" x14ac:dyDescent="0.25">
      <c r="A8971" t="s">
        <v>11132</v>
      </c>
      <c r="B8971">
        <v>14.9</v>
      </c>
    </row>
    <row r="8972" spans="1:2" ht="15" customHeight="1" x14ac:dyDescent="0.25">
      <c r="A8972" t="s">
        <v>11133</v>
      </c>
      <c r="B8972">
        <v>14.9</v>
      </c>
    </row>
    <row r="8973" spans="1:2" ht="15" customHeight="1" x14ac:dyDescent="0.25">
      <c r="A8973" t="s">
        <v>11134</v>
      </c>
      <c r="B8973">
        <v>14.9</v>
      </c>
    </row>
    <row r="8974" spans="1:2" ht="15" customHeight="1" x14ac:dyDescent="0.25">
      <c r="A8974" t="s">
        <v>11135</v>
      </c>
      <c r="B8974">
        <v>14.9</v>
      </c>
    </row>
    <row r="8975" spans="1:2" ht="15" customHeight="1" x14ac:dyDescent="0.25">
      <c r="A8975" t="s">
        <v>11136</v>
      </c>
      <c r="B8975">
        <v>14.9</v>
      </c>
    </row>
    <row r="8976" spans="1:2" ht="15" customHeight="1" x14ac:dyDescent="0.25">
      <c r="A8976" t="s">
        <v>11137</v>
      </c>
      <c r="B8976">
        <v>14.9</v>
      </c>
    </row>
    <row r="8977" spans="1:3" ht="15" customHeight="1" x14ac:dyDescent="0.25">
      <c r="A8977" t="s">
        <v>11138</v>
      </c>
      <c r="B8977">
        <v>14.9</v>
      </c>
    </row>
    <row r="8978" spans="1:3" ht="15" customHeight="1" x14ac:dyDescent="0.25">
      <c r="A8978" t="s">
        <v>11139</v>
      </c>
      <c r="B8978">
        <v>14.9</v>
      </c>
    </row>
    <row r="8979" spans="1:3" ht="15" customHeight="1" x14ac:dyDescent="0.25">
      <c r="A8979" t="s">
        <v>11140</v>
      </c>
      <c r="B8979">
        <v>14.9</v>
      </c>
    </row>
    <row r="8980" spans="1:3" ht="15" customHeight="1" x14ac:dyDescent="0.25">
      <c r="A8980" t="s">
        <v>11141</v>
      </c>
      <c r="B8980">
        <v>14.9</v>
      </c>
      <c r="C8980">
        <v>0.25</v>
      </c>
    </row>
    <row r="8981" spans="1:3" ht="15" customHeight="1" x14ac:dyDescent="0.25">
      <c r="A8981" t="s">
        <v>11142</v>
      </c>
      <c r="B8981">
        <v>14.9</v>
      </c>
      <c r="C8981">
        <v>0.25</v>
      </c>
    </row>
    <row r="8982" spans="1:3" ht="15" customHeight="1" x14ac:dyDescent="0.25">
      <c r="A8982" t="s">
        <v>11143</v>
      </c>
      <c r="B8982">
        <v>14.9</v>
      </c>
      <c r="C8982">
        <v>0.25</v>
      </c>
    </row>
    <row r="8983" spans="1:3" ht="15" customHeight="1" x14ac:dyDescent="0.25">
      <c r="A8983" t="s">
        <v>11144</v>
      </c>
      <c r="B8983">
        <v>14.9</v>
      </c>
      <c r="C8983">
        <v>0.25</v>
      </c>
    </row>
    <row r="8984" spans="1:3" ht="15" customHeight="1" x14ac:dyDescent="0.25">
      <c r="A8984" t="s">
        <v>11145</v>
      </c>
      <c r="B8984">
        <v>16.3</v>
      </c>
    </row>
    <row r="8985" spans="1:3" ht="15" customHeight="1" x14ac:dyDescent="0.25">
      <c r="A8985" t="s">
        <v>11146</v>
      </c>
      <c r="B8985">
        <v>18.399999999999999</v>
      </c>
    </row>
    <row r="8986" spans="1:3" ht="15" customHeight="1" x14ac:dyDescent="0.25">
      <c r="A8986" t="s">
        <v>11147</v>
      </c>
      <c r="B8986">
        <v>13.3</v>
      </c>
    </row>
    <row r="8987" spans="1:3" ht="15" customHeight="1" x14ac:dyDescent="0.25">
      <c r="A8987" t="s">
        <v>11148</v>
      </c>
      <c r="B8987">
        <v>9.8000000000000007</v>
      </c>
    </row>
    <row r="8988" spans="1:3" ht="15" customHeight="1" x14ac:dyDescent="0.25">
      <c r="A8988" t="s">
        <v>11149</v>
      </c>
      <c r="B8988">
        <v>9.8000000000000007</v>
      </c>
    </row>
    <row r="8989" spans="1:3" ht="15" customHeight="1" x14ac:dyDescent="0.25">
      <c r="A8989" t="s">
        <v>11150</v>
      </c>
      <c r="B8989">
        <v>9.8000000000000007</v>
      </c>
      <c r="C8989">
        <v>0.25</v>
      </c>
    </row>
    <row r="8990" spans="1:3" ht="15" customHeight="1" x14ac:dyDescent="0.25">
      <c r="A8990" t="s">
        <v>11151</v>
      </c>
      <c r="B8990">
        <v>9.8000000000000007</v>
      </c>
      <c r="C8990">
        <v>0.25</v>
      </c>
    </row>
    <row r="8991" spans="1:3" ht="15" customHeight="1" x14ac:dyDescent="0.25">
      <c r="A8991" t="s">
        <v>11152</v>
      </c>
      <c r="B8991">
        <v>28.1</v>
      </c>
      <c r="C8991">
        <v>0.25</v>
      </c>
    </row>
    <row r="8992" spans="1:3" ht="15" customHeight="1" x14ac:dyDescent="0.25">
      <c r="A8992" t="s">
        <v>11153</v>
      </c>
      <c r="B8992">
        <v>21.9</v>
      </c>
      <c r="C8992">
        <v>0.25</v>
      </c>
    </row>
    <row r="8993" spans="1:3" ht="15" customHeight="1" x14ac:dyDescent="0.25">
      <c r="A8993" t="s">
        <v>11154</v>
      </c>
      <c r="B8993">
        <v>9.1</v>
      </c>
    </row>
    <row r="8994" spans="1:3" ht="15" customHeight="1" x14ac:dyDescent="0.25">
      <c r="A8994" t="s">
        <v>11155</v>
      </c>
      <c r="B8994">
        <v>9.1</v>
      </c>
      <c r="C8994">
        <v>0.25</v>
      </c>
    </row>
    <row r="8995" spans="1:3" ht="15" customHeight="1" x14ac:dyDescent="0.25">
      <c r="A8995" t="s">
        <v>11156</v>
      </c>
      <c r="B8995">
        <v>9.1</v>
      </c>
    </row>
    <row r="8996" spans="1:3" ht="15" customHeight="1" x14ac:dyDescent="0.25">
      <c r="A8996" t="s">
        <v>11157</v>
      </c>
      <c r="B8996">
        <v>9.1</v>
      </c>
    </row>
    <row r="8997" spans="1:3" ht="15" customHeight="1" x14ac:dyDescent="0.25">
      <c r="A8997" t="s">
        <v>11158</v>
      </c>
      <c r="B8997">
        <v>9.1</v>
      </c>
      <c r="C8997">
        <v>0.25</v>
      </c>
    </row>
    <row r="8998" spans="1:3" ht="15" customHeight="1" x14ac:dyDescent="0.25">
      <c r="A8998" t="s">
        <v>11159</v>
      </c>
      <c r="B8998">
        <v>9.1</v>
      </c>
    </row>
    <row r="8999" spans="1:3" ht="15" customHeight="1" x14ac:dyDescent="0.25">
      <c r="A8999" t="s">
        <v>11160</v>
      </c>
      <c r="B8999">
        <v>9.1</v>
      </c>
      <c r="C8999">
        <v>0.25</v>
      </c>
    </row>
    <row r="9000" spans="1:3" ht="15" customHeight="1" x14ac:dyDescent="0.25">
      <c r="A9000" t="s">
        <v>11161</v>
      </c>
      <c r="B9000">
        <v>9.1</v>
      </c>
    </row>
    <row r="9001" spans="1:3" ht="15" customHeight="1" x14ac:dyDescent="0.25">
      <c r="A9001" t="s">
        <v>11162</v>
      </c>
      <c r="B9001">
        <v>9.1</v>
      </c>
      <c r="C9001">
        <v>0.25</v>
      </c>
    </row>
    <row r="9002" spans="1:3" ht="15" customHeight="1" x14ac:dyDescent="0.25">
      <c r="A9002" t="s">
        <v>11163</v>
      </c>
      <c r="B9002">
        <v>9.1</v>
      </c>
      <c r="C9002">
        <v>0.25</v>
      </c>
    </row>
    <row r="9003" spans="1:3" ht="15" customHeight="1" x14ac:dyDescent="0.25">
      <c r="A9003" t="s">
        <v>11164</v>
      </c>
      <c r="B9003">
        <v>9.1</v>
      </c>
      <c r="C9003">
        <v>0.25</v>
      </c>
    </row>
    <row r="9004" spans="1:3" ht="15" customHeight="1" x14ac:dyDescent="0.25">
      <c r="A9004" t="s">
        <v>11165</v>
      </c>
      <c r="B9004">
        <v>9.1</v>
      </c>
      <c r="C9004">
        <v>0.25</v>
      </c>
    </row>
    <row r="9005" spans="1:3" ht="15" customHeight="1" x14ac:dyDescent="0.25">
      <c r="A9005" t="s">
        <v>11166</v>
      </c>
      <c r="B9005">
        <v>9.1</v>
      </c>
      <c r="C9005">
        <v>0.25</v>
      </c>
    </row>
    <row r="9006" spans="1:3" ht="15" customHeight="1" x14ac:dyDescent="0.25">
      <c r="A9006" t="s">
        <v>11167</v>
      </c>
      <c r="B9006">
        <v>9.1</v>
      </c>
      <c r="C9006">
        <v>0.25</v>
      </c>
    </row>
    <row r="9007" spans="1:3" ht="15" customHeight="1" x14ac:dyDescent="0.25">
      <c r="A9007" t="s">
        <v>11168</v>
      </c>
      <c r="B9007">
        <v>9.1</v>
      </c>
    </row>
    <row r="9008" spans="1:3" ht="15" customHeight="1" x14ac:dyDescent="0.25">
      <c r="A9008" t="s">
        <v>11169</v>
      </c>
      <c r="B9008">
        <v>9.1</v>
      </c>
    </row>
    <row r="9009" spans="1:3" ht="15" customHeight="1" x14ac:dyDescent="0.25">
      <c r="A9009" t="s">
        <v>11170</v>
      </c>
      <c r="B9009">
        <v>9.1</v>
      </c>
    </row>
    <row r="9010" spans="1:3" ht="15" customHeight="1" x14ac:dyDescent="0.25">
      <c r="A9010" t="s">
        <v>11171</v>
      </c>
      <c r="B9010">
        <v>9.1</v>
      </c>
    </row>
    <row r="9011" spans="1:3" ht="15" customHeight="1" x14ac:dyDescent="0.25">
      <c r="A9011" t="s">
        <v>11172</v>
      </c>
      <c r="B9011">
        <v>9.1</v>
      </c>
    </row>
    <row r="9012" spans="1:3" ht="15" customHeight="1" x14ac:dyDescent="0.25">
      <c r="A9012" t="s">
        <v>11173</v>
      </c>
      <c r="B9012">
        <v>9.1</v>
      </c>
    </row>
    <row r="9013" spans="1:3" ht="15" customHeight="1" x14ac:dyDescent="0.25">
      <c r="A9013" t="s">
        <v>11174</v>
      </c>
      <c r="B9013">
        <v>9.1</v>
      </c>
    </row>
    <row r="9014" spans="1:3" ht="15" customHeight="1" x14ac:dyDescent="0.25">
      <c r="A9014" t="s">
        <v>11175</v>
      </c>
      <c r="B9014">
        <v>9.1</v>
      </c>
    </row>
    <row r="9015" spans="1:3" ht="15" customHeight="1" x14ac:dyDescent="0.25">
      <c r="A9015" t="s">
        <v>11176</v>
      </c>
      <c r="B9015">
        <v>9.1</v>
      </c>
    </row>
    <row r="9016" spans="1:3" ht="15" customHeight="1" x14ac:dyDescent="0.25">
      <c r="A9016" t="s">
        <v>11177</v>
      </c>
      <c r="B9016">
        <v>9.1</v>
      </c>
    </row>
    <row r="9017" spans="1:3" ht="15" customHeight="1" x14ac:dyDescent="0.25">
      <c r="A9017" t="s">
        <v>11178</v>
      </c>
      <c r="B9017">
        <v>9.1</v>
      </c>
    </row>
    <row r="9018" spans="1:3" ht="15" customHeight="1" x14ac:dyDescent="0.25">
      <c r="A9018" t="s">
        <v>11179</v>
      </c>
      <c r="B9018">
        <v>9.1</v>
      </c>
    </row>
    <row r="9019" spans="1:3" ht="15" customHeight="1" x14ac:dyDescent="0.25">
      <c r="A9019" t="s">
        <v>11180</v>
      </c>
      <c r="B9019">
        <v>9.1</v>
      </c>
    </row>
    <row r="9020" spans="1:3" ht="15" customHeight="1" x14ac:dyDescent="0.25">
      <c r="A9020" t="s">
        <v>11181</v>
      </c>
      <c r="B9020">
        <v>9.1</v>
      </c>
    </row>
    <row r="9021" spans="1:3" ht="15" customHeight="1" x14ac:dyDescent="0.25">
      <c r="A9021" t="s">
        <v>11182</v>
      </c>
      <c r="B9021">
        <v>20.3</v>
      </c>
      <c r="C9021">
        <v>0.25</v>
      </c>
    </row>
    <row r="9022" spans="1:3" ht="15" customHeight="1" x14ac:dyDescent="0.25">
      <c r="A9022" t="s">
        <v>11183</v>
      </c>
      <c r="B9022">
        <v>20.3</v>
      </c>
      <c r="C9022">
        <v>0.25</v>
      </c>
    </row>
    <row r="9023" spans="1:3" ht="15" customHeight="1" x14ac:dyDescent="0.25">
      <c r="A9023" t="s">
        <v>11184</v>
      </c>
      <c r="B9023">
        <v>18.3</v>
      </c>
      <c r="C9023">
        <v>0.25</v>
      </c>
    </row>
    <row r="9024" spans="1:3" ht="15" customHeight="1" x14ac:dyDescent="0.25">
      <c r="A9024" t="s">
        <v>11185</v>
      </c>
      <c r="B9024">
        <v>7.1</v>
      </c>
    </row>
    <row r="9025" spans="1:3" ht="15" customHeight="1" x14ac:dyDescent="0.25">
      <c r="A9025" t="s">
        <v>11186</v>
      </c>
      <c r="B9025">
        <v>7.1</v>
      </c>
    </row>
    <row r="9026" spans="1:3" ht="15" customHeight="1" x14ac:dyDescent="0.25">
      <c r="A9026" t="s">
        <v>11187</v>
      </c>
      <c r="B9026">
        <v>7.1</v>
      </c>
    </row>
    <row r="9027" spans="1:3" ht="15" customHeight="1" x14ac:dyDescent="0.25">
      <c r="A9027" t="s">
        <v>11188</v>
      </c>
      <c r="B9027">
        <v>7.1</v>
      </c>
    </row>
    <row r="9028" spans="1:3" ht="15" customHeight="1" x14ac:dyDescent="0.25">
      <c r="A9028" t="s">
        <v>11189</v>
      </c>
      <c r="B9028">
        <v>7.1</v>
      </c>
    </row>
    <row r="9029" spans="1:3" ht="15" customHeight="1" x14ac:dyDescent="0.25">
      <c r="A9029" t="s">
        <v>11190</v>
      </c>
      <c r="B9029">
        <v>7.1</v>
      </c>
    </row>
    <row r="9030" spans="1:3" ht="15" customHeight="1" x14ac:dyDescent="0.25">
      <c r="A9030" t="s">
        <v>11191</v>
      </c>
      <c r="B9030">
        <v>7.1</v>
      </c>
    </row>
    <row r="9031" spans="1:3" ht="15" customHeight="1" x14ac:dyDescent="0.25">
      <c r="A9031" t="s">
        <v>11192</v>
      </c>
      <c r="B9031">
        <v>7.1</v>
      </c>
      <c r="C9031">
        <v>0.25</v>
      </c>
    </row>
    <row r="9032" spans="1:3" ht="15" customHeight="1" x14ac:dyDescent="0.25">
      <c r="A9032" t="s">
        <v>11193</v>
      </c>
      <c r="B9032">
        <v>7.1</v>
      </c>
    </row>
    <row r="9033" spans="1:3" ht="15" customHeight="1" x14ac:dyDescent="0.25">
      <c r="A9033" t="s">
        <v>11194</v>
      </c>
      <c r="B9033">
        <v>7.1</v>
      </c>
    </row>
    <row r="9034" spans="1:3" ht="15" customHeight="1" x14ac:dyDescent="0.25">
      <c r="A9034" t="s">
        <v>11195</v>
      </c>
      <c r="B9034">
        <v>7.1</v>
      </c>
    </row>
    <row r="9035" spans="1:3" ht="15" customHeight="1" x14ac:dyDescent="0.25">
      <c r="A9035" t="s">
        <v>11196</v>
      </c>
      <c r="B9035">
        <v>7.1</v>
      </c>
    </row>
    <row r="9036" spans="1:3" ht="15" customHeight="1" x14ac:dyDescent="0.25">
      <c r="A9036" t="s">
        <v>11197</v>
      </c>
      <c r="B9036">
        <v>6.2</v>
      </c>
    </row>
    <row r="9037" spans="1:3" ht="15" customHeight="1" x14ac:dyDescent="0.25">
      <c r="A9037" t="s">
        <v>11198</v>
      </c>
      <c r="B9037">
        <v>6.2</v>
      </c>
      <c r="C9037">
        <v>0.25</v>
      </c>
    </row>
    <row r="9038" spans="1:3" ht="15" customHeight="1" x14ac:dyDescent="0.25">
      <c r="A9038" t="s">
        <v>11199</v>
      </c>
      <c r="B9038">
        <v>6.2</v>
      </c>
    </row>
    <row r="9039" spans="1:3" ht="15" customHeight="1" x14ac:dyDescent="0.25">
      <c r="A9039" t="s">
        <v>11200</v>
      </c>
      <c r="B9039">
        <v>6.2</v>
      </c>
    </row>
    <row r="9040" spans="1:3" ht="15" customHeight="1" x14ac:dyDescent="0.25">
      <c r="A9040" t="s">
        <v>11201</v>
      </c>
      <c r="B9040">
        <v>6.2</v>
      </c>
    </row>
    <row r="9041" spans="1:3" ht="15" customHeight="1" x14ac:dyDescent="0.25">
      <c r="A9041" t="s">
        <v>11202</v>
      </c>
      <c r="B9041">
        <v>6.2</v>
      </c>
    </row>
    <row r="9042" spans="1:3" ht="15" customHeight="1" x14ac:dyDescent="0.25">
      <c r="A9042" t="s">
        <v>11203</v>
      </c>
      <c r="B9042">
        <v>6.2</v>
      </c>
    </row>
    <row r="9043" spans="1:3" ht="15" customHeight="1" x14ac:dyDescent="0.25">
      <c r="A9043" t="s">
        <v>11204</v>
      </c>
      <c r="B9043">
        <v>6.2</v>
      </c>
    </row>
    <row r="9044" spans="1:3" ht="15" customHeight="1" x14ac:dyDescent="0.25">
      <c r="A9044" t="s">
        <v>11205</v>
      </c>
      <c r="B9044">
        <v>6.2</v>
      </c>
    </row>
    <row r="9045" spans="1:3" ht="15" customHeight="1" x14ac:dyDescent="0.25">
      <c r="A9045" t="s">
        <v>11206</v>
      </c>
      <c r="B9045">
        <v>6.2</v>
      </c>
    </row>
    <row r="9046" spans="1:3" ht="15" customHeight="1" x14ac:dyDescent="0.25">
      <c r="A9046" t="s">
        <v>11207</v>
      </c>
      <c r="B9046">
        <v>6.2</v>
      </c>
    </row>
    <row r="9047" spans="1:3" ht="15" customHeight="1" x14ac:dyDescent="0.25">
      <c r="A9047" t="s">
        <v>11208</v>
      </c>
      <c r="B9047">
        <v>6.2</v>
      </c>
    </row>
    <row r="9048" spans="1:3" ht="15" customHeight="1" x14ac:dyDescent="0.25">
      <c r="A9048" t="s">
        <v>11209</v>
      </c>
      <c r="B9048">
        <v>6.2</v>
      </c>
    </row>
    <row r="9049" spans="1:3" ht="15" customHeight="1" x14ac:dyDescent="0.25">
      <c r="A9049" t="s">
        <v>11210</v>
      </c>
      <c r="B9049">
        <v>6.2</v>
      </c>
    </row>
    <row r="9050" spans="1:3" ht="15" customHeight="1" x14ac:dyDescent="0.25">
      <c r="A9050" t="s">
        <v>11211</v>
      </c>
      <c r="B9050">
        <v>6.2</v>
      </c>
    </row>
    <row r="9051" spans="1:3" ht="15" customHeight="1" x14ac:dyDescent="0.25">
      <c r="A9051" t="s">
        <v>11212</v>
      </c>
      <c r="B9051">
        <v>6.2</v>
      </c>
    </row>
    <row r="9052" spans="1:3" ht="15" customHeight="1" x14ac:dyDescent="0.25">
      <c r="A9052" t="s">
        <v>11213</v>
      </c>
      <c r="B9052">
        <v>6.2</v>
      </c>
      <c r="C9052">
        <v>0.25</v>
      </c>
    </row>
    <row r="9053" spans="1:3" ht="15" customHeight="1" x14ac:dyDescent="0.25">
      <c r="A9053" t="s">
        <v>11214</v>
      </c>
      <c r="B9053">
        <v>6.2</v>
      </c>
    </row>
    <row r="9054" spans="1:3" ht="15" customHeight="1" x14ac:dyDescent="0.25">
      <c r="A9054" t="s">
        <v>11215</v>
      </c>
      <c r="B9054">
        <v>91.8</v>
      </c>
      <c r="C9054">
        <v>0.3</v>
      </c>
    </row>
    <row r="9055" spans="1:3" ht="15" customHeight="1" x14ac:dyDescent="0.25">
      <c r="A9055" t="s">
        <v>11216</v>
      </c>
      <c r="B9055">
        <v>91.8</v>
      </c>
    </row>
    <row r="9056" spans="1:3" ht="15" customHeight="1" x14ac:dyDescent="0.25">
      <c r="A9056" t="s">
        <v>11217</v>
      </c>
      <c r="B9056">
        <v>91.8</v>
      </c>
    </row>
    <row r="9057" spans="1:2" ht="15" customHeight="1" x14ac:dyDescent="0.25">
      <c r="A9057" t="s">
        <v>11218</v>
      </c>
      <c r="B9057">
        <v>56.9</v>
      </c>
    </row>
    <row r="9058" spans="1:2" ht="15" customHeight="1" x14ac:dyDescent="0.25">
      <c r="A9058" t="s">
        <v>11219</v>
      </c>
      <c r="B9058">
        <v>56.9</v>
      </c>
    </row>
    <row r="9059" spans="1:2" ht="15" customHeight="1" x14ac:dyDescent="0.25">
      <c r="A9059" t="s">
        <v>11220</v>
      </c>
      <c r="B9059">
        <v>56.9</v>
      </c>
    </row>
    <row r="9060" spans="1:2" ht="15" customHeight="1" x14ac:dyDescent="0.25">
      <c r="A9060" t="s">
        <v>11221</v>
      </c>
      <c r="B9060">
        <v>56.9</v>
      </c>
    </row>
    <row r="9061" spans="1:2" ht="15" customHeight="1" x14ac:dyDescent="0.25">
      <c r="A9061" t="s">
        <v>11222</v>
      </c>
      <c r="B9061">
        <v>175.8</v>
      </c>
    </row>
    <row r="9062" spans="1:2" ht="15" customHeight="1" x14ac:dyDescent="0.25">
      <c r="A9062" t="s">
        <v>11223</v>
      </c>
      <c r="B9062">
        <v>175.8</v>
      </c>
    </row>
    <row r="9063" spans="1:2" ht="15" customHeight="1" x14ac:dyDescent="0.25">
      <c r="A9063" t="s">
        <v>11224</v>
      </c>
      <c r="B9063">
        <v>175.8</v>
      </c>
    </row>
    <row r="9064" spans="1:2" ht="15" customHeight="1" x14ac:dyDescent="0.25">
      <c r="A9064" t="s">
        <v>11225</v>
      </c>
      <c r="B9064">
        <v>175.8</v>
      </c>
    </row>
    <row r="9065" spans="1:2" ht="15" customHeight="1" x14ac:dyDescent="0.25">
      <c r="A9065" t="s">
        <v>11226</v>
      </c>
      <c r="B9065">
        <v>175.8</v>
      </c>
    </row>
    <row r="9066" spans="1:2" ht="15" customHeight="1" x14ac:dyDescent="0.25">
      <c r="A9066" t="s">
        <v>11227</v>
      </c>
      <c r="B9066">
        <v>175.8</v>
      </c>
    </row>
    <row r="9067" spans="1:2" ht="15" customHeight="1" x14ac:dyDescent="0.25">
      <c r="A9067" t="s">
        <v>11228</v>
      </c>
      <c r="B9067">
        <v>175.8</v>
      </c>
    </row>
    <row r="9068" spans="1:2" ht="15" customHeight="1" x14ac:dyDescent="0.25">
      <c r="A9068" t="s">
        <v>11229</v>
      </c>
      <c r="B9068">
        <v>175.8</v>
      </c>
    </row>
    <row r="9069" spans="1:2" ht="15" customHeight="1" x14ac:dyDescent="0.25">
      <c r="A9069" t="s">
        <v>11230</v>
      </c>
      <c r="B9069">
        <v>175.8</v>
      </c>
    </row>
    <row r="9070" spans="1:2" ht="15" customHeight="1" x14ac:dyDescent="0.25">
      <c r="A9070" t="s">
        <v>11231</v>
      </c>
      <c r="B9070">
        <v>175.8</v>
      </c>
    </row>
    <row r="9071" spans="1:2" ht="15" customHeight="1" x14ac:dyDescent="0.25">
      <c r="A9071" t="s">
        <v>11232</v>
      </c>
      <c r="B9071">
        <v>175.8</v>
      </c>
    </row>
    <row r="9072" spans="1:2" ht="15" customHeight="1" x14ac:dyDescent="0.25">
      <c r="A9072" t="s">
        <v>11233</v>
      </c>
      <c r="B9072">
        <v>175.8</v>
      </c>
    </row>
    <row r="9073" spans="1:2" ht="15" customHeight="1" x14ac:dyDescent="0.25">
      <c r="A9073" t="s">
        <v>11234</v>
      </c>
      <c r="B9073">
        <v>159</v>
      </c>
    </row>
    <row r="9074" spans="1:2" ht="15" customHeight="1" x14ac:dyDescent="0.25">
      <c r="A9074" t="s">
        <v>11235</v>
      </c>
      <c r="B9074">
        <v>159</v>
      </c>
    </row>
    <row r="9075" spans="1:2" ht="15" customHeight="1" x14ac:dyDescent="0.25">
      <c r="A9075" t="s">
        <v>11236</v>
      </c>
      <c r="B9075">
        <v>175.8</v>
      </c>
    </row>
    <row r="9076" spans="1:2" ht="15" customHeight="1" x14ac:dyDescent="0.25">
      <c r="A9076" t="s">
        <v>11237</v>
      </c>
      <c r="B9076">
        <v>175.8</v>
      </c>
    </row>
    <row r="9077" spans="1:2" ht="15" customHeight="1" x14ac:dyDescent="0.25">
      <c r="A9077" t="s">
        <v>11238</v>
      </c>
      <c r="B9077">
        <v>175.8</v>
      </c>
    </row>
    <row r="9078" spans="1:2" ht="15" customHeight="1" x14ac:dyDescent="0.25">
      <c r="A9078" t="s">
        <v>11239</v>
      </c>
      <c r="B9078">
        <v>175.8</v>
      </c>
    </row>
    <row r="9079" spans="1:2" ht="15" customHeight="1" x14ac:dyDescent="0.25">
      <c r="A9079" t="s">
        <v>11240</v>
      </c>
      <c r="B9079">
        <v>175.8</v>
      </c>
    </row>
    <row r="9080" spans="1:2" ht="15" customHeight="1" x14ac:dyDescent="0.25">
      <c r="A9080" t="s">
        <v>11241</v>
      </c>
      <c r="B9080">
        <v>175.8</v>
      </c>
    </row>
    <row r="9081" spans="1:2" ht="15" customHeight="1" x14ac:dyDescent="0.25">
      <c r="A9081" t="s">
        <v>11242</v>
      </c>
      <c r="B9081">
        <v>175.8</v>
      </c>
    </row>
    <row r="9082" spans="1:2" ht="15" customHeight="1" x14ac:dyDescent="0.25">
      <c r="A9082" t="s">
        <v>11243</v>
      </c>
      <c r="B9082">
        <v>175.8</v>
      </c>
    </row>
    <row r="9083" spans="1:2" ht="15" customHeight="1" x14ac:dyDescent="0.25">
      <c r="A9083" t="s">
        <v>11244</v>
      </c>
      <c r="B9083">
        <v>175.8</v>
      </c>
    </row>
    <row r="9084" spans="1:2" ht="15" customHeight="1" x14ac:dyDescent="0.25">
      <c r="A9084" t="s">
        <v>11245</v>
      </c>
      <c r="B9084">
        <v>175.8</v>
      </c>
    </row>
    <row r="9085" spans="1:2" ht="15" customHeight="1" x14ac:dyDescent="0.25">
      <c r="A9085" t="s">
        <v>11246</v>
      </c>
      <c r="B9085">
        <v>175.8</v>
      </c>
    </row>
    <row r="9086" spans="1:2" ht="15" customHeight="1" x14ac:dyDescent="0.25">
      <c r="A9086" t="s">
        <v>11247</v>
      </c>
      <c r="B9086">
        <v>175.8</v>
      </c>
    </row>
    <row r="9087" spans="1:2" ht="15" customHeight="1" x14ac:dyDescent="0.25">
      <c r="A9087" t="s">
        <v>11248</v>
      </c>
      <c r="B9087">
        <v>175.8</v>
      </c>
    </row>
    <row r="9088" spans="1:2" ht="15" customHeight="1" x14ac:dyDescent="0.25">
      <c r="A9088" t="s">
        <v>11249</v>
      </c>
      <c r="B9088">
        <v>175.8</v>
      </c>
    </row>
    <row r="9089" spans="1:3" ht="15" customHeight="1" x14ac:dyDescent="0.25">
      <c r="A9089" t="s">
        <v>11250</v>
      </c>
      <c r="B9089">
        <v>175.8</v>
      </c>
    </row>
    <row r="9090" spans="1:3" ht="15" customHeight="1" x14ac:dyDescent="0.25">
      <c r="A9090" t="s">
        <v>11251</v>
      </c>
      <c r="B9090">
        <v>175.8</v>
      </c>
    </row>
    <row r="9091" spans="1:3" ht="15" customHeight="1" x14ac:dyDescent="0.25">
      <c r="A9091" t="s">
        <v>11252</v>
      </c>
      <c r="B9091">
        <v>175.8</v>
      </c>
    </row>
    <row r="9092" spans="1:3" ht="15" customHeight="1" x14ac:dyDescent="0.25">
      <c r="A9092" t="s">
        <v>11253</v>
      </c>
      <c r="B9092">
        <v>175.8</v>
      </c>
    </row>
    <row r="9093" spans="1:3" ht="15" customHeight="1" x14ac:dyDescent="0.25">
      <c r="A9093" t="s">
        <v>11254</v>
      </c>
      <c r="B9093">
        <v>293.39999999999998</v>
      </c>
    </row>
    <row r="9094" spans="1:3" ht="15" customHeight="1" x14ac:dyDescent="0.25">
      <c r="A9094" t="s">
        <v>11255</v>
      </c>
      <c r="B9094">
        <v>293.39999999999998</v>
      </c>
    </row>
    <row r="9095" spans="1:3" ht="15" customHeight="1" x14ac:dyDescent="0.25">
      <c r="A9095" t="s">
        <v>11256</v>
      </c>
      <c r="B9095">
        <v>192.6</v>
      </c>
    </row>
    <row r="9096" spans="1:3" ht="15" customHeight="1" x14ac:dyDescent="0.25">
      <c r="A9096" t="s">
        <v>11257</v>
      </c>
      <c r="B9096">
        <v>175.8</v>
      </c>
      <c r="C9096">
        <v>0.3</v>
      </c>
    </row>
    <row r="9097" spans="1:3" ht="15" customHeight="1" x14ac:dyDescent="0.25">
      <c r="A9097" t="s">
        <v>11258</v>
      </c>
      <c r="B9097">
        <v>175.8</v>
      </c>
    </row>
    <row r="9098" spans="1:3" ht="15" customHeight="1" x14ac:dyDescent="0.25">
      <c r="A9098" t="s">
        <v>11259</v>
      </c>
      <c r="B9098">
        <v>175.8</v>
      </c>
    </row>
    <row r="9099" spans="1:3" ht="15" customHeight="1" x14ac:dyDescent="0.25">
      <c r="A9099" t="s">
        <v>11260</v>
      </c>
      <c r="B9099">
        <v>175.8</v>
      </c>
    </row>
    <row r="9100" spans="1:3" ht="15" customHeight="1" x14ac:dyDescent="0.25">
      <c r="A9100" t="s">
        <v>11261</v>
      </c>
      <c r="B9100">
        <v>175.8</v>
      </c>
    </row>
    <row r="9101" spans="1:3" ht="15" customHeight="1" x14ac:dyDescent="0.25">
      <c r="A9101" t="s">
        <v>11262</v>
      </c>
      <c r="B9101">
        <v>175.8</v>
      </c>
    </row>
    <row r="9102" spans="1:3" ht="15" customHeight="1" x14ac:dyDescent="0.25">
      <c r="A9102" t="s">
        <v>11263</v>
      </c>
      <c r="B9102">
        <v>175.8</v>
      </c>
    </row>
    <row r="9103" spans="1:3" ht="15" customHeight="1" x14ac:dyDescent="0.25">
      <c r="A9103" t="s">
        <v>11264</v>
      </c>
      <c r="B9103">
        <v>175.8</v>
      </c>
    </row>
    <row r="9104" spans="1:3" ht="15" customHeight="1" x14ac:dyDescent="0.25">
      <c r="A9104" t="s">
        <v>11265</v>
      </c>
      <c r="B9104">
        <v>175.8</v>
      </c>
    </row>
    <row r="9105" spans="1:2" ht="15" customHeight="1" x14ac:dyDescent="0.25">
      <c r="A9105" t="s">
        <v>11266</v>
      </c>
      <c r="B9105">
        <v>175.8</v>
      </c>
    </row>
    <row r="9106" spans="1:2" ht="15" customHeight="1" x14ac:dyDescent="0.25">
      <c r="A9106" t="s">
        <v>11267</v>
      </c>
      <c r="B9106">
        <v>175.8</v>
      </c>
    </row>
    <row r="9107" spans="1:2" ht="15" customHeight="1" x14ac:dyDescent="0.25">
      <c r="A9107" t="s">
        <v>11268</v>
      </c>
      <c r="B9107">
        <v>175.8</v>
      </c>
    </row>
    <row r="9108" spans="1:2" ht="15" customHeight="1" x14ac:dyDescent="0.25">
      <c r="A9108" t="s">
        <v>11269</v>
      </c>
      <c r="B9108">
        <v>175.8</v>
      </c>
    </row>
    <row r="9109" spans="1:2" ht="15" customHeight="1" x14ac:dyDescent="0.25">
      <c r="A9109" t="s">
        <v>11270</v>
      </c>
      <c r="B9109">
        <v>175.8</v>
      </c>
    </row>
    <row r="9110" spans="1:2" ht="15" customHeight="1" x14ac:dyDescent="0.25">
      <c r="A9110" t="s">
        <v>11271</v>
      </c>
      <c r="B9110">
        <v>175.8</v>
      </c>
    </row>
    <row r="9111" spans="1:2" ht="15" customHeight="1" x14ac:dyDescent="0.25">
      <c r="A9111" t="s">
        <v>11272</v>
      </c>
      <c r="B9111">
        <v>175.8</v>
      </c>
    </row>
    <row r="9112" spans="1:2" ht="15" customHeight="1" x14ac:dyDescent="0.25">
      <c r="A9112" t="s">
        <v>11273</v>
      </c>
      <c r="B9112">
        <v>175.8</v>
      </c>
    </row>
    <row r="9113" spans="1:2" ht="15" customHeight="1" x14ac:dyDescent="0.25">
      <c r="A9113" t="s">
        <v>11274</v>
      </c>
      <c r="B9113">
        <v>175.8</v>
      </c>
    </row>
    <row r="9114" spans="1:2" ht="15" customHeight="1" x14ac:dyDescent="0.25">
      <c r="A9114" t="s">
        <v>11275</v>
      </c>
      <c r="B9114">
        <v>175.8</v>
      </c>
    </row>
    <row r="9115" spans="1:2" ht="15" customHeight="1" x14ac:dyDescent="0.25">
      <c r="A9115" t="s">
        <v>11276</v>
      </c>
      <c r="B9115">
        <v>175.8</v>
      </c>
    </row>
    <row r="9116" spans="1:2" ht="15" customHeight="1" x14ac:dyDescent="0.25">
      <c r="A9116" t="s">
        <v>11277</v>
      </c>
      <c r="B9116">
        <v>175.8</v>
      </c>
    </row>
    <row r="9117" spans="1:2" ht="15" customHeight="1" x14ac:dyDescent="0.25">
      <c r="A9117" t="s">
        <v>11278</v>
      </c>
      <c r="B9117">
        <v>175.8</v>
      </c>
    </row>
    <row r="9118" spans="1:2" ht="15" customHeight="1" x14ac:dyDescent="0.25">
      <c r="A9118" t="s">
        <v>11279</v>
      </c>
      <c r="B9118">
        <v>175.8</v>
      </c>
    </row>
    <row r="9119" spans="1:2" ht="15" customHeight="1" x14ac:dyDescent="0.25">
      <c r="A9119" t="s">
        <v>11280</v>
      </c>
      <c r="B9119">
        <v>175.8</v>
      </c>
    </row>
    <row r="9120" spans="1:2" ht="15" customHeight="1" x14ac:dyDescent="0.25">
      <c r="A9120" t="s">
        <v>11281</v>
      </c>
      <c r="B9120">
        <v>192.6</v>
      </c>
    </row>
    <row r="9121" spans="1:2" ht="15" customHeight="1" x14ac:dyDescent="0.25">
      <c r="A9121" t="s">
        <v>11282</v>
      </c>
      <c r="B9121">
        <v>175.8</v>
      </c>
    </row>
    <row r="9122" spans="1:2" ht="15" customHeight="1" x14ac:dyDescent="0.25">
      <c r="A9122" t="s">
        <v>11283</v>
      </c>
      <c r="B9122">
        <v>175.8</v>
      </c>
    </row>
    <row r="9123" spans="1:2" ht="15" customHeight="1" x14ac:dyDescent="0.25">
      <c r="A9123" t="s">
        <v>11284</v>
      </c>
      <c r="B9123">
        <v>175.8</v>
      </c>
    </row>
    <row r="9124" spans="1:2" ht="15" customHeight="1" x14ac:dyDescent="0.25">
      <c r="A9124" t="s">
        <v>11285</v>
      </c>
      <c r="B9124">
        <v>175.8</v>
      </c>
    </row>
    <row r="9125" spans="1:2" ht="15" customHeight="1" x14ac:dyDescent="0.25">
      <c r="A9125" t="s">
        <v>11286</v>
      </c>
      <c r="B9125">
        <v>175.8</v>
      </c>
    </row>
    <row r="9126" spans="1:2" ht="15" customHeight="1" x14ac:dyDescent="0.25">
      <c r="A9126" t="s">
        <v>11287</v>
      </c>
      <c r="B9126">
        <v>175.8</v>
      </c>
    </row>
    <row r="9127" spans="1:2" ht="15" customHeight="1" x14ac:dyDescent="0.25">
      <c r="A9127" t="s">
        <v>11288</v>
      </c>
      <c r="B9127">
        <v>159</v>
      </c>
    </row>
    <row r="9128" spans="1:2" ht="15" customHeight="1" x14ac:dyDescent="0.25">
      <c r="A9128" t="s">
        <v>11289</v>
      </c>
      <c r="B9128">
        <v>159</v>
      </c>
    </row>
    <row r="9129" spans="1:2" ht="15" customHeight="1" x14ac:dyDescent="0.25">
      <c r="A9129" t="s">
        <v>11290</v>
      </c>
      <c r="B9129">
        <v>175.8</v>
      </c>
    </row>
    <row r="9130" spans="1:2" ht="15" customHeight="1" x14ac:dyDescent="0.25">
      <c r="A9130" t="s">
        <v>11291</v>
      </c>
      <c r="B9130">
        <v>175.8</v>
      </c>
    </row>
    <row r="9131" spans="1:2" ht="15" customHeight="1" x14ac:dyDescent="0.25">
      <c r="A9131" t="s">
        <v>11292</v>
      </c>
      <c r="B9131">
        <v>175.8</v>
      </c>
    </row>
    <row r="9132" spans="1:2" ht="15" customHeight="1" x14ac:dyDescent="0.25">
      <c r="A9132" t="s">
        <v>11293</v>
      </c>
      <c r="B9132">
        <v>175.8</v>
      </c>
    </row>
    <row r="9133" spans="1:2" ht="15" customHeight="1" x14ac:dyDescent="0.25">
      <c r="A9133" t="s">
        <v>11294</v>
      </c>
      <c r="B9133">
        <v>175.8</v>
      </c>
    </row>
    <row r="9134" spans="1:2" ht="15" customHeight="1" x14ac:dyDescent="0.25">
      <c r="A9134" t="s">
        <v>11295</v>
      </c>
      <c r="B9134">
        <v>175.8</v>
      </c>
    </row>
    <row r="9135" spans="1:2" ht="15" customHeight="1" x14ac:dyDescent="0.25">
      <c r="A9135" t="s">
        <v>11296</v>
      </c>
      <c r="B9135">
        <v>175.8</v>
      </c>
    </row>
    <row r="9136" spans="1:2" ht="15" customHeight="1" x14ac:dyDescent="0.25">
      <c r="A9136" t="s">
        <v>11297</v>
      </c>
      <c r="B9136">
        <v>175.8</v>
      </c>
    </row>
    <row r="9137" spans="1:2" ht="15" customHeight="1" x14ac:dyDescent="0.25">
      <c r="A9137" t="s">
        <v>11298</v>
      </c>
      <c r="B9137">
        <v>175.8</v>
      </c>
    </row>
    <row r="9138" spans="1:2" ht="15" customHeight="1" x14ac:dyDescent="0.25">
      <c r="A9138" t="s">
        <v>11299</v>
      </c>
      <c r="B9138">
        <v>293.39999999999998</v>
      </c>
    </row>
    <row r="9139" spans="1:2" ht="15" customHeight="1" x14ac:dyDescent="0.25">
      <c r="A9139" t="s">
        <v>11300</v>
      </c>
      <c r="B9139">
        <v>293.39999999999998</v>
      </c>
    </row>
    <row r="9140" spans="1:2" ht="15" customHeight="1" x14ac:dyDescent="0.25">
      <c r="A9140" t="s">
        <v>11301</v>
      </c>
      <c r="B9140">
        <v>293.39999999999998</v>
      </c>
    </row>
    <row r="9141" spans="1:2" ht="15" customHeight="1" x14ac:dyDescent="0.25">
      <c r="A9141" t="s">
        <v>11302</v>
      </c>
      <c r="B9141">
        <v>293.39999999999998</v>
      </c>
    </row>
    <row r="9142" spans="1:2" ht="15" customHeight="1" x14ac:dyDescent="0.25">
      <c r="A9142" t="s">
        <v>11303</v>
      </c>
      <c r="B9142">
        <v>293.39999999999998</v>
      </c>
    </row>
    <row r="9143" spans="1:2" ht="15" customHeight="1" x14ac:dyDescent="0.25">
      <c r="A9143" t="s">
        <v>11304</v>
      </c>
      <c r="B9143">
        <v>293.39999999999998</v>
      </c>
    </row>
    <row r="9144" spans="1:2" ht="15" customHeight="1" x14ac:dyDescent="0.25">
      <c r="A9144" t="s">
        <v>11305</v>
      </c>
      <c r="B9144">
        <v>192.6</v>
      </c>
    </row>
    <row r="9145" spans="1:2" ht="15" customHeight="1" x14ac:dyDescent="0.25">
      <c r="A9145" t="s">
        <v>11306</v>
      </c>
      <c r="B9145">
        <v>175.8</v>
      </c>
    </row>
    <row r="9146" spans="1:2" ht="15" customHeight="1" x14ac:dyDescent="0.25">
      <c r="A9146" t="s">
        <v>11307</v>
      </c>
      <c r="B9146">
        <v>175.8</v>
      </c>
    </row>
    <row r="9147" spans="1:2" ht="15" customHeight="1" x14ac:dyDescent="0.25">
      <c r="A9147" t="s">
        <v>11308</v>
      </c>
      <c r="B9147">
        <v>175.8</v>
      </c>
    </row>
    <row r="9148" spans="1:2" ht="15" customHeight="1" x14ac:dyDescent="0.25">
      <c r="A9148" t="s">
        <v>11309</v>
      </c>
      <c r="B9148">
        <v>175.8</v>
      </c>
    </row>
    <row r="9149" spans="1:2" ht="15" customHeight="1" x14ac:dyDescent="0.25">
      <c r="A9149" t="s">
        <v>11310</v>
      </c>
      <c r="B9149">
        <v>175.8</v>
      </c>
    </row>
    <row r="9150" spans="1:2" ht="15" customHeight="1" x14ac:dyDescent="0.25">
      <c r="A9150" t="s">
        <v>11311</v>
      </c>
      <c r="B9150">
        <v>175.8</v>
      </c>
    </row>
    <row r="9151" spans="1:2" ht="15" customHeight="1" x14ac:dyDescent="0.25">
      <c r="A9151" t="s">
        <v>11312</v>
      </c>
      <c r="B9151">
        <v>181</v>
      </c>
    </row>
    <row r="9152" spans="1:2" ht="15" customHeight="1" x14ac:dyDescent="0.25">
      <c r="A9152" t="s">
        <v>11313</v>
      </c>
      <c r="B9152">
        <v>181</v>
      </c>
    </row>
    <row r="9153" spans="1:3" ht="15" customHeight="1" x14ac:dyDescent="0.25">
      <c r="A9153" t="s">
        <v>11314</v>
      </c>
      <c r="B9153">
        <v>181</v>
      </c>
    </row>
    <row r="9154" spans="1:3" ht="15" customHeight="1" x14ac:dyDescent="0.25">
      <c r="A9154" t="s">
        <v>11315</v>
      </c>
      <c r="B9154">
        <v>117</v>
      </c>
    </row>
    <row r="9155" spans="1:3" ht="15" customHeight="1" x14ac:dyDescent="0.25">
      <c r="A9155" t="s">
        <v>11316</v>
      </c>
      <c r="B9155">
        <v>117</v>
      </c>
    </row>
    <row r="9156" spans="1:3" ht="15" customHeight="1" x14ac:dyDescent="0.25">
      <c r="A9156" t="s">
        <v>11317</v>
      </c>
      <c r="B9156">
        <v>209.4</v>
      </c>
    </row>
    <row r="9157" spans="1:3" ht="15" customHeight="1" x14ac:dyDescent="0.25">
      <c r="A9157" t="s">
        <v>11318</v>
      </c>
      <c r="B9157">
        <v>142.19999999999999</v>
      </c>
      <c r="C9157">
        <v>0.3</v>
      </c>
    </row>
    <row r="9158" spans="1:3" ht="15" customHeight="1" x14ac:dyDescent="0.25">
      <c r="A9158" t="s">
        <v>11319</v>
      </c>
      <c r="B9158">
        <v>142.19999999999999</v>
      </c>
    </row>
    <row r="9159" spans="1:3" ht="15" customHeight="1" x14ac:dyDescent="0.25">
      <c r="A9159" t="s">
        <v>11320</v>
      </c>
      <c r="B9159">
        <v>142.19999999999999</v>
      </c>
    </row>
    <row r="9160" spans="1:3" ht="15" customHeight="1" x14ac:dyDescent="0.25">
      <c r="A9160" t="s">
        <v>11321</v>
      </c>
      <c r="B9160">
        <v>142.19999999999999</v>
      </c>
    </row>
    <row r="9161" spans="1:3" ht="15" customHeight="1" x14ac:dyDescent="0.25">
      <c r="A9161" t="s">
        <v>11322</v>
      </c>
      <c r="B9161">
        <v>142.19999999999999</v>
      </c>
    </row>
    <row r="9162" spans="1:3" ht="15" customHeight="1" x14ac:dyDescent="0.25">
      <c r="A9162" t="s">
        <v>11323</v>
      </c>
      <c r="B9162">
        <v>142.19999999999999</v>
      </c>
    </row>
    <row r="9163" spans="1:3" ht="15" customHeight="1" x14ac:dyDescent="0.25">
      <c r="A9163" t="s">
        <v>11324</v>
      </c>
      <c r="B9163">
        <v>142.19999999999999</v>
      </c>
    </row>
    <row r="9164" spans="1:3" ht="15" customHeight="1" x14ac:dyDescent="0.25">
      <c r="A9164" t="s">
        <v>11325</v>
      </c>
      <c r="B9164">
        <v>142.19999999999999</v>
      </c>
    </row>
    <row r="9165" spans="1:3" ht="15" customHeight="1" x14ac:dyDescent="0.25">
      <c r="A9165" t="s">
        <v>11326</v>
      </c>
      <c r="B9165">
        <v>142.19999999999999</v>
      </c>
    </row>
    <row r="9166" spans="1:3" ht="15" customHeight="1" x14ac:dyDescent="0.25">
      <c r="A9166" t="s">
        <v>11327</v>
      </c>
      <c r="B9166">
        <v>142.19999999999999</v>
      </c>
    </row>
    <row r="9167" spans="1:3" ht="15" customHeight="1" x14ac:dyDescent="0.25">
      <c r="A9167" t="s">
        <v>11328</v>
      </c>
      <c r="B9167">
        <v>142.19999999999999</v>
      </c>
    </row>
    <row r="9168" spans="1:3" ht="15" customHeight="1" x14ac:dyDescent="0.25">
      <c r="A9168" t="s">
        <v>11329</v>
      </c>
      <c r="B9168">
        <v>117</v>
      </c>
    </row>
    <row r="9169" spans="1:2" ht="15" customHeight="1" x14ac:dyDescent="0.25">
      <c r="A9169" t="s">
        <v>11330</v>
      </c>
      <c r="B9169">
        <v>117</v>
      </c>
    </row>
    <row r="9170" spans="1:2" ht="15" customHeight="1" x14ac:dyDescent="0.25">
      <c r="A9170" t="s">
        <v>11331</v>
      </c>
      <c r="B9170">
        <v>117</v>
      </c>
    </row>
    <row r="9171" spans="1:2" ht="15" customHeight="1" x14ac:dyDescent="0.25">
      <c r="A9171" t="s">
        <v>11332</v>
      </c>
      <c r="B9171">
        <v>159</v>
      </c>
    </row>
    <row r="9172" spans="1:2" ht="15" customHeight="1" x14ac:dyDescent="0.25">
      <c r="A9172" t="s">
        <v>11333</v>
      </c>
      <c r="B9172">
        <v>181</v>
      </c>
    </row>
    <row r="9173" spans="1:2" ht="15" customHeight="1" x14ac:dyDescent="0.25">
      <c r="A9173" t="s">
        <v>11334</v>
      </c>
      <c r="B9173">
        <v>117</v>
      </c>
    </row>
    <row r="9174" spans="1:2" ht="15" customHeight="1" x14ac:dyDescent="0.25">
      <c r="A9174" t="s">
        <v>11335</v>
      </c>
      <c r="B9174">
        <v>181</v>
      </c>
    </row>
    <row r="9175" spans="1:2" ht="15" customHeight="1" x14ac:dyDescent="0.25">
      <c r="A9175" t="s">
        <v>11336</v>
      </c>
      <c r="B9175">
        <v>117</v>
      </c>
    </row>
    <row r="9176" spans="1:2" ht="15" customHeight="1" x14ac:dyDescent="0.25">
      <c r="A9176" t="s">
        <v>11337</v>
      </c>
      <c r="B9176">
        <v>181</v>
      </c>
    </row>
    <row r="9177" spans="1:2" ht="15" customHeight="1" x14ac:dyDescent="0.25">
      <c r="A9177" t="s">
        <v>11338</v>
      </c>
      <c r="B9177">
        <v>181</v>
      </c>
    </row>
    <row r="9178" spans="1:2" ht="15" customHeight="1" x14ac:dyDescent="0.25">
      <c r="A9178" t="s">
        <v>11339</v>
      </c>
      <c r="B9178">
        <v>206.2</v>
      </c>
    </row>
    <row r="9179" spans="1:2" ht="15" customHeight="1" x14ac:dyDescent="0.25">
      <c r="A9179" t="s">
        <v>11340</v>
      </c>
      <c r="B9179">
        <v>206.2</v>
      </c>
    </row>
    <row r="9180" spans="1:2" ht="15" customHeight="1" x14ac:dyDescent="0.25">
      <c r="A9180" t="s">
        <v>11341</v>
      </c>
      <c r="B9180">
        <v>181</v>
      </c>
    </row>
    <row r="9181" spans="1:2" ht="15" customHeight="1" x14ac:dyDescent="0.25">
      <c r="A9181" t="s">
        <v>11342</v>
      </c>
      <c r="B9181">
        <v>181</v>
      </c>
    </row>
    <row r="9182" spans="1:2" ht="15" customHeight="1" x14ac:dyDescent="0.25">
      <c r="A9182" t="s">
        <v>11343</v>
      </c>
      <c r="B9182">
        <v>181</v>
      </c>
    </row>
    <row r="9183" spans="1:2" ht="15" customHeight="1" x14ac:dyDescent="0.25">
      <c r="A9183" t="s">
        <v>11344</v>
      </c>
      <c r="B9183">
        <v>181</v>
      </c>
    </row>
    <row r="9184" spans="1:2" ht="15" customHeight="1" x14ac:dyDescent="0.25">
      <c r="A9184" t="s">
        <v>11345</v>
      </c>
      <c r="B9184">
        <v>181</v>
      </c>
    </row>
    <row r="9185" spans="1:3" ht="15" customHeight="1" x14ac:dyDescent="0.25">
      <c r="A9185" t="s">
        <v>11346</v>
      </c>
      <c r="B9185">
        <v>181</v>
      </c>
    </row>
    <row r="9186" spans="1:3" ht="15" customHeight="1" x14ac:dyDescent="0.25">
      <c r="A9186" t="s">
        <v>11347</v>
      </c>
      <c r="B9186">
        <v>181</v>
      </c>
    </row>
    <row r="9187" spans="1:3" ht="15" customHeight="1" x14ac:dyDescent="0.25">
      <c r="A9187" t="s">
        <v>11348</v>
      </c>
      <c r="B9187">
        <v>181</v>
      </c>
    </row>
    <row r="9188" spans="1:3" ht="15" customHeight="1" x14ac:dyDescent="0.25">
      <c r="A9188" t="s">
        <v>11349</v>
      </c>
      <c r="B9188">
        <v>181</v>
      </c>
      <c r="C9188">
        <v>0.3</v>
      </c>
    </row>
    <row r="9189" spans="1:3" ht="15" customHeight="1" x14ac:dyDescent="0.25">
      <c r="A9189" t="s">
        <v>11350</v>
      </c>
      <c r="B9189">
        <v>181</v>
      </c>
    </row>
    <row r="9190" spans="1:3" ht="15" customHeight="1" x14ac:dyDescent="0.25">
      <c r="A9190" t="s">
        <v>11351</v>
      </c>
      <c r="B9190">
        <v>181</v>
      </c>
    </row>
    <row r="9191" spans="1:3" ht="15" customHeight="1" x14ac:dyDescent="0.25">
      <c r="A9191" t="s">
        <v>11352</v>
      </c>
      <c r="B9191">
        <v>181</v>
      </c>
    </row>
    <row r="9192" spans="1:3" ht="15" customHeight="1" x14ac:dyDescent="0.25">
      <c r="A9192" t="s">
        <v>11353</v>
      </c>
      <c r="B9192">
        <v>181</v>
      </c>
    </row>
    <row r="9193" spans="1:3" ht="15" customHeight="1" x14ac:dyDescent="0.25">
      <c r="A9193" t="s">
        <v>11354</v>
      </c>
      <c r="B9193">
        <v>181</v>
      </c>
    </row>
    <row r="9194" spans="1:3" ht="15" customHeight="1" x14ac:dyDescent="0.25">
      <c r="A9194" t="s">
        <v>11355</v>
      </c>
      <c r="B9194">
        <v>181</v>
      </c>
    </row>
    <row r="9195" spans="1:3" ht="15" customHeight="1" x14ac:dyDescent="0.25">
      <c r="A9195" t="s">
        <v>11356</v>
      </c>
      <c r="B9195">
        <v>181</v>
      </c>
    </row>
    <row r="9196" spans="1:3" ht="15" customHeight="1" x14ac:dyDescent="0.25">
      <c r="A9196" t="s">
        <v>11357</v>
      </c>
      <c r="B9196">
        <v>181</v>
      </c>
    </row>
    <row r="9197" spans="1:3" ht="15" customHeight="1" x14ac:dyDescent="0.25">
      <c r="A9197" t="s">
        <v>11358</v>
      </c>
      <c r="B9197">
        <v>181</v>
      </c>
    </row>
    <row r="9198" spans="1:3" ht="15" customHeight="1" x14ac:dyDescent="0.25">
      <c r="A9198" t="s">
        <v>11359</v>
      </c>
      <c r="B9198">
        <v>181</v>
      </c>
    </row>
    <row r="9199" spans="1:3" ht="15" customHeight="1" x14ac:dyDescent="0.25">
      <c r="A9199" t="s">
        <v>11360</v>
      </c>
      <c r="B9199">
        <v>181</v>
      </c>
    </row>
    <row r="9200" spans="1:3" ht="15" customHeight="1" x14ac:dyDescent="0.25">
      <c r="A9200" t="s">
        <v>11361</v>
      </c>
      <c r="B9200">
        <v>181</v>
      </c>
    </row>
    <row r="9201" spans="1:2" ht="15" customHeight="1" x14ac:dyDescent="0.25">
      <c r="A9201" t="s">
        <v>11362</v>
      </c>
      <c r="B9201">
        <v>181</v>
      </c>
    </row>
    <row r="9202" spans="1:2" ht="15" customHeight="1" x14ac:dyDescent="0.25">
      <c r="A9202" t="s">
        <v>11363</v>
      </c>
      <c r="B9202">
        <v>181</v>
      </c>
    </row>
    <row r="9203" spans="1:2" ht="15" customHeight="1" x14ac:dyDescent="0.25">
      <c r="A9203" t="s">
        <v>11364</v>
      </c>
      <c r="B9203">
        <v>181</v>
      </c>
    </row>
    <row r="9204" spans="1:2" ht="15" customHeight="1" x14ac:dyDescent="0.25">
      <c r="A9204" t="s">
        <v>11365</v>
      </c>
      <c r="B9204">
        <v>181</v>
      </c>
    </row>
    <row r="9205" spans="1:2" ht="15" customHeight="1" x14ac:dyDescent="0.25">
      <c r="A9205" t="s">
        <v>11366</v>
      </c>
      <c r="B9205">
        <v>181</v>
      </c>
    </row>
    <row r="9206" spans="1:2" ht="15" customHeight="1" x14ac:dyDescent="0.25">
      <c r="A9206" t="s">
        <v>11367</v>
      </c>
      <c r="B9206">
        <v>181</v>
      </c>
    </row>
    <row r="9207" spans="1:2" ht="15" customHeight="1" x14ac:dyDescent="0.25">
      <c r="A9207" t="s">
        <v>11368</v>
      </c>
      <c r="B9207">
        <v>181</v>
      </c>
    </row>
    <row r="9208" spans="1:2" ht="15" customHeight="1" x14ac:dyDescent="0.25">
      <c r="A9208" t="s">
        <v>11369</v>
      </c>
      <c r="B9208">
        <v>181</v>
      </c>
    </row>
    <row r="9209" spans="1:2" ht="15" customHeight="1" x14ac:dyDescent="0.25">
      <c r="A9209" t="s">
        <v>11370</v>
      </c>
      <c r="B9209">
        <v>181</v>
      </c>
    </row>
    <row r="9210" spans="1:2" ht="15" customHeight="1" x14ac:dyDescent="0.25">
      <c r="A9210" t="s">
        <v>11371</v>
      </c>
      <c r="B9210">
        <v>181</v>
      </c>
    </row>
    <row r="9211" spans="1:2" ht="15" customHeight="1" x14ac:dyDescent="0.25">
      <c r="A9211" t="s">
        <v>11372</v>
      </c>
      <c r="B9211">
        <v>207.4</v>
      </c>
    </row>
    <row r="9212" spans="1:2" ht="15" customHeight="1" x14ac:dyDescent="0.25">
      <c r="A9212" t="s">
        <v>11373</v>
      </c>
      <c r="B9212">
        <v>181</v>
      </c>
    </row>
    <row r="9213" spans="1:2" ht="15" customHeight="1" x14ac:dyDescent="0.25">
      <c r="A9213" t="s">
        <v>11374</v>
      </c>
      <c r="B9213">
        <v>181</v>
      </c>
    </row>
    <row r="9214" spans="1:2" ht="15" customHeight="1" x14ac:dyDescent="0.25">
      <c r="A9214" t="s">
        <v>11375</v>
      </c>
      <c r="B9214">
        <v>181</v>
      </c>
    </row>
    <row r="9215" spans="1:2" ht="15" customHeight="1" x14ac:dyDescent="0.25">
      <c r="A9215" t="s">
        <v>11376</v>
      </c>
      <c r="B9215">
        <v>207.4</v>
      </c>
    </row>
    <row r="9216" spans="1:2" ht="15" customHeight="1" x14ac:dyDescent="0.25">
      <c r="A9216" t="s">
        <v>11377</v>
      </c>
      <c r="B9216">
        <v>268.2</v>
      </c>
    </row>
    <row r="9217" spans="1:3" ht="15" customHeight="1" x14ac:dyDescent="0.25">
      <c r="A9217" t="s">
        <v>11378</v>
      </c>
      <c r="B9217">
        <v>117</v>
      </c>
    </row>
    <row r="9218" spans="1:3" ht="15" customHeight="1" x14ac:dyDescent="0.25">
      <c r="A9218" t="s">
        <v>11379</v>
      </c>
      <c r="B9218">
        <v>117</v>
      </c>
    </row>
    <row r="9219" spans="1:3" ht="15" customHeight="1" x14ac:dyDescent="0.25">
      <c r="A9219" t="s">
        <v>11380</v>
      </c>
      <c r="B9219">
        <v>117</v>
      </c>
    </row>
    <row r="9220" spans="1:3" ht="15" customHeight="1" x14ac:dyDescent="0.25">
      <c r="A9220" t="s">
        <v>11381</v>
      </c>
      <c r="B9220">
        <v>117</v>
      </c>
    </row>
    <row r="9221" spans="1:3" ht="15" customHeight="1" x14ac:dyDescent="0.25">
      <c r="A9221" t="s">
        <v>11382</v>
      </c>
      <c r="B9221">
        <v>117</v>
      </c>
    </row>
    <row r="9222" spans="1:3" ht="15" customHeight="1" x14ac:dyDescent="0.25">
      <c r="A9222" t="s">
        <v>11383</v>
      </c>
      <c r="B9222">
        <v>117</v>
      </c>
    </row>
    <row r="9223" spans="1:3" ht="15" customHeight="1" x14ac:dyDescent="0.25">
      <c r="A9223" t="s">
        <v>11384</v>
      </c>
      <c r="B9223">
        <v>117</v>
      </c>
    </row>
    <row r="9224" spans="1:3" ht="15" customHeight="1" x14ac:dyDescent="0.25">
      <c r="A9224" t="s">
        <v>11385</v>
      </c>
      <c r="B9224">
        <v>117</v>
      </c>
    </row>
    <row r="9225" spans="1:3" ht="15" customHeight="1" x14ac:dyDescent="0.25">
      <c r="A9225" t="s">
        <v>11386</v>
      </c>
      <c r="B9225">
        <v>117</v>
      </c>
    </row>
    <row r="9226" spans="1:3" ht="15" customHeight="1" x14ac:dyDescent="0.25">
      <c r="A9226" t="s">
        <v>11387</v>
      </c>
      <c r="B9226">
        <v>117</v>
      </c>
    </row>
    <row r="9227" spans="1:3" ht="15" customHeight="1" x14ac:dyDescent="0.25">
      <c r="A9227" t="s">
        <v>11388</v>
      </c>
      <c r="B9227">
        <v>117</v>
      </c>
    </row>
    <row r="9228" spans="1:3" ht="15" customHeight="1" x14ac:dyDescent="0.25">
      <c r="A9228" t="s">
        <v>11389</v>
      </c>
      <c r="B9228">
        <v>117</v>
      </c>
    </row>
    <row r="9229" spans="1:3" ht="15" customHeight="1" x14ac:dyDescent="0.25">
      <c r="A9229" t="s">
        <v>11390</v>
      </c>
      <c r="B9229">
        <v>117</v>
      </c>
      <c r="C9229">
        <v>0.3</v>
      </c>
    </row>
    <row r="9230" spans="1:3" ht="15" customHeight="1" x14ac:dyDescent="0.25">
      <c r="A9230" t="s">
        <v>11391</v>
      </c>
      <c r="B9230">
        <v>117</v>
      </c>
    </row>
    <row r="9231" spans="1:3" ht="15" customHeight="1" x14ac:dyDescent="0.25">
      <c r="A9231" t="s">
        <v>11392</v>
      </c>
      <c r="B9231">
        <v>117</v>
      </c>
    </row>
    <row r="9232" spans="1:3" ht="15" customHeight="1" x14ac:dyDescent="0.25">
      <c r="A9232" t="s">
        <v>11393</v>
      </c>
      <c r="B9232">
        <v>117</v>
      </c>
    </row>
    <row r="9233" spans="1:3" ht="15" customHeight="1" x14ac:dyDescent="0.25">
      <c r="A9233" t="s">
        <v>11394</v>
      </c>
      <c r="B9233">
        <v>117</v>
      </c>
    </row>
    <row r="9234" spans="1:3" ht="15" customHeight="1" x14ac:dyDescent="0.25">
      <c r="A9234" t="s">
        <v>11395</v>
      </c>
      <c r="B9234">
        <v>117</v>
      </c>
    </row>
    <row r="9235" spans="1:3" ht="15" customHeight="1" x14ac:dyDescent="0.25">
      <c r="A9235" t="s">
        <v>11396</v>
      </c>
      <c r="B9235">
        <v>117</v>
      </c>
    </row>
    <row r="9236" spans="1:3" ht="15" customHeight="1" x14ac:dyDescent="0.25">
      <c r="A9236" t="s">
        <v>11397</v>
      </c>
      <c r="B9236">
        <v>142.19999999999999</v>
      </c>
    </row>
    <row r="9237" spans="1:3" ht="15" customHeight="1" x14ac:dyDescent="0.25">
      <c r="A9237" t="s">
        <v>11398</v>
      </c>
      <c r="B9237">
        <v>142.19999999999999</v>
      </c>
    </row>
    <row r="9238" spans="1:3" ht="15" customHeight="1" x14ac:dyDescent="0.25">
      <c r="A9238" t="s">
        <v>11399</v>
      </c>
      <c r="B9238">
        <v>171.4</v>
      </c>
    </row>
    <row r="9239" spans="1:3" ht="15" customHeight="1" x14ac:dyDescent="0.25">
      <c r="A9239" t="s">
        <v>11400</v>
      </c>
      <c r="B9239">
        <v>81.5</v>
      </c>
      <c r="C9239">
        <v>0.3</v>
      </c>
    </row>
    <row r="9240" spans="1:3" ht="15" customHeight="1" x14ac:dyDescent="0.25">
      <c r="A9240" t="s">
        <v>11401</v>
      </c>
      <c r="B9240">
        <v>81.5</v>
      </c>
    </row>
    <row r="9241" spans="1:3" ht="15" customHeight="1" x14ac:dyDescent="0.25">
      <c r="A9241" t="s">
        <v>11402</v>
      </c>
      <c r="B9241">
        <v>81.5</v>
      </c>
    </row>
    <row r="9242" spans="1:3" ht="15" customHeight="1" x14ac:dyDescent="0.25">
      <c r="A9242" t="s">
        <v>11403</v>
      </c>
      <c r="B9242">
        <v>81.5</v>
      </c>
      <c r="C9242">
        <v>0.3</v>
      </c>
    </row>
    <row r="9243" spans="1:3" ht="15" customHeight="1" x14ac:dyDescent="0.25">
      <c r="A9243" t="s">
        <v>11404</v>
      </c>
      <c r="B9243">
        <v>142.19999999999999</v>
      </c>
    </row>
    <row r="9244" spans="1:3" ht="15" customHeight="1" x14ac:dyDescent="0.25">
      <c r="A9244" t="s">
        <v>11405</v>
      </c>
      <c r="B9244">
        <v>142.19999999999999</v>
      </c>
    </row>
    <row r="9245" spans="1:3" ht="15" customHeight="1" x14ac:dyDescent="0.25">
      <c r="A9245" t="s">
        <v>11406</v>
      </c>
      <c r="B9245">
        <v>142.19999999999999</v>
      </c>
    </row>
    <row r="9246" spans="1:3" ht="15" customHeight="1" x14ac:dyDescent="0.25">
      <c r="A9246" t="s">
        <v>11407</v>
      </c>
      <c r="B9246">
        <v>142.19999999999999</v>
      </c>
    </row>
    <row r="9247" spans="1:3" ht="15" customHeight="1" x14ac:dyDescent="0.25">
      <c r="A9247" t="s">
        <v>11408</v>
      </c>
      <c r="B9247">
        <v>81.5</v>
      </c>
    </row>
    <row r="9248" spans="1:3" ht="15" customHeight="1" x14ac:dyDescent="0.25">
      <c r="A9248" t="s">
        <v>11409</v>
      </c>
      <c r="B9248">
        <v>81.5</v>
      </c>
    </row>
    <row r="9249" spans="1:3" ht="15" customHeight="1" x14ac:dyDescent="0.25">
      <c r="A9249" t="s">
        <v>11410</v>
      </c>
      <c r="B9249">
        <v>117</v>
      </c>
    </row>
    <row r="9250" spans="1:3" ht="15" customHeight="1" x14ac:dyDescent="0.25">
      <c r="A9250" t="s">
        <v>11411</v>
      </c>
      <c r="B9250">
        <v>117</v>
      </c>
      <c r="C9250">
        <v>0.3</v>
      </c>
    </row>
    <row r="9251" spans="1:3" ht="15" customHeight="1" x14ac:dyDescent="0.25">
      <c r="A9251" t="s">
        <v>11412</v>
      </c>
      <c r="B9251">
        <v>117</v>
      </c>
    </row>
    <row r="9252" spans="1:3" ht="15" customHeight="1" x14ac:dyDescent="0.25">
      <c r="A9252" t="s">
        <v>11413</v>
      </c>
      <c r="B9252">
        <v>117</v>
      </c>
    </row>
    <row r="9253" spans="1:3" ht="15" customHeight="1" x14ac:dyDescent="0.25">
      <c r="A9253" t="s">
        <v>11414</v>
      </c>
      <c r="B9253">
        <v>117</v>
      </c>
      <c r="C9253">
        <v>0.3</v>
      </c>
    </row>
    <row r="9254" spans="1:3" ht="15" customHeight="1" x14ac:dyDescent="0.25">
      <c r="A9254" t="s">
        <v>11415</v>
      </c>
      <c r="B9254">
        <v>81.5</v>
      </c>
      <c r="C9254">
        <v>0.3</v>
      </c>
    </row>
    <row r="9255" spans="1:3" ht="15" customHeight="1" x14ac:dyDescent="0.25">
      <c r="A9255" t="s">
        <v>11416</v>
      </c>
      <c r="B9255">
        <v>81.5</v>
      </c>
      <c r="C9255">
        <v>0.3</v>
      </c>
    </row>
    <row r="9256" spans="1:3" ht="15" customHeight="1" x14ac:dyDescent="0.25">
      <c r="A9256" t="s">
        <v>11417</v>
      </c>
      <c r="B9256">
        <v>81.5</v>
      </c>
      <c r="C9256">
        <v>0.3</v>
      </c>
    </row>
    <row r="9257" spans="1:3" ht="15" customHeight="1" x14ac:dyDescent="0.25">
      <c r="A9257" t="s">
        <v>11418</v>
      </c>
      <c r="B9257">
        <v>81.5</v>
      </c>
    </row>
    <row r="9258" spans="1:3" ht="15" customHeight="1" x14ac:dyDescent="0.25">
      <c r="A9258" t="s">
        <v>11419</v>
      </c>
      <c r="B9258">
        <v>81.5</v>
      </c>
    </row>
    <row r="9259" spans="1:3" ht="15" customHeight="1" x14ac:dyDescent="0.25">
      <c r="A9259" t="s">
        <v>11420</v>
      </c>
      <c r="B9259">
        <v>81.5</v>
      </c>
    </row>
    <row r="9260" spans="1:3" ht="15" customHeight="1" x14ac:dyDescent="0.25">
      <c r="A9260" t="s">
        <v>11421</v>
      </c>
      <c r="B9260">
        <v>117</v>
      </c>
    </row>
    <row r="9261" spans="1:3" ht="15" customHeight="1" x14ac:dyDescent="0.25">
      <c r="A9261" t="s">
        <v>11422</v>
      </c>
      <c r="B9261">
        <v>117</v>
      </c>
    </row>
    <row r="9262" spans="1:3" ht="15" customHeight="1" x14ac:dyDescent="0.25">
      <c r="A9262" t="s">
        <v>11423</v>
      </c>
      <c r="B9262">
        <v>117</v>
      </c>
    </row>
    <row r="9263" spans="1:3" ht="15" customHeight="1" x14ac:dyDescent="0.25">
      <c r="A9263" t="s">
        <v>11424</v>
      </c>
      <c r="B9263">
        <v>117</v>
      </c>
    </row>
    <row r="9264" spans="1:3" ht="15" customHeight="1" x14ac:dyDescent="0.25">
      <c r="A9264" t="s">
        <v>11425</v>
      </c>
      <c r="B9264">
        <v>117</v>
      </c>
      <c r="C9264">
        <v>0.3</v>
      </c>
    </row>
    <row r="9265" spans="1:3" ht="15" customHeight="1" x14ac:dyDescent="0.25">
      <c r="A9265" t="s">
        <v>11426</v>
      </c>
      <c r="B9265">
        <v>63.5</v>
      </c>
    </row>
    <row r="9266" spans="1:3" ht="15" customHeight="1" x14ac:dyDescent="0.25">
      <c r="A9266" t="s">
        <v>11427</v>
      </c>
      <c r="B9266">
        <v>63.5</v>
      </c>
    </row>
    <row r="9267" spans="1:3" ht="15" customHeight="1" x14ac:dyDescent="0.25">
      <c r="A9267" t="s">
        <v>11428</v>
      </c>
      <c r="B9267">
        <v>63.5</v>
      </c>
    </row>
    <row r="9268" spans="1:3" ht="15" customHeight="1" x14ac:dyDescent="0.25">
      <c r="A9268" t="s">
        <v>11429</v>
      </c>
      <c r="B9268">
        <v>71.5</v>
      </c>
    </row>
    <row r="9269" spans="1:3" ht="15" customHeight="1" x14ac:dyDescent="0.25">
      <c r="A9269" t="s">
        <v>11430</v>
      </c>
      <c r="B9269">
        <v>71.5</v>
      </c>
    </row>
    <row r="9270" spans="1:3" ht="15" customHeight="1" x14ac:dyDescent="0.25">
      <c r="A9270" t="s">
        <v>11431</v>
      </c>
      <c r="B9270">
        <v>71.5</v>
      </c>
    </row>
    <row r="9271" spans="1:3" ht="15" customHeight="1" x14ac:dyDescent="0.25">
      <c r="A9271" t="s">
        <v>11432</v>
      </c>
      <c r="B9271">
        <v>47.5</v>
      </c>
      <c r="C9271">
        <v>0.3</v>
      </c>
    </row>
    <row r="9272" spans="1:3" ht="15" customHeight="1" x14ac:dyDescent="0.25">
      <c r="A9272" t="s">
        <v>11433</v>
      </c>
      <c r="B9272">
        <v>47.5</v>
      </c>
    </row>
    <row r="9273" spans="1:3" ht="15" customHeight="1" x14ac:dyDescent="0.25">
      <c r="A9273" t="s">
        <v>11434</v>
      </c>
      <c r="B9273">
        <v>47.5</v>
      </c>
    </row>
    <row r="9274" spans="1:3" ht="15" customHeight="1" x14ac:dyDescent="0.25">
      <c r="A9274" t="s">
        <v>11435</v>
      </c>
      <c r="B9274">
        <v>47.5</v>
      </c>
    </row>
    <row r="9275" spans="1:3" ht="15" customHeight="1" x14ac:dyDescent="0.25">
      <c r="A9275" t="s">
        <v>11436</v>
      </c>
      <c r="B9275">
        <v>47.5</v>
      </c>
    </row>
    <row r="9276" spans="1:3" ht="15" customHeight="1" x14ac:dyDescent="0.25">
      <c r="A9276" t="s">
        <v>11437</v>
      </c>
      <c r="B9276">
        <v>47.5</v>
      </c>
    </row>
    <row r="9277" spans="1:3" ht="15" customHeight="1" x14ac:dyDescent="0.25">
      <c r="A9277" t="s">
        <v>11438</v>
      </c>
      <c r="B9277">
        <v>47.5</v>
      </c>
    </row>
    <row r="9278" spans="1:3" ht="15" customHeight="1" x14ac:dyDescent="0.25">
      <c r="A9278" t="s">
        <v>11439</v>
      </c>
      <c r="B9278">
        <v>71.5</v>
      </c>
    </row>
    <row r="9279" spans="1:3" ht="15" customHeight="1" x14ac:dyDescent="0.25">
      <c r="A9279" t="s">
        <v>11440</v>
      </c>
      <c r="B9279">
        <v>71.5</v>
      </c>
    </row>
    <row r="9280" spans="1:3" ht="15" customHeight="1" x14ac:dyDescent="0.25">
      <c r="A9280" t="s">
        <v>11441</v>
      </c>
      <c r="B9280">
        <v>71.5</v>
      </c>
    </row>
    <row r="9281" spans="1:3" ht="15" customHeight="1" x14ac:dyDescent="0.25">
      <c r="A9281" t="s">
        <v>11442</v>
      </c>
      <c r="B9281">
        <v>71.5</v>
      </c>
      <c r="C9281">
        <v>0.3</v>
      </c>
    </row>
    <row r="9282" spans="1:3" ht="15" customHeight="1" x14ac:dyDescent="0.25">
      <c r="A9282" t="s">
        <v>11443</v>
      </c>
      <c r="B9282">
        <v>119.5</v>
      </c>
    </row>
    <row r="9283" spans="1:3" ht="15" customHeight="1" x14ac:dyDescent="0.25">
      <c r="A9283" t="s">
        <v>11444</v>
      </c>
      <c r="B9283">
        <v>119.5</v>
      </c>
    </row>
    <row r="9284" spans="1:3" ht="15" customHeight="1" x14ac:dyDescent="0.25">
      <c r="A9284" t="s">
        <v>11445</v>
      </c>
      <c r="B9284">
        <v>119.5</v>
      </c>
    </row>
    <row r="9285" spans="1:3" ht="15" customHeight="1" x14ac:dyDescent="0.25">
      <c r="A9285" t="s">
        <v>11446</v>
      </c>
      <c r="B9285">
        <v>119.5</v>
      </c>
      <c r="C9285">
        <v>0.3</v>
      </c>
    </row>
    <row r="9286" spans="1:3" ht="15" customHeight="1" x14ac:dyDescent="0.25">
      <c r="A9286" t="s">
        <v>11447</v>
      </c>
      <c r="B9286">
        <v>119.5</v>
      </c>
    </row>
    <row r="9287" spans="1:3" ht="15" customHeight="1" x14ac:dyDescent="0.25">
      <c r="A9287" t="s">
        <v>11448</v>
      </c>
      <c r="B9287">
        <v>119.5</v>
      </c>
    </row>
    <row r="9288" spans="1:3" ht="15" customHeight="1" x14ac:dyDescent="0.25">
      <c r="A9288" t="s">
        <v>11449</v>
      </c>
      <c r="B9288">
        <v>119.5</v>
      </c>
    </row>
    <row r="9289" spans="1:3" ht="15" customHeight="1" x14ac:dyDescent="0.25">
      <c r="A9289" t="s">
        <v>11450</v>
      </c>
      <c r="B9289">
        <v>119.5</v>
      </c>
    </row>
    <row r="9290" spans="1:3" ht="15" customHeight="1" x14ac:dyDescent="0.25">
      <c r="A9290" t="s">
        <v>11451</v>
      </c>
      <c r="B9290">
        <v>111.5</v>
      </c>
    </row>
    <row r="9291" spans="1:3" ht="15" customHeight="1" x14ac:dyDescent="0.25">
      <c r="A9291" t="s">
        <v>11452</v>
      </c>
      <c r="B9291">
        <v>111.5</v>
      </c>
    </row>
    <row r="9292" spans="1:3" ht="15" customHeight="1" x14ac:dyDescent="0.25">
      <c r="A9292" t="s">
        <v>11453</v>
      </c>
      <c r="B9292">
        <v>111.5</v>
      </c>
    </row>
    <row r="9293" spans="1:3" ht="15" customHeight="1" x14ac:dyDescent="0.25">
      <c r="A9293" t="s">
        <v>11454</v>
      </c>
      <c r="B9293">
        <v>119.5</v>
      </c>
      <c r="C9293">
        <v>0.3</v>
      </c>
    </row>
    <row r="9294" spans="1:3" ht="15" customHeight="1" x14ac:dyDescent="0.25">
      <c r="A9294" t="s">
        <v>11455</v>
      </c>
      <c r="B9294">
        <v>119.5</v>
      </c>
    </row>
    <row r="9295" spans="1:3" ht="15" customHeight="1" x14ac:dyDescent="0.25">
      <c r="A9295" t="s">
        <v>11456</v>
      </c>
      <c r="B9295">
        <v>119.5</v>
      </c>
    </row>
    <row r="9296" spans="1:3" ht="15" customHeight="1" x14ac:dyDescent="0.25">
      <c r="A9296" t="s">
        <v>11457</v>
      </c>
      <c r="B9296">
        <v>119.5</v>
      </c>
    </row>
    <row r="9297" spans="1:3" ht="15" customHeight="1" x14ac:dyDescent="0.25">
      <c r="A9297" t="s">
        <v>11458</v>
      </c>
      <c r="B9297">
        <v>119.5</v>
      </c>
    </row>
    <row r="9298" spans="1:3" ht="15" customHeight="1" x14ac:dyDescent="0.25">
      <c r="A9298" t="s">
        <v>11459</v>
      </c>
      <c r="B9298">
        <v>119.5</v>
      </c>
      <c r="C9298">
        <v>0.3</v>
      </c>
    </row>
    <row r="9299" spans="1:3" ht="15" customHeight="1" x14ac:dyDescent="0.25">
      <c r="A9299" t="s">
        <v>11460</v>
      </c>
      <c r="B9299">
        <v>119.5</v>
      </c>
    </row>
    <row r="9300" spans="1:3" ht="15" customHeight="1" x14ac:dyDescent="0.25">
      <c r="A9300" t="s">
        <v>11461</v>
      </c>
      <c r="B9300">
        <v>135.5</v>
      </c>
    </row>
    <row r="9301" spans="1:3" ht="15" customHeight="1" x14ac:dyDescent="0.25">
      <c r="A9301" t="s">
        <v>11462</v>
      </c>
      <c r="B9301">
        <v>135.5</v>
      </c>
    </row>
    <row r="9302" spans="1:3" ht="15" customHeight="1" x14ac:dyDescent="0.25">
      <c r="A9302" t="s">
        <v>11463</v>
      </c>
      <c r="B9302">
        <v>135.5</v>
      </c>
    </row>
    <row r="9303" spans="1:3" ht="15" customHeight="1" x14ac:dyDescent="0.25">
      <c r="A9303" t="s">
        <v>11464</v>
      </c>
      <c r="B9303">
        <v>135.5</v>
      </c>
    </row>
    <row r="9304" spans="1:3" ht="15" customHeight="1" x14ac:dyDescent="0.25">
      <c r="A9304" t="s">
        <v>11465</v>
      </c>
      <c r="B9304">
        <v>135.5</v>
      </c>
    </row>
    <row r="9305" spans="1:3" ht="15" customHeight="1" x14ac:dyDescent="0.25">
      <c r="A9305" t="s">
        <v>11466</v>
      </c>
      <c r="B9305">
        <v>135.5</v>
      </c>
    </row>
    <row r="9306" spans="1:3" ht="15" customHeight="1" x14ac:dyDescent="0.25">
      <c r="A9306" t="s">
        <v>11467</v>
      </c>
      <c r="B9306">
        <v>135.5</v>
      </c>
    </row>
    <row r="9307" spans="1:3" ht="15" customHeight="1" x14ac:dyDescent="0.25">
      <c r="A9307" t="s">
        <v>11468</v>
      </c>
      <c r="B9307">
        <v>135.5</v>
      </c>
    </row>
    <row r="9308" spans="1:3" ht="15" customHeight="1" x14ac:dyDescent="0.25">
      <c r="A9308" t="s">
        <v>11469</v>
      </c>
      <c r="B9308">
        <v>135.5</v>
      </c>
    </row>
    <row r="9309" spans="1:3" ht="15" customHeight="1" x14ac:dyDescent="0.25">
      <c r="A9309" t="s">
        <v>11470</v>
      </c>
      <c r="B9309">
        <v>135.5</v>
      </c>
    </row>
    <row r="9310" spans="1:3" ht="15" customHeight="1" x14ac:dyDescent="0.25">
      <c r="A9310" t="s">
        <v>11471</v>
      </c>
      <c r="B9310">
        <v>135.5</v>
      </c>
    </row>
    <row r="9311" spans="1:3" ht="15" customHeight="1" x14ac:dyDescent="0.25">
      <c r="A9311" t="s">
        <v>11472</v>
      </c>
      <c r="B9311">
        <v>135.5</v>
      </c>
    </row>
    <row r="9312" spans="1:3" ht="15" customHeight="1" x14ac:dyDescent="0.25">
      <c r="A9312" t="s">
        <v>11473</v>
      </c>
      <c r="B9312">
        <v>135.5</v>
      </c>
    </row>
    <row r="9313" spans="1:2" ht="15" customHeight="1" x14ac:dyDescent="0.25">
      <c r="A9313" t="s">
        <v>11474</v>
      </c>
      <c r="B9313">
        <v>135.5</v>
      </c>
    </row>
    <row r="9314" spans="1:2" ht="15" customHeight="1" x14ac:dyDescent="0.25">
      <c r="A9314" t="s">
        <v>11475</v>
      </c>
      <c r="B9314">
        <v>135.5</v>
      </c>
    </row>
    <row r="9315" spans="1:2" ht="15" customHeight="1" x14ac:dyDescent="0.25">
      <c r="A9315" t="s">
        <v>11476</v>
      </c>
      <c r="B9315">
        <v>135.5</v>
      </c>
    </row>
    <row r="9316" spans="1:2" ht="15" customHeight="1" x14ac:dyDescent="0.25">
      <c r="A9316" t="s">
        <v>11477</v>
      </c>
      <c r="B9316">
        <v>135.5</v>
      </c>
    </row>
    <row r="9317" spans="1:2" ht="15" customHeight="1" x14ac:dyDescent="0.25">
      <c r="A9317" t="s">
        <v>11478</v>
      </c>
      <c r="B9317">
        <v>135.5</v>
      </c>
    </row>
    <row r="9318" spans="1:2" ht="15" customHeight="1" x14ac:dyDescent="0.25">
      <c r="A9318" t="s">
        <v>11479</v>
      </c>
      <c r="B9318">
        <v>119.5</v>
      </c>
    </row>
    <row r="9319" spans="1:2" ht="15" customHeight="1" x14ac:dyDescent="0.25">
      <c r="A9319" t="s">
        <v>11480</v>
      </c>
      <c r="B9319">
        <v>119.5</v>
      </c>
    </row>
    <row r="9320" spans="1:2" ht="15" customHeight="1" x14ac:dyDescent="0.25">
      <c r="A9320" t="s">
        <v>11481</v>
      </c>
      <c r="B9320">
        <v>151.5</v>
      </c>
    </row>
    <row r="9321" spans="1:2" ht="15" customHeight="1" x14ac:dyDescent="0.25">
      <c r="A9321" t="s">
        <v>11482</v>
      </c>
      <c r="B9321">
        <v>151.5</v>
      </c>
    </row>
    <row r="9322" spans="1:2" ht="15" customHeight="1" x14ac:dyDescent="0.25">
      <c r="A9322" t="s">
        <v>11483</v>
      </c>
      <c r="B9322">
        <v>127.5</v>
      </c>
    </row>
    <row r="9323" spans="1:2" ht="15" customHeight="1" x14ac:dyDescent="0.25">
      <c r="A9323" t="s">
        <v>11484</v>
      </c>
      <c r="B9323">
        <v>127.5</v>
      </c>
    </row>
    <row r="9324" spans="1:2" ht="15" customHeight="1" x14ac:dyDescent="0.25">
      <c r="A9324" t="s">
        <v>11485</v>
      </c>
      <c r="B9324">
        <v>127.5</v>
      </c>
    </row>
    <row r="9325" spans="1:2" ht="15" customHeight="1" x14ac:dyDescent="0.25">
      <c r="A9325" t="s">
        <v>11486</v>
      </c>
      <c r="B9325">
        <v>127.5</v>
      </c>
    </row>
    <row r="9326" spans="1:2" ht="15" customHeight="1" x14ac:dyDescent="0.25">
      <c r="A9326" t="s">
        <v>11487</v>
      </c>
      <c r="B9326">
        <v>127.5</v>
      </c>
    </row>
    <row r="9327" spans="1:2" ht="15" customHeight="1" x14ac:dyDescent="0.25">
      <c r="A9327" t="s">
        <v>11488</v>
      </c>
      <c r="B9327">
        <v>127.5</v>
      </c>
    </row>
    <row r="9328" spans="1:2" ht="15" customHeight="1" x14ac:dyDescent="0.25">
      <c r="A9328" t="s">
        <v>11489</v>
      </c>
      <c r="B9328">
        <v>127.5</v>
      </c>
    </row>
    <row r="9329" spans="1:2" ht="15" customHeight="1" x14ac:dyDescent="0.25">
      <c r="A9329" t="s">
        <v>11490</v>
      </c>
      <c r="B9329">
        <v>127.5</v>
      </c>
    </row>
    <row r="9330" spans="1:2" ht="15" customHeight="1" x14ac:dyDescent="0.25">
      <c r="A9330" t="s">
        <v>11491</v>
      </c>
      <c r="B9330">
        <v>127.5</v>
      </c>
    </row>
    <row r="9331" spans="1:2" ht="15" customHeight="1" x14ac:dyDescent="0.25">
      <c r="A9331" t="s">
        <v>11492</v>
      </c>
      <c r="B9331">
        <v>127.5</v>
      </c>
    </row>
    <row r="9332" spans="1:2" ht="15" customHeight="1" x14ac:dyDescent="0.25">
      <c r="A9332" t="s">
        <v>11493</v>
      </c>
      <c r="B9332">
        <v>127.5</v>
      </c>
    </row>
    <row r="9333" spans="1:2" ht="15" customHeight="1" x14ac:dyDescent="0.25">
      <c r="A9333" t="s">
        <v>11494</v>
      </c>
      <c r="B9333">
        <v>127.5</v>
      </c>
    </row>
    <row r="9334" spans="1:2" ht="15" customHeight="1" x14ac:dyDescent="0.25">
      <c r="A9334" t="s">
        <v>11495</v>
      </c>
      <c r="B9334">
        <v>47.5</v>
      </c>
    </row>
    <row r="9335" spans="1:2" ht="15" customHeight="1" x14ac:dyDescent="0.25">
      <c r="A9335" t="s">
        <v>11496</v>
      </c>
      <c r="B9335">
        <v>47.5</v>
      </c>
    </row>
    <row r="9336" spans="1:2" ht="15" customHeight="1" x14ac:dyDescent="0.25">
      <c r="A9336" t="s">
        <v>11497</v>
      </c>
      <c r="B9336">
        <v>47.5</v>
      </c>
    </row>
    <row r="9337" spans="1:2" ht="15" customHeight="1" x14ac:dyDescent="0.25">
      <c r="A9337" t="s">
        <v>11498</v>
      </c>
      <c r="B9337">
        <v>47.5</v>
      </c>
    </row>
    <row r="9338" spans="1:2" ht="15" customHeight="1" x14ac:dyDescent="0.25">
      <c r="A9338" t="s">
        <v>11499</v>
      </c>
      <c r="B9338">
        <v>47.5</v>
      </c>
    </row>
    <row r="9339" spans="1:2" ht="15" customHeight="1" x14ac:dyDescent="0.25">
      <c r="A9339" t="s">
        <v>11500</v>
      </c>
      <c r="B9339">
        <v>47.5</v>
      </c>
    </row>
    <row r="9340" spans="1:2" ht="15" customHeight="1" x14ac:dyDescent="0.25">
      <c r="A9340" t="s">
        <v>11501</v>
      </c>
      <c r="B9340">
        <v>47.5</v>
      </c>
    </row>
    <row r="9341" spans="1:2" ht="15" customHeight="1" x14ac:dyDescent="0.25">
      <c r="A9341" t="s">
        <v>11502</v>
      </c>
      <c r="B9341">
        <v>47.5</v>
      </c>
    </row>
    <row r="9342" spans="1:2" ht="15" customHeight="1" x14ac:dyDescent="0.25">
      <c r="A9342" t="s">
        <v>11503</v>
      </c>
      <c r="B9342">
        <v>47.5</v>
      </c>
    </row>
    <row r="9343" spans="1:2" ht="15" customHeight="1" x14ac:dyDescent="0.25">
      <c r="A9343" t="s">
        <v>11504</v>
      </c>
      <c r="B9343">
        <v>47.5</v>
      </c>
    </row>
    <row r="9344" spans="1:2" ht="15" customHeight="1" x14ac:dyDescent="0.25">
      <c r="A9344" t="s">
        <v>11505</v>
      </c>
      <c r="B9344">
        <v>47.5</v>
      </c>
    </row>
    <row r="9345" spans="1:3" ht="15" customHeight="1" x14ac:dyDescent="0.25">
      <c r="A9345" t="s">
        <v>11506</v>
      </c>
      <c r="B9345">
        <v>47.5</v>
      </c>
    </row>
    <row r="9346" spans="1:3" ht="15" customHeight="1" x14ac:dyDescent="0.25">
      <c r="A9346" t="s">
        <v>11507</v>
      </c>
      <c r="B9346">
        <v>47.5</v>
      </c>
    </row>
    <row r="9347" spans="1:3" ht="15" customHeight="1" x14ac:dyDescent="0.25">
      <c r="A9347" t="s">
        <v>11508</v>
      </c>
      <c r="B9347">
        <v>47.5</v>
      </c>
    </row>
    <row r="9348" spans="1:3" ht="15" customHeight="1" x14ac:dyDescent="0.25">
      <c r="A9348" t="s">
        <v>11509</v>
      </c>
      <c r="B9348">
        <v>47.5</v>
      </c>
    </row>
    <row r="9349" spans="1:3" ht="15" customHeight="1" x14ac:dyDescent="0.25">
      <c r="A9349" t="s">
        <v>11510</v>
      </c>
      <c r="B9349">
        <v>47.5</v>
      </c>
    </row>
    <row r="9350" spans="1:3" ht="15" customHeight="1" x14ac:dyDescent="0.25">
      <c r="A9350" t="s">
        <v>11511</v>
      </c>
      <c r="B9350">
        <v>47.5</v>
      </c>
    </row>
    <row r="9351" spans="1:3" ht="15" customHeight="1" x14ac:dyDescent="0.25">
      <c r="A9351" t="s">
        <v>11512</v>
      </c>
      <c r="B9351">
        <v>63.5</v>
      </c>
      <c r="C9351">
        <v>0.3</v>
      </c>
    </row>
    <row r="9352" spans="1:3" ht="15" customHeight="1" x14ac:dyDescent="0.25">
      <c r="A9352" t="s">
        <v>11513</v>
      </c>
      <c r="B9352">
        <v>63.5</v>
      </c>
    </row>
    <row r="9353" spans="1:3" ht="15" customHeight="1" x14ac:dyDescent="0.25">
      <c r="A9353" t="s">
        <v>11514</v>
      </c>
      <c r="B9353">
        <v>63.5</v>
      </c>
    </row>
    <row r="9354" spans="1:3" ht="15" customHeight="1" x14ac:dyDescent="0.25">
      <c r="A9354" t="s">
        <v>11515</v>
      </c>
      <c r="B9354">
        <v>79.5</v>
      </c>
    </row>
    <row r="9355" spans="1:3" ht="15" customHeight="1" x14ac:dyDescent="0.25">
      <c r="A9355" t="s">
        <v>11516</v>
      </c>
      <c r="B9355">
        <v>79.5</v>
      </c>
    </row>
    <row r="9356" spans="1:3" ht="15" customHeight="1" x14ac:dyDescent="0.25">
      <c r="A9356" t="s">
        <v>11517</v>
      </c>
      <c r="B9356">
        <v>79.5</v>
      </c>
    </row>
    <row r="9357" spans="1:3" ht="15" customHeight="1" x14ac:dyDescent="0.25">
      <c r="A9357" t="s">
        <v>11518</v>
      </c>
      <c r="B9357">
        <v>79.5</v>
      </c>
    </row>
    <row r="9358" spans="1:3" ht="15" customHeight="1" x14ac:dyDescent="0.25">
      <c r="A9358" t="s">
        <v>11519</v>
      </c>
      <c r="B9358">
        <v>79.5</v>
      </c>
    </row>
    <row r="9359" spans="1:3" ht="15" customHeight="1" x14ac:dyDescent="0.25">
      <c r="A9359" t="s">
        <v>11520</v>
      </c>
      <c r="B9359">
        <v>79.5</v>
      </c>
    </row>
    <row r="9360" spans="1:3" ht="15" customHeight="1" x14ac:dyDescent="0.25">
      <c r="A9360" t="s">
        <v>11521</v>
      </c>
      <c r="B9360">
        <v>79.5</v>
      </c>
    </row>
    <row r="9361" spans="1:2" ht="15" customHeight="1" x14ac:dyDescent="0.25">
      <c r="A9361" t="s">
        <v>11522</v>
      </c>
      <c r="B9361">
        <v>79.5</v>
      </c>
    </row>
    <row r="9362" spans="1:2" ht="15" customHeight="1" x14ac:dyDescent="0.25">
      <c r="A9362" t="s">
        <v>11523</v>
      </c>
      <c r="B9362">
        <v>71.5</v>
      </c>
    </row>
    <row r="9363" spans="1:2" ht="15" customHeight="1" x14ac:dyDescent="0.25">
      <c r="A9363" t="s">
        <v>11524</v>
      </c>
      <c r="B9363">
        <v>71.5</v>
      </c>
    </row>
    <row r="9364" spans="1:2" ht="15" customHeight="1" x14ac:dyDescent="0.25">
      <c r="A9364" t="s">
        <v>11525</v>
      </c>
      <c r="B9364">
        <v>71.5</v>
      </c>
    </row>
    <row r="9365" spans="1:2" ht="15" customHeight="1" x14ac:dyDescent="0.25">
      <c r="A9365" t="s">
        <v>11526</v>
      </c>
      <c r="B9365">
        <v>71.5</v>
      </c>
    </row>
    <row r="9366" spans="1:2" ht="15" customHeight="1" x14ac:dyDescent="0.25">
      <c r="A9366" t="s">
        <v>11527</v>
      </c>
      <c r="B9366">
        <v>71.5</v>
      </c>
    </row>
    <row r="9367" spans="1:2" ht="15" customHeight="1" x14ac:dyDescent="0.25">
      <c r="A9367" t="s">
        <v>11528</v>
      </c>
      <c r="B9367">
        <v>71.5</v>
      </c>
    </row>
    <row r="9368" spans="1:2" ht="15" customHeight="1" x14ac:dyDescent="0.25">
      <c r="A9368" t="s">
        <v>11529</v>
      </c>
      <c r="B9368">
        <v>47.5</v>
      </c>
    </row>
    <row r="9369" spans="1:2" ht="15" customHeight="1" x14ac:dyDescent="0.25">
      <c r="A9369" t="s">
        <v>11530</v>
      </c>
      <c r="B9369">
        <v>47.5</v>
      </c>
    </row>
    <row r="9370" spans="1:2" ht="15" customHeight="1" x14ac:dyDescent="0.25">
      <c r="A9370" t="s">
        <v>11531</v>
      </c>
      <c r="B9370">
        <v>47.5</v>
      </c>
    </row>
    <row r="9371" spans="1:2" ht="15" customHeight="1" x14ac:dyDescent="0.25">
      <c r="A9371" t="s">
        <v>11532</v>
      </c>
      <c r="B9371">
        <v>47.5</v>
      </c>
    </row>
    <row r="9372" spans="1:2" ht="15" customHeight="1" x14ac:dyDescent="0.25">
      <c r="A9372" t="s">
        <v>11533</v>
      </c>
      <c r="B9372">
        <v>55.5</v>
      </c>
    </row>
    <row r="9373" spans="1:2" ht="15" customHeight="1" x14ac:dyDescent="0.25">
      <c r="A9373" t="s">
        <v>11534</v>
      </c>
      <c r="B9373">
        <v>55.5</v>
      </c>
    </row>
    <row r="9374" spans="1:2" ht="15" customHeight="1" x14ac:dyDescent="0.25">
      <c r="A9374" t="s">
        <v>11535</v>
      </c>
      <c r="B9374">
        <v>55.5</v>
      </c>
    </row>
    <row r="9375" spans="1:2" ht="15" customHeight="1" x14ac:dyDescent="0.25">
      <c r="A9375" t="s">
        <v>11536</v>
      </c>
      <c r="B9375">
        <v>55.5</v>
      </c>
    </row>
    <row r="9376" spans="1:2" ht="15" customHeight="1" x14ac:dyDescent="0.25">
      <c r="A9376" t="s">
        <v>11537</v>
      </c>
      <c r="B9376">
        <v>55.5</v>
      </c>
    </row>
    <row r="9377" spans="1:2" ht="15" customHeight="1" x14ac:dyDescent="0.25">
      <c r="A9377" t="s">
        <v>11538</v>
      </c>
      <c r="B9377">
        <v>55.5</v>
      </c>
    </row>
    <row r="9378" spans="1:2" ht="15" customHeight="1" x14ac:dyDescent="0.25">
      <c r="A9378" t="s">
        <v>11539</v>
      </c>
      <c r="B9378">
        <v>55.5</v>
      </c>
    </row>
    <row r="9379" spans="1:2" ht="15" customHeight="1" x14ac:dyDescent="0.25">
      <c r="A9379" t="s">
        <v>11540</v>
      </c>
      <c r="B9379">
        <v>79.5</v>
      </c>
    </row>
    <row r="9380" spans="1:2" ht="15" customHeight="1" x14ac:dyDescent="0.25">
      <c r="A9380" t="s">
        <v>11541</v>
      </c>
      <c r="B9380">
        <v>79.5</v>
      </c>
    </row>
    <row r="9381" spans="1:2" ht="15" customHeight="1" x14ac:dyDescent="0.25">
      <c r="A9381" t="s">
        <v>11542</v>
      </c>
      <c r="B9381">
        <v>79.5</v>
      </c>
    </row>
    <row r="9382" spans="1:2" ht="15" customHeight="1" x14ac:dyDescent="0.25">
      <c r="A9382" t="s">
        <v>11543</v>
      </c>
      <c r="B9382">
        <v>79.5</v>
      </c>
    </row>
    <row r="9383" spans="1:2" ht="15" customHeight="1" x14ac:dyDescent="0.25">
      <c r="A9383" t="s">
        <v>11544</v>
      </c>
      <c r="B9383">
        <v>79.5</v>
      </c>
    </row>
    <row r="9384" spans="1:2" ht="15" customHeight="1" x14ac:dyDescent="0.25">
      <c r="A9384" t="s">
        <v>11545</v>
      </c>
      <c r="B9384">
        <v>79.5</v>
      </c>
    </row>
    <row r="9385" spans="1:2" ht="15" customHeight="1" x14ac:dyDescent="0.25">
      <c r="A9385" t="s">
        <v>11546</v>
      </c>
      <c r="B9385">
        <v>79.5</v>
      </c>
    </row>
    <row r="9386" spans="1:2" ht="15" customHeight="1" x14ac:dyDescent="0.25">
      <c r="A9386" t="s">
        <v>11547</v>
      </c>
      <c r="B9386">
        <v>79.5</v>
      </c>
    </row>
    <row r="9387" spans="1:2" ht="15" customHeight="1" x14ac:dyDescent="0.25">
      <c r="A9387" t="s">
        <v>11548</v>
      </c>
      <c r="B9387">
        <v>79.5</v>
      </c>
    </row>
    <row r="9388" spans="1:2" ht="15" customHeight="1" x14ac:dyDescent="0.25">
      <c r="A9388" t="s">
        <v>11549</v>
      </c>
      <c r="B9388">
        <v>79.5</v>
      </c>
    </row>
    <row r="9389" spans="1:2" ht="15" customHeight="1" x14ac:dyDescent="0.25">
      <c r="A9389" t="s">
        <v>11550</v>
      </c>
      <c r="B9389">
        <v>79.5</v>
      </c>
    </row>
    <row r="9390" spans="1:2" ht="15" customHeight="1" x14ac:dyDescent="0.25">
      <c r="A9390" t="s">
        <v>11551</v>
      </c>
      <c r="B9390">
        <v>79.5</v>
      </c>
    </row>
    <row r="9391" spans="1:2" ht="15" customHeight="1" x14ac:dyDescent="0.25">
      <c r="A9391" t="s">
        <v>11552</v>
      </c>
      <c r="B9391">
        <v>79.5</v>
      </c>
    </row>
    <row r="9392" spans="1:2" ht="15" customHeight="1" x14ac:dyDescent="0.25">
      <c r="A9392" t="s">
        <v>11553</v>
      </c>
      <c r="B9392">
        <v>79.5</v>
      </c>
    </row>
    <row r="9393" spans="1:3" ht="15" customHeight="1" x14ac:dyDescent="0.25">
      <c r="A9393" t="s">
        <v>11554</v>
      </c>
      <c r="B9393">
        <v>79.5</v>
      </c>
    </row>
    <row r="9394" spans="1:3" ht="15" customHeight="1" x14ac:dyDescent="0.25">
      <c r="A9394" t="s">
        <v>11555</v>
      </c>
      <c r="B9394">
        <v>79.5</v>
      </c>
    </row>
    <row r="9395" spans="1:3" ht="15" customHeight="1" x14ac:dyDescent="0.25">
      <c r="A9395" t="s">
        <v>11556</v>
      </c>
      <c r="B9395">
        <v>79.5</v>
      </c>
    </row>
    <row r="9396" spans="1:3" ht="15" customHeight="1" x14ac:dyDescent="0.25">
      <c r="A9396" t="s">
        <v>11557</v>
      </c>
      <c r="B9396">
        <v>79.5</v>
      </c>
    </row>
    <row r="9397" spans="1:3" ht="15" customHeight="1" x14ac:dyDescent="0.25">
      <c r="A9397" t="s">
        <v>11558</v>
      </c>
      <c r="B9397">
        <v>127.5</v>
      </c>
      <c r="C9397">
        <v>0.3</v>
      </c>
    </row>
    <row r="9398" spans="1:3" ht="15" customHeight="1" x14ac:dyDescent="0.25">
      <c r="A9398" t="s">
        <v>11559</v>
      </c>
      <c r="B9398">
        <v>127.5</v>
      </c>
    </row>
    <row r="9399" spans="1:3" ht="15" customHeight="1" x14ac:dyDescent="0.25">
      <c r="A9399" t="s">
        <v>11560</v>
      </c>
      <c r="B9399">
        <v>127.5</v>
      </c>
    </row>
    <row r="9400" spans="1:3" ht="15" customHeight="1" x14ac:dyDescent="0.25">
      <c r="A9400" t="s">
        <v>11561</v>
      </c>
      <c r="B9400">
        <v>127.5</v>
      </c>
    </row>
    <row r="9401" spans="1:3" ht="15" customHeight="1" x14ac:dyDescent="0.25">
      <c r="A9401" t="s">
        <v>11562</v>
      </c>
      <c r="B9401">
        <v>127.5</v>
      </c>
      <c r="C9401">
        <v>0.3</v>
      </c>
    </row>
    <row r="9402" spans="1:3" ht="15" customHeight="1" x14ac:dyDescent="0.25">
      <c r="A9402" t="s">
        <v>11563</v>
      </c>
      <c r="B9402">
        <v>127.5</v>
      </c>
      <c r="C9402">
        <v>0.3</v>
      </c>
    </row>
    <row r="9403" spans="1:3" ht="15" customHeight="1" x14ac:dyDescent="0.25">
      <c r="A9403" t="s">
        <v>11564</v>
      </c>
      <c r="B9403">
        <v>47.5</v>
      </c>
    </row>
    <row r="9404" spans="1:3" ht="15" customHeight="1" x14ac:dyDescent="0.25">
      <c r="A9404" t="s">
        <v>11565</v>
      </c>
      <c r="B9404">
        <v>47.5</v>
      </c>
      <c r="C9404">
        <v>0.3</v>
      </c>
    </row>
    <row r="9405" spans="1:3" ht="15" customHeight="1" x14ac:dyDescent="0.25">
      <c r="A9405" t="s">
        <v>11566</v>
      </c>
      <c r="B9405">
        <v>47.5</v>
      </c>
    </row>
    <row r="9406" spans="1:3" ht="15" customHeight="1" x14ac:dyDescent="0.25">
      <c r="A9406" t="s">
        <v>11567</v>
      </c>
      <c r="B9406">
        <v>47.5</v>
      </c>
    </row>
    <row r="9407" spans="1:3" ht="15" customHeight="1" x14ac:dyDescent="0.25">
      <c r="A9407" t="s">
        <v>11568</v>
      </c>
      <c r="B9407">
        <v>55.5</v>
      </c>
    </row>
    <row r="9408" spans="1:3" ht="15" customHeight="1" x14ac:dyDescent="0.25">
      <c r="A9408" t="s">
        <v>11569</v>
      </c>
      <c r="B9408">
        <v>55.5</v>
      </c>
    </row>
    <row r="9409" spans="1:3" ht="15" customHeight="1" x14ac:dyDescent="0.25">
      <c r="A9409" t="s">
        <v>11570</v>
      </c>
      <c r="B9409">
        <v>55.5</v>
      </c>
    </row>
    <row r="9410" spans="1:3" ht="15" customHeight="1" x14ac:dyDescent="0.25">
      <c r="A9410" t="s">
        <v>11571</v>
      </c>
      <c r="B9410">
        <v>55.5</v>
      </c>
    </row>
    <row r="9411" spans="1:3" ht="15" customHeight="1" x14ac:dyDescent="0.25">
      <c r="A9411" t="s">
        <v>11572</v>
      </c>
      <c r="B9411">
        <v>55.5</v>
      </c>
      <c r="C9411">
        <v>0.3</v>
      </c>
    </row>
    <row r="9412" spans="1:3" ht="15" customHeight="1" x14ac:dyDescent="0.25">
      <c r="A9412" t="s">
        <v>11573</v>
      </c>
      <c r="B9412">
        <v>55.5</v>
      </c>
    </row>
    <row r="9413" spans="1:3" ht="15" customHeight="1" x14ac:dyDescent="0.25">
      <c r="A9413" t="s">
        <v>11574</v>
      </c>
      <c r="B9413">
        <v>87.5</v>
      </c>
      <c r="C9413">
        <v>0.3</v>
      </c>
    </row>
    <row r="9414" spans="1:3" ht="15" customHeight="1" x14ac:dyDescent="0.25">
      <c r="A9414" t="s">
        <v>11575</v>
      </c>
      <c r="B9414">
        <v>87.5</v>
      </c>
      <c r="C9414">
        <v>0.3</v>
      </c>
    </row>
    <row r="9415" spans="1:3" ht="15" customHeight="1" x14ac:dyDescent="0.25">
      <c r="A9415" t="s">
        <v>11576</v>
      </c>
      <c r="B9415">
        <v>87.5</v>
      </c>
    </row>
    <row r="9416" spans="1:3" ht="15" customHeight="1" x14ac:dyDescent="0.25">
      <c r="A9416" t="s">
        <v>11577</v>
      </c>
      <c r="B9416">
        <v>87.5</v>
      </c>
    </row>
    <row r="9417" spans="1:3" ht="15" customHeight="1" x14ac:dyDescent="0.25">
      <c r="A9417" t="s">
        <v>11578</v>
      </c>
      <c r="B9417">
        <v>87.5</v>
      </c>
    </row>
    <row r="9418" spans="1:3" ht="15" customHeight="1" x14ac:dyDescent="0.25">
      <c r="A9418" t="s">
        <v>11579</v>
      </c>
      <c r="B9418">
        <v>87.5</v>
      </c>
    </row>
    <row r="9419" spans="1:3" ht="15" customHeight="1" x14ac:dyDescent="0.25">
      <c r="A9419" t="s">
        <v>11580</v>
      </c>
      <c r="B9419">
        <v>87.5</v>
      </c>
    </row>
    <row r="9420" spans="1:3" ht="15" customHeight="1" x14ac:dyDescent="0.25">
      <c r="A9420" t="s">
        <v>11581</v>
      </c>
      <c r="B9420">
        <v>87.5</v>
      </c>
    </row>
    <row r="9421" spans="1:3" ht="15" customHeight="1" x14ac:dyDescent="0.25">
      <c r="A9421" t="s">
        <v>11582</v>
      </c>
      <c r="B9421">
        <v>87.5</v>
      </c>
    </row>
    <row r="9422" spans="1:3" ht="15" customHeight="1" x14ac:dyDescent="0.25">
      <c r="A9422" t="s">
        <v>11583</v>
      </c>
      <c r="B9422">
        <v>87.5</v>
      </c>
    </row>
    <row r="9423" spans="1:3" ht="15" customHeight="1" x14ac:dyDescent="0.25">
      <c r="A9423" t="s">
        <v>11584</v>
      </c>
      <c r="B9423">
        <v>87.5</v>
      </c>
    </row>
    <row r="9424" spans="1:3" ht="15" customHeight="1" x14ac:dyDescent="0.25">
      <c r="A9424" t="s">
        <v>11585</v>
      </c>
      <c r="B9424">
        <v>183.5</v>
      </c>
    </row>
    <row r="9425" spans="1:3" ht="15" customHeight="1" x14ac:dyDescent="0.25">
      <c r="A9425" t="s">
        <v>11586</v>
      </c>
      <c r="B9425">
        <v>183.5</v>
      </c>
    </row>
    <row r="9426" spans="1:3" ht="15" customHeight="1" x14ac:dyDescent="0.25">
      <c r="A9426" t="s">
        <v>11587</v>
      </c>
      <c r="B9426">
        <v>183.5</v>
      </c>
    </row>
    <row r="9427" spans="1:3" ht="15" customHeight="1" x14ac:dyDescent="0.25">
      <c r="A9427" t="s">
        <v>11588</v>
      </c>
      <c r="B9427">
        <v>183.5</v>
      </c>
    </row>
    <row r="9428" spans="1:3" ht="15" customHeight="1" x14ac:dyDescent="0.25">
      <c r="A9428" t="s">
        <v>11589</v>
      </c>
      <c r="B9428">
        <v>183.5</v>
      </c>
    </row>
    <row r="9429" spans="1:3" ht="15" customHeight="1" x14ac:dyDescent="0.25">
      <c r="A9429" t="s">
        <v>11590</v>
      </c>
      <c r="B9429">
        <v>183.5</v>
      </c>
    </row>
    <row r="9430" spans="1:3" ht="15" customHeight="1" x14ac:dyDescent="0.25">
      <c r="A9430" t="s">
        <v>11591</v>
      </c>
      <c r="B9430">
        <v>55.5</v>
      </c>
    </row>
    <row r="9431" spans="1:3" ht="15" customHeight="1" x14ac:dyDescent="0.25">
      <c r="A9431" t="s">
        <v>11592</v>
      </c>
      <c r="B9431">
        <v>55.5</v>
      </c>
    </row>
    <row r="9432" spans="1:3" ht="15" customHeight="1" x14ac:dyDescent="0.25">
      <c r="A9432" t="s">
        <v>11593</v>
      </c>
      <c r="B9432">
        <v>55.5</v>
      </c>
    </row>
    <row r="9433" spans="1:3" ht="15" customHeight="1" x14ac:dyDescent="0.25">
      <c r="A9433" t="s">
        <v>11594</v>
      </c>
      <c r="B9433">
        <v>55.5</v>
      </c>
    </row>
    <row r="9434" spans="1:3" ht="15" customHeight="1" x14ac:dyDescent="0.25">
      <c r="A9434" t="s">
        <v>11595</v>
      </c>
      <c r="B9434">
        <v>55.5</v>
      </c>
    </row>
    <row r="9435" spans="1:3" ht="15" customHeight="1" x14ac:dyDescent="0.25">
      <c r="A9435" t="s">
        <v>11596</v>
      </c>
      <c r="B9435">
        <v>55.5</v>
      </c>
    </row>
    <row r="9436" spans="1:3" ht="15" customHeight="1" x14ac:dyDescent="0.25">
      <c r="A9436" t="s">
        <v>11597</v>
      </c>
      <c r="B9436">
        <v>82.7</v>
      </c>
    </row>
    <row r="9437" spans="1:3" ht="15" customHeight="1" x14ac:dyDescent="0.25">
      <c r="A9437" t="s">
        <v>11598</v>
      </c>
      <c r="B9437">
        <v>95.4</v>
      </c>
      <c r="C9437">
        <v>0.3</v>
      </c>
    </row>
    <row r="9438" spans="1:3" ht="15" customHeight="1" x14ac:dyDescent="0.25">
      <c r="A9438" t="s">
        <v>11599</v>
      </c>
      <c r="B9438">
        <v>95.4</v>
      </c>
      <c r="C9438">
        <v>0.3</v>
      </c>
    </row>
    <row r="9439" spans="1:3" ht="15" customHeight="1" x14ac:dyDescent="0.25">
      <c r="A9439" t="s">
        <v>11600</v>
      </c>
      <c r="B9439">
        <v>95.4</v>
      </c>
      <c r="C9439">
        <v>0.3</v>
      </c>
    </row>
    <row r="9440" spans="1:3" ht="15" customHeight="1" x14ac:dyDescent="0.25">
      <c r="A9440" t="s">
        <v>11601</v>
      </c>
      <c r="B9440">
        <v>95.4</v>
      </c>
      <c r="C9440">
        <v>0.3</v>
      </c>
    </row>
    <row r="9441" spans="1:3" ht="15" customHeight="1" x14ac:dyDescent="0.25">
      <c r="A9441" t="s">
        <v>11602</v>
      </c>
      <c r="B9441">
        <v>95.4</v>
      </c>
      <c r="C9441">
        <v>0.3</v>
      </c>
    </row>
    <row r="9442" spans="1:3" ht="15" customHeight="1" x14ac:dyDescent="0.25">
      <c r="A9442" t="s">
        <v>11603</v>
      </c>
      <c r="B9442">
        <v>95.4</v>
      </c>
      <c r="C9442">
        <v>0.3</v>
      </c>
    </row>
    <row r="9443" spans="1:3" ht="15" customHeight="1" x14ac:dyDescent="0.25">
      <c r="A9443" t="s">
        <v>11604</v>
      </c>
      <c r="B9443">
        <v>89.4</v>
      </c>
    </row>
    <row r="9444" spans="1:3" ht="15" customHeight="1" x14ac:dyDescent="0.25">
      <c r="A9444" t="s">
        <v>11605</v>
      </c>
      <c r="B9444">
        <v>89.4</v>
      </c>
    </row>
    <row r="9445" spans="1:3" ht="15" customHeight="1" x14ac:dyDescent="0.25">
      <c r="A9445" t="s">
        <v>11606</v>
      </c>
      <c r="B9445">
        <v>89.4</v>
      </c>
    </row>
    <row r="9446" spans="1:3" ht="15" customHeight="1" x14ac:dyDescent="0.25">
      <c r="A9446" t="s">
        <v>11607</v>
      </c>
      <c r="B9446">
        <v>52.1</v>
      </c>
      <c r="C9446">
        <v>0.3</v>
      </c>
    </row>
    <row r="9447" spans="1:3" ht="15" customHeight="1" x14ac:dyDescent="0.25">
      <c r="A9447" t="s">
        <v>11608</v>
      </c>
      <c r="B9447">
        <v>52.1</v>
      </c>
      <c r="C9447">
        <v>0.3</v>
      </c>
    </row>
    <row r="9448" spans="1:3" ht="15" customHeight="1" x14ac:dyDescent="0.25">
      <c r="A9448" t="s">
        <v>11609</v>
      </c>
      <c r="B9448">
        <v>52.1</v>
      </c>
      <c r="C9448">
        <v>0.3</v>
      </c>
    </row>
    <row r="9449" spans="1:3" ht="15" customHeight="1" x14ac:dyDescent="0.25">
      <c r="A9449" t="s">
        <v>11610</v>
      </c>
      <c r="B9449">
        <v>52.3</v>
      </c>
    </row>
    <row r="9450" spans="1:3" ht="15" customHeight="1" x14ac:dyDescent="0.25">
      <c r="A9450" t="s">
        <v>11611</v>
      </c>
      <c r="B9450">
        <v>52.3</v>
      </c>
      <c r="C9450">
        <v>0.3</v>
      </c>
    </row>
    <row r="9451" spans="1:3" ht="15" customHeight="1" x14ac:dyDescent="0.25">
      <c r="A9451" t="s">
        <v>11612</v>
      </c>
      <c r="B9451">
        <v>52.3</v>
      </c>
      <c r="C9451">
        <v>0.3</v>
      </c>
    </row>
    <row r="9452" spans="1:3" ht="15" customHeight="1" x14ac:dyDescent="0.25">
      <c r="A9452" t="s">
        <v>11613</v>
      </c>
      <c r="B9452">
        <v>59.5</v>
      </c>
      <c r="C9452">
        <v>0.3</v>
      </c>
    </row>
    <row r="9453" spans="1:3" ht="15" customHeight="1" x14ac:dyDescent="0.25">
      <c r="A9453" t="s">
        <v>11614</v>
      </c>
      <c r="B9453">
        <v>59.5</v>
      </c>
      <c r="C9453">
        <v>0.3</v>
      </c>
    </row>
    <row r="9454" spans="1:3" ht="15" customHeight="1" x14ac:dyDescent="0.25">
      <c r="A9454" t="s">
        <v>11615</v>
      </c>
      <c r="B9454">
        <v>59.5</v>
      </c>
      <c r="C9454">
        <v>0.3</v>
      </c>
    </row>
    <row r="9455" spans="1:3" ht="15" customHeight="1" x14ac:dyDescent="0.25">
      <c r="A9455" t="s">
        <v>11616</v>
      </c>
      <c r="B9455">
        <v>82.6</v>
      </c>
      <c r="C9455">
        <v>0.3</v>
      </c>
    </row>
    <row r="9456" spans="1:3" ht="15" customHeight="1" x14ac:dyDescent="0.25">
      <c r="A9456" t="s">
        <v>11617</v>
      </c>
      <c r="B9456">
        <v>82.6</v>
      </c>
      <c r="C9456">
        <v>0.3</v>
      </c>
    </row>
    <row r="9457" spans="1:3" ht="15" customHeight="1" x14ac:dyDescent="0.25">
      <c r="A9457" t="s">
        <v>11618</v>
      </c>
      <c r="B9457">
        <v>82.6</v>
      </c>
      <c r="C9457">
        <v>0.3</v>
      </c>
    </row>
    <row r="9458" spans="1:3" ht="15" customHeight="1" x14ac:dyDescent="0.25">
      <c r="A9458" t="s">
        <v>11619</v>
      </c>
      <c r="B9458">
        <v>82.6</v>
      </c>
      <c r="C9458">
        <v>0.3</v>
      </c>
    </row>
    <row r="9459" spans="1:3" ht="15" customHeight="1" x14ac:dyDescent="0.25">
      <c r="A9459" t="s">
        <v>11620</v>
      </c>
      <c r="B9459">
        <v>78.8</v>
      </c>
      <c r="C9459">
        <v>0.3</v>
      </c>
    </row>
    <row r="9460" spans="1:3" ht="15" customHeight="1" x14ac:dyDescent="0.25">
      <c r="A9460" t="s">
        <v>11621</v>
      </c>
      <c r="B9460">
        <v>78.8</v>
      </c>
      <c r="C9460">
        <v>0.3</v>
      </c>
    </row>
    <row r="9461" spans="1:3" ht="15" customHeight="1" x14ac:dyDescent="0.25">
      <c r="A9461" t="s">
        <v>11622</v>
      </c>
      <c r="B9461">
        <v>78.8</v>
      </c>
    </row>
    <row r="9462" spans="1:3" ht="15" customHeight="1" x14ac:dyDescent="0.25">
      <c r="A9462" t="s">
        <v>11623</v>
      </c>
      <c r="B9462">
        <v>78.8</v>
      </c>
      <c r="C9462">
        <v>0.3</v>
      </c>
    </row>
    <row r="9463" spans="1:3" ht="15" customHeight="1" x14ac:dyDescent="0.25">
      <c r="A9463" t="s">
        <v>11624</v>
      </c>
      <c r="B9463">
        <v>201.4</v>
      </c>
      <c r="C9463">
        <v>0.3</v>
      </c>
    </row>
    <row r="9464" spans="1:3" ht="15" customHeight="1" x14ac:dyDescent="0.25">
      <c r="A9464" t="s">
        <v>11625</v>
      </c>
      <c r="B9464">
        <v>201.4</v>
      </c>
      <c r="C9464">
        <v>0.3</v>
      </c>
    </row>
    <row r="9465" spans="1:3" ht="15" customHeight="1" x14ac:dyDescent="0.25">
      <c r="A9465" t="s">
        <v>11626</v>
      </c>
      <c r="B9465">
        <v>201.4</v>
      </c>
      <c r="C9465">
        <v>0.3</v>
      </c>
    </row>
    <row r="9466" spans="1:3" ht="15" customHeight="1" x14ac:dyDescent="0.25">
      <c r="A9466" t="s">
        <v>11627</v>
      </c>
      <c r="B9466">
        <v>201.4</v>
      </c>
      <c r="C9466">
        <v>0.3</v>
      </c>
    </row>
    <row r="9467" spans="1:3" ht="15" customHeight="1" x14ac:dyDescent="0.25">
      <c r="A9467" t="s">
        <v>11628</v>
      </c>
      <c r="B9467">
        <v>146.69999999999999</v>
      </c>
    </row>
    <row r="9468" spans="1:3" ht="15" customHeight="1" x14ac:dyDescent="0.25">
      <c r="A9468" t="s">
        <v>11629</v>
      </c>
      <c r="B9468">
        <v>146.69999999999999</v>
      </c>
    </row>
    <row r="9469" spans="1:3" ht="15" customHeight="1" x14ac:dyDescent="0.25">
      <c r="A9469" t="s">
        <v>11630</v>
      </c>
      <c r="B9469">
        <v>146.69999999999999</v>
      </c>
    </row>
    <row r="9470" spans="1:3" ht="15" customHeight="1" x14ac:dyDescent="0.25">
      <c r="A9470" t="s">
        <v>11631</v>
      </c>
      <c r="B9470">
        <v>146.69999999999999</v>
      </c>
    </row>
    <row r="9471" spans="1:3" ht="15" customHeight="1" x14ac:dyDescent="0.25">
      <c r="A9471" t="s">
        <v>11632</v>
      </c>
      <c r="B9471">
        <v>146.69999999999999</v>
      </c>
    </row>
    <row r="9472" spans="1:3" ht="15" customHeight="1" x14ac:dyDescent="0.25">
      <c r="A9472" t="s">
        <v>11633</v>
      </c>
      <c r="B9472">
        <v>146.69999999999999</v>
      </c>
    </row>
    <row r="9473" spans="1:3" ht="15" customHeight="1" x14ac:dyDescent="0.25">
      <c r="A9473" t="s">
        <v>11634</v>
      </c>
      <c r="B9473">
        <v>146.69999999999999</v>
      </c>
    </row>
    <row r="9474" spans="1:3" ht="15" customHeight="1" x14ac:dyDescent="0.25">
      <c r="A9474" t="s">
        <v>11635</v>
      </c>
      <c r="B9474">
        <v>146.69999999999999</v>
      </c>
    </row>
    <row r="9475" spans="1:3" ht="15" customHeight="1" x14ac:dyDescent="0.25">
      <c r="A9475" t="s">
        <v>11636</v>
      </c>
      <c r="B9475">
        <v>146.69999999999999</v>
      </c>
    </row>
    <row r="9476" spans="1:3" ht="15" customHeight="1" x14ac:dyDescent="0.25">
      <c r="A9476" t="s">
        <v>11637</v>
      </c>
      <c r="B9476">
        <v>146.69999999999999</v>
      </c>
    </row>
    <row r="9477" spans="1:3" ht="15" customHeight="1" x14ac:dyDescent="0.25">
      <c r="A9477" t="s">
        <v>11638</v>
      </c>
      <c r="B9477">
        <v>146.69999999999999</v>
      </c>
    </row>
    <row r="9478" spans="1:3" ht="15" customHeight="1" x14ac:dyDescent="0.25">
      <c r="A9478" t="s">
        <v>11639</v>
      </c>
      <c r="B9478">
        <v>146.69999999999999</v>
      </c>
    </row>
    <row r="9479" spans="1:3" ht="15" customHeight="1" x14ac:dyDescent="0.25">
      <c r="A9479" t="s">
        <v>11640</v>
      </c>
      <c r="B9479">
        <v>146.69999999999999</v>
      </c>
    </row>
    <row r="9480" spans="1:3" ht="15" customHeight="1" x14ac:dyDescent="0.25">
      <c r="A9480" t="s">
        <v>11641</v>
      </c>
      <c r="B9480">
        <v>146.69999999999999</v>
      </c>
    </row>
    <row r="9481" spans="1:3" ht="15" customHeight="1" x14ac:dyDescent="0.25">
      <c r="A9481" t="s">
        <v>11642</v>
      </c>
      <c r="B9481">
        <v>146.69999999999999</v>
      </c>
    </row>
    <row r="9482" spans="1:3" ht="15" customHeight="1" x14ac:dyDescent="0.25">
      <c r="A9482" t="s">
        <v>11643</v>
      </c>
      <c r="B9482">
        <v>146.69999999999999</v>
      </c>
      <c r="C9482">
        <v>0.3</v>
      </c>
    </row>
    <row r="9483" spans="1:3" ht="15" customHeight="1" x14ac:dyDescent="0.25">
      <c r="A9483" t="s">
        <v>11644</v>
      </c>
      <c r="B9483">
        <v>146.69999999999999</v>
      </c>
    </row>
    <row r="9484" spans="1:3" ht="15" customHeight="1" x14ac:dyDescent="0.25">
      <c r="A9484" t="s">
        <v>11645</v>
      </c>
      <c r="B9484">
        <v>146.69999999999999</v>
      </c>
    </row>
    <row r="9485" spans="1:3" ht="15" customHeight="1" x14ac:dyDescent="0.25">
      <c r="A9485" t="s">
        <v>11646</v>
      </c>
      <c r="B9485">
        <v>146.69999999999999</v>
      </c>
    </row>
    <row r="9486" spans="1:3" ht="15" customHeight="1" x14ac:dyDescent="0.25">
      <c r="A9486" t="s">
        <v>11647</v>
      </c>
      <c r="B9486">
        <v>146.69999999999999</v>
      </c>
    </row>
    <row r="9487" spans="1:3" ht="15" customHeight="1" x14ac:dyDescent="0.25">
      <c r="A9487" t="s">
        <v>11648</v>
      </c>
      <c r="B9487">
        <v>146.69999999999999</v>
      </c>
    </row>
    <row r="9488" spans="1:3" ht="15" customHeight="1" x14ac:dyDescent="0.25">
      <c r="A9488" t="s">
        <v>11649</v>
      </c>
      <c r="B9488">
        <v>146.69999999999999</v>
      </c>
    </row>
    <row r="9489" spans="1:3" ht="15" customHeight="1" x14ac:dyDescent="0.25">
      <c r="A9489" t="s">
        <v>11650</v>
      </c>
      <c r="B9489">
        <v>146.69999999999999</v>
      </c>
    </row>
    <row r="9490" spans="1:3" ht="15" customHeight="1" x14ac:dyDescent="0.25">
      <c r="A9490" t="s">
        <v>11651</v>
      </c>
      <c r="B9490">
        <v>146.69999999999999</v>
      </c>
    </row>
    <row r="9491" spans="1:3" ht="15" customHeight="1" x14ac:dyDescent="0.25">
      <c r="A9491" t="s">
        <v>11652</v>
      </c>
      <c r="B9491">
        <v>146.69999999999999</v>
      </c>
    </row>
    <row r="9492" spans="1:3" ht="15" customHeight="1" x14ac:dyDescent="0.25">
      <c r="A9492" t="s">
        <v>11653</v>
      </c>
      <c r="B9492">
        <v>146.69999999999999</v>
      </c>
    </row>
    <row r="9493" spans="1:3" ht="15" customHeight="1" x14ac:dyDescent="0.25">
      <c r="A9493" t="s">
        <v>11654</v>
      </c>
      <c r="B9493">
        <v>187.2</v>
      </c>
    </row>
    <row r="9494" spans="1:3" ht="15" customHeight="1" x14ac:dyDescent="0.25">
      <c r="A9494" t="s">
        <v>11655</v>
      </c>
      <c r="B9494">
        <v>187.2</v>
      </c>
      <c r="C9494">
        <v>0.3</v>
      </c>
    </row>
    <row r="9495" spans="1:3" ht="15" customHeight="1" x14ac:dyDescent="0.25">
      <c r="A9495" t="s">
        <v>11656</v>
      </c>
      <c r="B9495">
        <v>187.2</v>
      </c>
      <c r="C9495">
        <v>0.3</v>
      </c>
    </row>
    <row r="9496" spans="1:3" ht="15" customHeight="1" x14ac:dyDescent="0.25">
      <c r="A9496" t="s">
        <v>11657</v>
      </c>
      <c r="B9496">
        <v>187.2</v>
      </c>
    </row>
    <row r="9497" spans="1:3" ht="15" customHeight="1" x14ac:dyDescent="0.25">
      <c r="A9497" t="s">
        <v>11658</v>
      </c>
      <c r="B9497">
        <v>187.2</v>
      </c>
    </row>
    <row r="9498" spans="1:3" ht="15" customHeight="1" x14ac:dyDescent="0.25">
      <c r="A9498" t="s">
        <v>11659</v>
      </c>
      <c r="B9498">
        <v>187.2</v>
      </c>
    </row>
    <row r="9499" spans="1:3" ht="15" customHeight="1" x14ac:dyDescent="0.25">
      <c r="A9499" t="s">
        <v>11660</v>
      </c>
      <c r="B9499">
        <v>187.2</v>
      </c>
    </row>
    <row r="9500" spans="1:3" ht="15" customHeight="1" x14ac:dyDescent="0.25">
      <c r="A9500" t="s">
        <v>11661</v>
      </c>
      <c r="B9500">
        <v>187.2</v>
      </c>
    </row>
    <row r="9501" spans="1:3" ht="15" customHeight="1" x14ac:dyDescent="0.25">
      <c r="A9501" t="s">
        <v>11662</v>
      </c>
      <c r="B9501">
        <v>187.2</v>
      </c>
    </row>
    <row r="9502" spans="1:3" ht="15" customHeight="1" x14ac:dyDescent="0.25">
      <c r="A9502" t="s">
        <v>11663</v>
      </c>
      <c r="B9502">
        <v>108.7</v>
      </c>
      <c r="C9502">
        <v>0.3</v>
      </c>
    </row>
    <row r="9503" spans="1:3" ht="15" customHeight="1" x14ac:dyDescent="0.25">
      <c r="A9503" t="s">
        <v>11664</v>
      </c>
      <c r="B9503">
        <v>108.7</v>
      </c>
      <c r="C9503">
        <v>0.3</v>
      </c>
    </row>
    <row r="9504" spans="1:3" ht="15" customHeight="1" x14ac:dyDescent="0.25">
      <c r="A9504" t="s">
        <v>11665</v>
      </c>
      <c r="B9504">
        <v>124.5</v>
      </c>
      <c r="C9504">
        <v>0.3</v>
      </c>
    </row>
    <row r="9505" spans="1:3" ht="15" customHeight="1" x14ac:dyDescent="0.25">
      <c r="A9505" t="s">
        <v>11666</v>
      </c>
      <c r="B9505">
        <v>124.5</v>
      </c>
    </row>
    <row r="9506" spans="1:3" ht="15" customHeight="1" x14ac:dyDescent="0.25">
      <c r="A9506" t="s">
        <v>11667</v>
      </c>
      <c r="B9506">
        <v>89.7</v>
      </c>
      <c r="C9506">
        <v>0.3</v>
      </c>
    </row>
    <row r="9507" spans="1:3" ht="15" customHeight="1" x14ac:dyDescent="0.25">
      <c r="A9507" t="s">
        <v>11668</v>
      </c>
      <c r="B9507">
        <v>89.7</v>
      </c>
      <c r="C9507">
        <v>0.3</v>
      </c>
    </row>
    <row r="9508" spans="1:3" ht="15" customHeight="1" x14ac:dyDescent="0.25">
      <c r="A9508" t="s">
        <v>11669</v>
      </c>
      <c r="B9508">
        <v>89.7</v>
      </c>
      <c r="C9508">
        <v>0.3</v>
      </c>
    </row>
    <row r="9509" spans="1:3" ht="15" customHeight="1" x14ac:dyDescent="0.25">
      <c r="A9509" t="s">
        <v>11670</v>
      </c>
      <c r="B9509">
        <v>89.7</v>
      </c>
      <c r="C9509">
        <v>0.3</v>
      </c>
    </row>
    <row r="9510" spans="1:3" ht="15" customHeight="1" x14ac:dyDescent="0.25">
      <c r="A9510" t="s">
        <v>11671</v>
      </c>
      <c r="B9510">
        <v>89.7</v>
      </c>
      <c r="C9510">
        <v>0.3</v>
      </c>
    </row>
    <row r="9511" spans="1:3" ht="15" customHeight="1" x14ac:dyDescent="0.25">
      <c r="A9511" t="s">
        <v>11672</v>
      </c>
      <c r="B9511">
        <v>89.7</v>
      </c>
      <c r="C9511">
        <v>0.3</v>
      </c>
    </row>
    <row r="9512" spans="1:3" ht="15" customHeight="1" x14ac:dyDescent="0.25">
      <c r="A9512" t="s">
        <v>11673</v>
      </c>
      <c r="B9512">
        <v>89.7</v>
      </c>
      <c r="C9512">
        <v>0.3</v>
      </c>
    </row>
    <row r="9513" spans="1:3" ht="15" customHeight="1" x14ac:dyDescent="0.25">
      <c r="A9513" t="s">
        <v>11674</v>
      </c>
      <c r="B9513">
        <v>89.7</v>
      </c>
      <c r="C9513">
        <v>0.3</v>
      </c>
    </row>
    <row r="9514" spans="1:3" ht="15" customHeight="1" x14ac:dyDescent="0.25">
      <c r="A9514" t="s">
        <v>11675</v>
      </c>
      <c r="B9514">
        <v>89.7</v>
      </c>
      <c r="C9514">
        <v>0.3</v>
      </c>
    </row>
    <row r="9515" spans="1:3" ht="15" customHeight="1" x14ac:dyDescent="0.25">
      <c r="A9515" t="s">
        <v>11676</v>
      </c>
      <c r="B9515">
        <v>89.7</v>
      </c>
      <c r="C9515">
        <v>0.3</v>
      </c>
    </row>
    <row r="9516" spans="1:3" ht="15" customHeight="1" x14ac:dyDescent="0.25">
      <c r="A9516" t="s">
        <v>11677</v>
      </c>
      <c r="B9516">
        <v>89.7</v>
      </c>
    </row>
    <row r="9517" spans="1:3" ht="15" customHeight="1" x14ac:dyDescent="0.25">
      <c r="A9517" t="s">
        <v>11678</v>
      </c>
      <c r="B9517">
        <v>89.7</v>
      </c>
      <c r="C9517">
        <v>0.3</v>
      </c>
    </row>
    <row r="9518" spans="1:3" ht="15" customHeight="1" x14ac:dyDescent="0.25">
      <c r="A9518" t="s">
        <v>11679</v>
      </c>
      <c r="B9518">
        <v>89.7</v>
      </c>
      <c r="C9518">
        <v>0.3</v>
      </c>
    </row>
    <row r="9519" spans="1:3" ht="15" customHeight="1" x14ac:dyDescent="0.25">
      <c r="A9519" t="s">
        <v>11680</v>
      </c>
      <c r="B9519">
        <v>102.4</v>
      </c>
      <c r="C9519">
        <v>0.3</v>
      </c>
    </row>
    <row r="9520" spans="1:3" ht="15" customHeight="1" x14ac:dyDescent="0.25">
      <c r="A9520" t="s">
        <v>11681</v>
      </c>
      <c r="B9520">
        <v>102.4</v>
      </c>
      <c r="C9520">
        <v>0.3</v>
      </c>
    </row>
    <row r="9521" spans="1:3" ht="15" customHeight="1" x14ac:dyDescent="0.25">
      <c r="A9521" t="s">
        <v>11682</v>
      </c>
      <c r="B9521">
        <v>102.4</v>
      </c>
      <c r="C9521">
        <v>0.3</v>
      </c>
    </row>
    <row r="9522" spans="1:3" ht="15" customHeight="1" x14ac:dyDescent="0.25">
      <c r="A9522" t="s">
        <v>11683</v>
      </c>
      <c r="B9522">
        <v>102.4</v>
      </c>
      <c r="C9522">
        <v>0.3</v>
      </c>
    </row>
    <row r="9523" spans="1:3" ht="15" customHeight="1" x14ac:dyDescent="0.25">
      <c r="A9523" t="s">
        <v>11684</v>
      </c>
      <c r="B9523">
        <v>116.1</v>
      </c>
      <c r="C9523">
        <v>0.3</v>
      </c>
    </row>
    <row r="9524" spans="1:3" ht="15" customHeight="1" x14ac:dyDescent="0.25">
      <c r="A9524" t="s">
        <v>11685</v>
      </c>
      <c r="B9524">
        <v>116.1</v>
      </c>
      <c r="C9524">
        <v>0.3</v>
      </c>
    </row>
    <row r="9525" spans="1:3" ht="15" customHeight="1" x14ac:dyDescent="0.25">
      <c r="A9525" t="s">
        <v>11686</v>
      </c>
      <c r="B9525">
        <v>116.1</v>
      </c>
    </row>
    <row r="9526" spans="1:3" ht="15" customHeight="1" x14ac:dyDescent="0.25">
      <c r="A9526" t="s">
        <v>11687</v>
      </c>
      <c r="B9526">
        <v>85.5</v>
      </c>
      <c r="C9526">
        <v>0.3</v>
      </c>
    </row>
    <row r="9527" spans="1:3" ht="15" customHeight="1" x14ac:dyDescent="0.25">
      <c r="A9527" t="s">
        <v>11688</v>
      </c>
      <c r="B9527">
        <v>85.5</v>
      </c>
      <c r="C9527">
        <v>0.3</v>
      </c>
    </row>
    <row r="9528" spans="1:3" ht="15" customHeight="1" x14ac:dyDescent="0.25">
      <c r="A9528" t="s">
        <v>11689</v>
      </c>
      <c r="B9528">
        <v>85.5</v>
      </c>
      <c r="C9528">
        <v>0.3</v>
      </c>
    </row>
    <row r="9529" spans="1:3" ht="15" customHeight="1" x14ac:dyDescent="0.25">
      <c r="A9529" t="s">
        <v>11690</v>
      </c>
      <c r="B9529">
        <v>85.5</v>
      </c>
      <c r="C9529">
        <v>0.3</v>
      </c>
    </row>
    <row r="9530" spans="1:3" ht="15" customHeight="1" x14ac:dyDescent="0.25">
      <c r="A9530" t="s">
        <v>11691</v>
      </c>
      <c r="B9530">
        <v>85.5</v>
      </c>
      <c r="C9530">
        <v>0.3</v>
      </c>
    </row>
    <row r="9531" spans="1:3" ht="15" customHeight="1" x14ac:dyDescent="0.25">
      <c r="A9531" t="s">
        <v>11692</v>
      </c>
      <c r="B9531">
        <v>85.5</v>
      </c>
      <c r="C9531">
        <v>0.3</v>
      </c>
    </row>
    <row r="9532" spans="1:3" ht="15" customHeight="1" x14ac:dyDescent="0.25">
      <c r="A9532" t="s">
        <v>11693</v>
      </c>
      <c r="B9532">
        <v>85.5</v>
      </c>
      <c r="C9532">
        <v>0.3</v>
      </c>
    </row>
    <row r="9533" spans="1:3" ht="15" customHeight="1" x14ac:dyDescent="0.25">
      <c r="A9533" t="s">
        <v>11694</v>
      </c>
      <c r="B9533">
        <v>85.5</v>
      </c>
      <c r="C9533">
        <v>0.3</v>
      </c>
    </row>
    <row r="9534" spans="1:3" ht="15" customHeight="1" x14ac:dyDescent="0.25">
      <c r="A9534" t="s">
        <v>11695</v>
      </c>
      <c r="B9534">
        <v>85.5</v>
      </c>
      <c r="C9534">
        <v>0.3</v>
      </c>
    </row>
    <row r="9535" spans="1:3" ht="15" customHeight="1" x14ac:dyDescent="0.25">
      <c r="A9535" t="s">
        <v>11696</v>
      </c>
      <c r="B9535">
        <v>85.5</v>
      </c>
      <c r="C9535">
        <v>0.3</v>
      </c>
    </row>
    <row r="9536" spans="1:3" ht="15" customHeight="1" x14ac:dyDescent="0.25">
      <c r="A9536" t="s">
        <v>11697</v>
      </c>
      <c r="B9536">
        <v>85.5</v>
      </c>
      <c r="C9536">
        <v>0.3</v>
      </c>
    </row>
    <row r="9537" spans="1:3" ht="15" customHeight="1" x14ac:dyDescent="0.25">
      <c r="A9537" t="s">
        <v>11698</v>
      </c>
      <c r="B9537">
        <v>85.5</v>
      </c>
      <c r="C9537">
        <v>0.3</v>
      </c>
    </row>
    <row r="9538" spans="1:3" ht="15" customHeight="1" x14ac:dyDescent="0.25">
      <c r="A9538" t="s">
        <v>11699</v>
      </c>
      <c r="B9538">
        <v>95.3</v>
      </c>
      <c r="C9538">
        <v>0.3</v>
      </c>
    </row>
    <row r="9539" spans="1:3" ht="15" customHeight="1" x14ac:dyDescent="0.25">
      <c r="A9539" t="s">
        <v>11700</v>
      </c>
      <c r="B9539">
        <v>95.3</v>
      </c>
      <c r="C9539">
        <v>0.3</v>
      </c>
    </row>
    <row r="9540" spans="1:3" ht="15" customHeight="1" x14ac:dyDescent="0.25">
      <c r="A9540" t="s">
        <v>11701</v>
      </c>
      <c r="B9540">
        <v>95.3</v>
      </c>
      <c r="C9540">
        <v>0.3</v>
      </c>
    </row>
    <row r="9541" spans="1:3" ht="15" customHeight="1" x14ac:dyDescent="0.25">
      <c r="A9541" t="s">
        <v>11702</v>
      </c>
      <c r="B9541">
        <v>95.3</v>
      </c>
      <c r="C9541">
        <v>0.3</v>
      </c>
    </row>
    <row r="9542" spans="1:3" ht="15" customHeight="1" x14ac:dyDescent="0.25">
      <c r="A9542" t="s">
        <v>11703</v>
      </c>
      <c r="B9542">
        <v>95.3</v>
      </c>
      <c r="C9542">
        <v>0.3</v>
      </c>
    </row>
    <row r="9543" spans="1:3" ht="15" customHeight="1" x14ac:dyDescent="0.25">
      <c r="A9543" t="s">
        <v>11704</v>
      </c>
      <c r="B9543">
        <v>95.3</v>
      </c>
      <c r="C9543">
        <v>0.3</v>
      </c>
    </row>
    <row r="9544" spans="1:3" ht="15" customHeight="1" x14ac:dyDescent="0.25">
      <c r="A9544" t="s">
        <v>11705</v>
      </c>
      <c r="B9544">
        <v>95.3</v>
      </c>
      <c r="C9544">
        <v>0.3</v>
      </c>
    </row>
    <row r="9545" spans="1:3" ht="15" customHeight="1" x14ac:dyDescent="0.25">
      <c r="A9545" t="s">
        <v>11706</v>
      </c>
      <c r="B9545">
        <v>95.3</v>
      </c>
      <c r="C9545">
        <v>0.3</v>
      </c>
    </row>
    <row r="9546" spans="1:3" ht="15" customHeight="1" x14ac:dyDescent="0.25">
      <c r="A9546" t="s">
        <v>11707</v>
      </c>
      <c r="B9546">
        <v>95.3</v>
      </c>
      <c r="C9546">
        <v>0.3</v>
      </c>
    </row>
    <row r="9547" spans="1:3" ht="15" customHeight="1" x14ac:dyDescent="0.25">
      <c r="A9547" t="s">
        <v>11708</v>
      </c>
      <c r="B9547">
        <v>95.3</v>
      </c>
      <c r="C9547">
        <v>0.3</v>
      </c>
    </row>
    <row r="9548" spans="1:3" ht="15" customHeight="1" x14ac:dyDescent="0.25">
      <c r="A9548" t="s">
        <v>11709</v>
      </c>
      <c r="B9548">
        <v>95.3</v>
      </c>
      <c r="C9548">
        <v>0.3</v>
      </c>
    </row>
    <row r="9549" spans="1:3" ht="15" customHeight="1" x14ac:dyDescent="0.25">
      <c r="A9549" t="s">
        <v>11710</v>
      </c>
      <c r="B9549">
        <v>104.5</v>
      </c>
      <c r="C9549">
        <v>0.3</v>
      </c>
    </row>
    <row r="9550" spans="1:3" ht="15" customHeight="1" x14ac:dyDescent="0.25">
      <c r="A9550" t="s">
        <v>11711</v>
      </c>
      <c r="B9550">
        <v>104.5</v>
      </c>
      <c r="C9550">
        <v>0.3</v>
      </c>
    </row>
    <row r="9551" spans="1:3" ht="15" customHeight="1" x14ac:dyDescent="0.25">
      <c r="A9551" t="s">
        <v>11712</v>
      </c>
      <c r="B9551">
        <v>104.5</v>
      </c>
      <c r="C9551">
        <v>0.3</v>
      </c>
    </row>
    <row r="9552" spans="1:3" ht="15" customHeight="1" x14ac:dyDescent="0.25">
      <c r="A9552" t="s">
        <v>11713</v>
      </c>
      <c r="B9552">
        <v>104.5</v>
      </c>
      <c r="C9552">
        <v>0.3</v>
      </c>
    </row>
    <row r="9553" spans="1:3" ht="15" customHeight="1" x14ac:dyDescent="0.25">
      <c r="A9553" t="s">
        <v>11714</v>
      </c>
      <c r="B9553">
        <v>102.3</v>
      </c>
      <c r="C9553">
        <v>0.3</v>
      </c>
    </row>
    <row r="9554" spans="1:3" ht="15" customHeight="1" x14ac:dyDescent="0.25">
      <c r="A9554" t="s">
        <v>11715</v>
      </c>
      <c r="B9554">
        <v>102.3</v>
      </c>
      <c r="C9554">
        <v>0.3</v>
      </c>
    </row>
    <row r="9555" spans="1:3" ht="15" customHeight="1" x14ac:dyDescent="0.25">
      <c r="A9555" t="s">
        <v>11716</v>
      </c>
      <c r="B9555">
        <v>102.3</v>
      </c>
      <c r="C9555">
        <v>0.3</v>
      </c>
    </row>
    <row r="9556" spans="1:3" ht="15" customHeight="1" x14ac:dyDescent="0.25">
      <c r="A9556" t="s">
        <v>11717</v>
      </c>
      <c r="B9556">
        <v>108.7</v>
      </c>
      <c r="C9556">
        <v>0.3</v>
      </c>
    </row>
    <row r="9557" spans="1:3" ht="15" customHeight="1" x14ac:dyDescent="0.25">
      <c r="A9557" t="s">
        <v>11718</v>
      </c>
      <c r="B9557">
        <v>108.7</v>
      </c>
      <c r="C9557">
        <v>0.3</v>
      </c>
    </row>
    <row r="9558" spans="1:3" ht="15" customHeight="1" x14ac:dyDescent="0.25">
      <c r="A9558" t="s">
        <v>11719</v>
      </c>
      <c r="B9558">
        <v>124.5</v>
      </c>
      <c r="C9558">
        <v>0.3</v>
      </c>
    </row>
    <row r="9559" spans="1:3" ht="15" customHeight="1" x14ac:dyDescent="0.25">
      <c r="A9559" t="s">
        <v>11720</v>
      </c>
      <c r="B9559">
        <v>124.5</v>
      </c>
      <c r="C9559">
        <v>0.3</v>
      </c>
    </row>
    <row r="9560" spans="1:3" ht="15" customHeight="1" x14ac:dyDescent="0.25">
      <c r="A9560" t="s">
        <v>11721</v>
      </c>
      <c r="B9560">
        <v>95.3</v>
      </c>
      <c r="C9560">
        <v>0.3</v>
      </c>
    </row>
    <row r="9561" spans="1:3" ht="15" customHeight="1" x14ac:dyDescent="0.25">
      <c r="A9561" t="s">
        <v>11722</v>
      </c>
      <c r="B9561">
        <v>95.3</v>
      </c>
      <c r="C9561">
        <v>0.3</v>
      </c>
    </row>
    <row r="9562" spans="1:3" ht="15" customHeight="1" x14ac:dyDescent="0.25">
      <c r="A9562" t="s">
        <v>11723</v>
      </c>
      <c r="B9562">
        <v>95.3</v>
      </c>
      <c r="C9562">
        <v>0.3</v>
      </c>
    </row>
    <row r="9563" spans="1:3" ht="15" customHeight="1" x14ac:dyDescent="0.25">
      <c r="A9563" t="s">
        <v>11724</v>
      </c>
      <c r="B9563">
        <v>85.5</v>
      </c>
      <c r="C9563">
        <v>0.3</v>
      </c>
    </row>
    <row r="9564" spans="1:3" ht="15" customHeight="1" x14ac:dyDescent="0.25">
      <c r="A9564" t="s">
        <v>11725</v>
      </c>
      <c r="B9564">
        <v>85.5</v>
      </c>
      <c r="C9564">
        <v>0.3</v>
      </c>
    </row>
    <row r="9565" spans="1:3" ht="15" customHeight="1" x14ac:dyDescent="0.25">
      <c r="A9565" t="s">
        <v>11726</v>
      </c>
      <c r="B9565">
        <v>85.5</v>
      </c>
      <c r="C9565">
        <v>0.3</v>
      </c>
    </row>
    <row r="9566" spans="1:3" ht="15" customHeight="1" x14ac:dyDescent="0.25">
      <c r="A9566" t="s">
        <v>11727</v>
      </c>
      <c r="B9566">
        <v>85.5</v>
      </c>
      <c r="C9566">
        <v>0.3</v>
      </c>
    </row>
    <row r="9567" spans="1:3" ht="15" customHeight="1" x14ac:dyDescent="0.25">
      <c r="A9567" t="s">
        <v>11728</v>
      </c>
      <c r="B9567">
        <v>85.5</v>
      </c>
      <c r="C9567">
        <v>0.3</v>
      </c>
    </row>
    <row r="9568" spans="1:3" ht="15" customHeight="1" x14ac:dyDescent="0.25">
      <c r="A9568" t="s">
        <v>11729</v>
      </c>
      <c r="B9568">
        <v>85.5</v>
      </c>
      <c r="C9568">
        <v>0.3</v>
      </c>
    </row>
    <row r="9569" spans="1:3" ht="15" customHeight="1" x14ac:dyDescent="0.25">
      <c r="A9569" t="s">
        <v>11730</v>
      </c>
      <c r="B9569">
        <v>85.5</v>
      </c>
      <c r="C9569">
        <v>0.3</v>
      </c>
    </row>
    <row r="9570" spans="1:3" ht="15" customHeight="1" x14ac:dyDescent="0.25">
      <c r="A9570" t="s">
        <v>11731</v>
      </c>
      <c r="B9570">
        <v>85.5</v>
      </c>
      <c r="C9570">
        <v>0.3</v>
      </c>
    </row>
    <row r="9571" spans="1:3" ht="15" customHeight="1" x14ac:dyDescent="0.25">
      <c r="A9571" t="s">
        <v>11732</v>
      </c>
      <c r="B9571">
        <v>108.4</v>
      </c>
    </row>
    <row r="9572" spans="1:3" ht="15" customHeight="1" x14ac:dyDescent="0.25">
      <c r="A9572" t="s">
        <v>11733</v>
      </c>
      <c r="B9572">
        <v>108.4</v>
      </c>
    </row>
    <row r="9573" spans="1:3" ht="15" customHeight="1" x14ac:dyDescent="0.25">
      <c r="A9573" t="s">
        <v>11734</v>
      </c>
      <c r="B9573">
        <v>89.7</v>
      </c>
      <c r="C9573">
        <v>0.3</v>
      </c>
    </row>
    <row r="9574" spans="1:3" ht="15" customHeight="1" x14ac:dyDescent="0.25">
      <c r="A9574" t="s">
        <v>11735</v>
      </c>
      <c r="B9574">
        <v>89.7</v>
      </c>
      <c r="C9574">
        <v>0.3</v>
      </c>
    </row>
    <row r="9575" spans="1:3" ht="15" customHeight="1" x14ac:dyDescent="0.25">
      <c r="A9575" t="s">
        <v>11736</v>
      </c>
      <c r="B9575">
        <v>89.7</v>
      </c>
      <c r="C9575">
        <v>0.3</v>
      </c>
    </row>
    <row r="9576" spans="1:3" ht="15" customHeight="1" x14ac:dyDescent="0.25">
      <c r="A9576" t="s">
        <v>11737</v>
      </c>
      <c r="B9576">
        <v>89.7</v>
      </c>
      <c r="C9576">
        <v>0.3</v>
      </c>
    </row>
    <row r="9577" spans="1:3" ht="15" customHeight="1" x14ac:dyDescent="0.25">
      <c r="A9577" t="s">
        <v>11738</v>
      </c>
      <c r="B9577">
        <v>89.7</v>
      </c>
      <c r="C9577">
        <v>0.3</v>
      </c>
    </row>
    <row r="9578" spans="1:3" ht="15" customHeight="1" x14ac:dyDescent="0.25">
      <c r="A9578" t="s">
        <v>11739</v>
      </c>
      <c r="B9578">
        <v>129.30000000000001</v>
      </c>
      <c r="C9578">
        <v>0.3</v>
      </c>
    </row>
    <row r="9579" spans="1:3" ht="15" customHeight="1" x14ac:dyDescent="0.25">
      <c r="A9579" t="s">
        <v>11740</v>
      </c>
      <c r="B9579">
        <v>129.30000000000001</v>
      </c>
      <c r="C9579">
        <v>0.3</v>
      </c>
    </row>
    <row r="9580" spans="1:3" ht="15" customHeight="1" x14ac:dyDescent="0.25">
      <c r="A9580" t="s">
        <v>11741</v>
      </c>
      <c r="B9580">
        <v>129.30000000000001</v>
      </c>
      <c r="C9580">
        <v>0.3</v>
      </c>
    </row>
    <row r="9581" spans="1:3" ht="15" customHeight="1" x14ac:dyDescent="0.25">
      <c r="A9581" t="s">
        <v>11742</v>
      </c>
      <c r="B9581">
        <v>129.30000000000001</v>
      </c>
    </row>
    <row r="9582" spans="1:3" ht="15" customHeight="1" x14ac:dyDescent="0.25">
      <c r="A9582" t="s">
        <v>11743</v>
      </c>
      <c r="B9582">
        <v>129.30000000000001</v>
      </c>
    </row>
    <row r="9583" spans="1:3" ht="15" customHeight="1" x14ac:dyDescent="0.25">
      <c r="A9583" t="s">
        <v>11744</v>
      </c>
      <c r="B9583">
        <v>129.30000000000001</v>
      </c>
    </row>
    <row r="9584" spans="1:3" ht="15" customHeight="1" x14ac:dyDescent="0.25">
      <c r="A9584" t="s">
        <v>11745</v>
      </c>
      <c r="B9584">
        <v>129.30000000000001</v>
      </c>
      <c r="C9584">
        <v>0.3</v>
      </c>
    </row>
    <row r="9585" spans="1:3" ht="15" customHeight="1" x14ac:dyDescent="0.25">
      <c r="A9585" t="s">
        <v>11746</v>
      </c>
      <c r="B9585">
        <v>129.30000000000001</v>
      </c>
    </row>
    <row r="9586" spans="1:3" ht="15" customHeight="1" x14ac:dyDescent="0.25">
      <c r="A9586" t="s">
        <v>11747</v>
      </c>
      <c r="B9586">
        <v>129.30000000000001</v>
      </c>
    </row>
    <row r="9587" spans="1:3" ht="15" customHeight="1" x14ac:dyDescent="0.25">
      <c r="A9587" t="s">
        <v>11748</v>
      </c>
      <c r="B9587">
        <v>129.30000000000001</v>
      </c>
    </row>
    <row r="9588" spans="1:3" ht="15" customHeight="1" x14ac:dyDescent="0.25">
      <c r="A9588" t="s">
        <v>11749</v>
      </c>
      <c r="B9588">
        <v>115.9</v>
      </c>
    </row>
    <row r="9589" spans="1:3" ht="15" customHeight="1" x14ac:dyDescent="0.25">
      <c r="A9589" t="s">
        <v>11750</v>
      </c>
      <c r="B9589">
        <v>115.9</v>
      </c>
    </row>
    <row r="9590" spans="1:3" ht="15" customHeight="1" x14ac:dyDescent="0.25">
      <c r="A9590" t="s">
        <v>11751</v>
      </c>
      <c r="B9590">
        <v>115.9</v>
      </c>
      <c r="C9590">
        <v>0.3</v>
      </c>
    </row>
    <row r="9591" spans="1:3" ht="15" customHeight="1" x14ac:dyDescent="0.25">
      <c r="A9591" t="s">
        <v>11752</v>
      </c>
      <c r="B9591">
        <v>115.9</v>
      </c>
      <c r="C9591">
        <v>0.3</v>
      </c>
    </row>
    <row r="9592" spans="1:3" ht="15" customHeight="1" x14ac:dyDescent="0.25">
      <c r="A9592" t="s">
        <v>11753</v>
      </c>
      <c r="B9592">
        <v>115.9</v>
      </c>
    </row>
    <row r="9593" spans="1:3" ht="15" customHeight="1" x14ac:dyDescent="0.25">
      <c r="A9593" t="s">
        <v>11754</v>
      </c>
      <c r="B9593">
        <v>115.9</v>
      </c>
    </row>
    <row r="9594" spans="1:3" ht="15" customHeight="1" x14ac:dyDescent="0.25">
      <c r="A9594" t="s">
        <v>11755</v>
      </c>
      <c r="B9594">
        <v>104</v>
      </c>
      <c r="C9594">
        <v>0.3</v>
      </c>
    </row>
    <row r="9595" spans="1:3" ht="15" customHeight="1" x14ac:dyDescent="0.25">
      <c r="A9595" t="s">
        <v>11756</v>
      </c>
      <c r="B9595">
        <v>104</v>
      </c>
      <c r="C9595">
        <v>0.3</v>
      </c>
    </row>
    <row r="9596" spans="1:3" ht="15" customHeight="1" x14ac:dyDescent="0.25">
      <c r="A9596" t="s">
        <v>11757</v>
      </c>
      <c r="B9596">
        <v>104</v>
      </c>
      <c r="C9596">
        <v>0.3</v>
      </c>
    </row>
    <row r="9597" spans="1:3" ht="15" customHeight="1" x14ac:dyDescent="0.25">
      <c r="A9597" t="s">
        <v>11758</v>
      </c>
      <c r="B9597">
        <v>104</v>
      </c>
      <c r="C9597">
        <v>0.3</v>
      </c>
    </row>
    <row r="9598" spans="1:3" ht="15" customHeight="1" x14ac:dyDescent="0.25">
      <c r="A9598" t="s">
        <v>11759</v>
      </c>
      <c r="B9598">
        <v>104</v>
      </c>
      <c r="C9598">
        <v>0.3</v>
      </c>
    </row>
    <row r="9599" spans="1:3" ht="15" customHeight="1" x14ac:dyDescent="0.25">
      <c r="A9599" t="s">
        <v>11760</v>
      </c>
      <c r="B9599">
        <v>104</v>
      </c>
      <c r="C9599">
        <v>0.3</v>
      </c>
    </row>
    <row r="9600" spans="1:3" ht="15" customHeight="1" x14ac:dyDescent="0.25">
      <c r="A9600" t="s">
        <v>11761</v>
      </c>
      <c r="B9600">
        <v>104</v>
      </c>
      <c r="C9600">
        <v>0.3</v>
      </c>
    </row>
    <row r="9601" spans="1:3" ht="15" customHeight="1" x14ac:dyDescent="0.25">
      <c r="A9601" t="s">
        <v>11762</v>
      </c>
      <c r="B9601">
        <v>104</v>
      </c>
      <c r="C9601">
        <v>0.3</v>
      </c>
    </row>
    <row r="9602" spans="1:3" ht="15" customHeight="1" x14ac:dyDescent="0.25">
      <c r="A9602" t="s">
        <v>11763</v>
      </c>
      <c r="B9602">
        <v>104</v>
      </c>
      <c r="C9602">
        <v>0.3</v>
      </c>
    </row>
    <row r="9603" spans="1:3" ht="15" customHeight="1" x14ac:dyDescent="0.25">
      <c r="A9603" t="s">
        <v>11764</v>
      </c>
      <c r="B9603">
        <v>104</v>
      </c>
      <c r="C9603">
        <v>0.3</v>
      </c>
    </row>
    <row r="9604" spans="1:3" ht="15" customHeight="1" x14ac:dyDescent="0.25">
      <c r="A9604" t="s">
        <v>11765</v>
      </c>
      <c r="B9604">
        <v>104</v>
      </c>
      <c r="C9604">
        <v>0.3</v>
      </c>
    </row>
    <row r="9605" spans="1:3" ht="15" customHeight="1" x14ac:dyDescent="0.25">
      <c r="A9605" t="s">
        <v>11766</v>
      </c>
      <c r="B9605">
        <v>104</v>
      </c>
      <c r="C9605">
        <v>0.3</v>
      </c>
    </row>
    <row r="9606" spans="1:3" ht="15" customHeight="1" x14ac:dyDescent="0.25">
      <c r="A9606" t="s">
        <v>11767</v>
      </c>
      <c r="B9606">
        <v>104</v>
      </c>
      <c r="C9606">
        <v>0.3</v>
      </c>
    </row>
    <row r="9607" spans="1:3" ht="15" customHeight="1" x14ac:dyDescent="0.25">
      <c r="A9607" t="s">
        <v>11768</v>
      </c>
      <c r="B9607">
        <v>122.4</v>
      </c>
      <c r="C9607">
        <v>0.3</v>
      </c>
    </row>
    <row r="9608" spans="1:3" ht="15" customHeight="1" x14ac:dyDescent="0.25">
      <c r="A9608" t="s">
        <v>11769</v>
      </c>
      <c r="B9608">
        <v>122.4</v>
      </c>
      <c r="C9608">
        <v>0.3</v>
      </c>
    </row>
    <row r="9609" spans="1:3" ht="15" customHeight="1" x14ac:dyDescent="0.25">
      <c r="A9609" t="s">
        <v>11770</v>
      </c>
      <c r="B9609">
        <v>122.4</v>
      </c>
      <c r="C9609">
        <v>0.3</v>
      </c>
    </row>
    <row r="9610" spans="1:3" ht="15" customHeight="1" x14ac:dyDescent="0.25">
      <c r="A9610" t="s">
        <v>11771</v>
      </c>
      <c r="B9610">
        <v>122.4</v>
      </c>
      <c r="C9610">
        <v>0.3</v>
      </c>
    </row>
    <row r="9611" spans="1:3" ht="15" customHeight="1" x14ac:dyDescent="0.25">
      <c r="A9611" t="s">
        <v>11772</v>
      </c>
      <c r="B9611">
        <v>80.3</v>
      </c>
      <c r="C9611">
        <v>0.3</v>
      </c>
    </row>
    <row r="9612" spans="1:3" ht="15" customHeight="1" x14ac:dyDescent="0.25">
      <c r="A9612" t="s">
        <v>11773</v>
      </c>
      <c r="B9612">
        <v>80.3</v>
      </c>
      <c r="C9612">
        <v>0.3</v>
      </c>
    </row>
    <row r="9613" spans="1:3" ht="15" customHeight="1" x14ac:dyDescent="0.25">
      <c r="A9613" t="s">
        <v>11774</v>
      </c>
      <c r="B9613">
        <v>80.3</v>
      </c>
    </row>
    <row r="9614" spans="1:3" ht="15" customHeight="1" x14ac:dyDescent="0.25">
      <c r="A9614" t="s">
        <v>11775</v>
      </c>
      <c r="B9614">
        <v>80.3</v>
      </c>
      <c r="C9614">
        <v>0.3</v>
      </c>
    </row>
    <row r="9615" spans="1:3" ht="15" customHeight="1" x14ac:dyDescent="0.25">
      <c r="A9615" t="s">
        <v>11776</v>
      </c>
      <c r="B9615">
        <v>80.3</v>
      </c>
    </row>
    <row r="9616" spans="1:3" ht="15" customHeight="1" x14ac:dyDescent="0.25">
      <c r="A9616" t="s">
        <v>11777</v>
      </c>
      <c r="B9616">
        <v>80.3</v>
      </c>
    </row>
    <row r="9617" spans="1:3" ht="15" customHeight="1" x14ac:dyDescent="0.25">
      <c r="A9617" t="s">
        <v>11778</v>
      </c>
      <c r="B9617">
        <v>80.3</v>
      </c>
      <c r="C9617">
        <v>0.3</v>
      </c>
    </row>
    <row r="9618" spans="1:3" ht="15" customHeight="1" x14ac:dyDescent="0.25">
      <c r="A9618" t="s">
        <v>11779</v>
      </c>
      <c r="B9618">
        <v>80.3</v>
      </c>
      <c r="C9618">
        <v>0.3</v>
      </c>
    </row>
    <row r="9619" spans="1:3" ht="15" customHeight="1" x14ac:dyDescent="0.25">
      <c r="A9619" t="s">
        <v>11780</v>
      </c>
      <c r="B9619">
        <v>80.3</v>
      </c>
    </row>
    <row r="9620" spans="1:3" ht="15" customHeight="1" x14ac:dyDescent="0.25">
      <c r="A9620" t="s">
        <v>11781</v>
      </c>
      <c r="B9620">
        <v>80.3</v>
      </c>
      <c r="C9620">
        <v>0.3</v>
      </c>
    </row>
    <row r="9621" spans="1:3" ht="15" customHeight="1" x14ac:dyDescent="0.25">
      <c r="A9621" t="s">
        <v>11782</v>
      </c>
      <c r="B9621">
        <v>80.3</v>
      </c>
      <c r="C9621">
        <v>0.3</v>
      </c>
    </row>
    <row r="9622" spans="1:3" ht="15" customHeight="1" x14ac:dyDescent="0.25">
      <c r="A9622" t="s">
        <v>11783</v>
      </c>
      <c r="B9622">
        <v>80.3</v>
      </c>
      <c r="C9622">
        <v>0.3</v>
      </c>
    </row>
    <row r="9623" spans="1:3" ht="15" customHeight="1" x14ac:dyDescent="0.25">
      <c r="A9623" t="s">
        <v>11784</v>
      </c>
      <c r="B9623">
        <v>80.3</v>
      </c>
      <c r="C9623">
        <v>0.3</v>
      </c>
    </row>
    <row r="9624" spans="1:3" ht="15" customHeight="1" x14ac:dyDescent="0.25">
      <c r="A9624" t="s">
        <v>11785</v>
      </c>
      <c r="B9624">
        <v>80.3</v>
      </c>
      <c r="C9624">
        <v>0.3</v>
      </c>
    </row>
    <row r="9625" spans="1:3" ht="15" customHeight="1" x14ac:dyDescent="0.25">
      <c r="A9625" t="s">
        <v>11786</v>
      </c>
      <c r="B9625">
        <v>80.3</v>
      </c>
      <c r="C9625">
        <v>0.3</v>
      </c>
    </row>
    <row r="9626" spans="1:3" ht="15" customHeight="1" x14ac:dyDescent="0.25">
      <c r="A9626" t="s">
        <v>11787</v>
      </c>
      <c r="B9626">
        <v>80.3</v>
      </c>
      <c r="C9626">
        <v>0.3</v>
      </c>
    </row>
    <row r="9627" spans="1:3" ht="15" customHeight="1" x14ac:dyDescent="0.25">
      <c r="A9627" t="s">
        <v>11788</v>
      </c>
      <c r="B9627">
        <v>80.3</v>
      </c>
      <c r="C9627">
        <v>0.3</v>
      </c>
    </row>
    <row r="9628" spans="1:3" ht="15" customHeight="1" x14ac:dyDescent="0.25">
      <c r="A9628" t="s">
        <v>11789</v>
      </c>
      <c r="B9628">
        <v>93.7</v>
      </c>
    </row>
    <row r="9629" spans="1:3" ht="15" customHeight="1" x14ac:dyDescent="0.25">
      <c r="A9629" t="s">
        <v>11790</v>
      </c>
      <c r="B9629">
        <v>93.7</v>
      </c>
      <c r="C9629">
        <v>0.3</v>
      </c>
    </row>
    <row r="9630" spans="1:3" ht="15" customHeight="1" x14ac:dyDescent="0.25">
      <c r="A9630" t="s">
        <v>11791</v>
      </c>
      <c r="B9630">
        <v>93.7</v>
      </c>
      <c r="C9630">
        <v>0.3</v>
      </c>
    </row>
    <row r="9631" spans="1:3" ht="15" customHeight="1" x14ac:dyDescent="0.25">
      <c r="A9631" t="s">
        <v>11792</v>
      </c>
      <c r="B9631">
        <v>93.7</v>
      </c>
      <c r="C9631">
        <v>0.3</v>
      </c>
    </row>
    <row r="9632" spans="1:3" ht="15" customHeight="1" x14ac:dyDescent="0.25">
      <c r="A9632" t="s">
        <v>11793</v>
      </c>
      <c r="B9632">
        <v>93.7</v>
      </c>
    </row>
    <row r="9633" spans="1:3" ht="15" customHeight="1" x14ac:dyDescent="0.25">
      <c r="A9633" t="s">
        <v>11794</v>
      </c>
      <c r="B9633">
        <v>93.7</v>
      </c>
      <c r="C9633">
        <v>0.3</v>
      </c>
    </row>
    <row r="9634" spans="1:3" ht="15" customHeight="1" x14ac:dyDescent="0.25">
      <c r="A9634" t="s">
        <v>11795</v>
      </c>
      <c r="B9634">
        <v>93.3</v>
      </c>
      <c r="C9634">
        <v>0.3</v>
      </c>
    </row>
    <row r="9635" spans="1:3" ht="15" customHeight="1" x14ac:dyDescent="0.25">
      <c r="A9635" t="s">
        <v>11796</v>
      </c>
      <c r="B9635">
        <v>93.3</v>
      </c>
      <c r="C9635">
        <v>0.3</v>
      </c>
    </row>
    <row r="9636" spans="1:3" ht="15" customHeight="1" x14ac:dyDescent="0.25">
      <c r="A9636" t="s">
        <v>11797</v>
      </c>
      <c r="B9636">
        <v>93.3</v>
      </c>
      <c r="C9636">
        <v>0.3</v>
      </c>
    </row>
    <row r="9637" spans="1:3" ht="15" customHeight="1" x14ac:dyDescent="0.25">
      <c r="A9637" t="s">
        <v>11798</v>
      </c>
      <c r="B9637">
        <v>93.3</v>
      </c>
      <c r="C9637">
        <v>0.3</v>
      </c>
    </row>
    <row r="9638" spans="1:3" ht="15" customHeight="1" x14ac:dyDescent="0.25">
      <c r="A9638" t="s">
        <v>11799</v>
      </c>
      <c r="B9638">
        <v>93.3</v>
      </c>
      <c r="C9638">
        <v>0.3</v>
      </c>
    </row>
    <row r="9639" spans="1:3" ht="15" customHeight="1" x14ac:dyDescent="0.25">
      <c r="A9639" t="s">
        <v>11800</v>
      </c>
      <c r="B9639">
        <v>93.3</v>
      </c>
    </row>
    <row r="9640" spans="1:3" ht="15" customHeight="1" x14ac:dyDescent="0.25">
      <c r="A9640" t="s">
        <v>11801</v>
      </c>
      <c r="B9640">
        <v>93.3</v>
      </c>
      <c r="C9640">
        <v>0.3</v>
      </c>
    </row>
    <row r="9641" spans="1:3" ht="15" customHeight="1" x14ac:dyDescent="0.25">
      <c r="A9641" t="s">
        <v>11802</v>
      </c>
      <c r="B9641">
        <v>93.3</v>
      </c>
      <c r="C9641">
        <v>0.3</v>
      </c>
    </row>
    <row r="9642" spans="1:3" ht="15" customHeight="1" x14ac:dyDescent="0.25">
      <c r="A9642" t="s">
        <v>11803</v>
      </c>
      <c r="B9642">
        <v>93.3</v>
      </c>
      <c r="C9642">
        <v>0.3</v>
      </c>
    </row>
    <row r="9643" spans="1:3" ht="15" customHeight="1" x14ac:dyDescent="0.25">
      <c r="A9643" t="s">
        <v>11804</v>
      </c>
      <c r="B9643">
        <v>93.3</v>
      </c>
      <c r="C9643">
        <v>0.3</v>
      </c>
    </row>
    <row r="9644" spans="1:3" ht="15" customHeight="1" x14ac:dyDescent="0.25">
      <c r="A9644" t="s">
        <v>11805</v>
      </c>
      <c r="B9644">
        <v>93.3</v>
      </c>
      <c r="C9644">
        <v>0.3</v>
      </c>
    </row>
    <row r="9645" spans="1:3" ht="15" customHeight="1" x14ac:dyDescent="0.25">
      <c r="A9645" t="s">
        <v>11806</v>
      </c>
      <c r="B9645">
        <v>93.7</v>
      </c>
      <c r="C9645">
        <v>0.3</v>
      </c>
    </row>
    <row r="9646" spans="1:3" ht="15" customHeight="1" x14ac:dyDescent="0.25">
      <c r="A9646" t="s">
        <v>11807</v>
      </c>
      <c r="B9646">
        <v>93.7</v>
      </c>
      <c r="C9646">
        <v>0.3</v>
      </c>
    </row>
    <row r="9647" spans="1:3" ht="15" customHeight="1" x14ac:dyDescent="0.25">
      <c r="A9647" t="s">
        <v>11808</v>
      </c>
      <c r="B9647">
        <v>93.7</v>
      </c>
      <c r="C9647">
        <v>0.3</v>
      </c>
    </row>
    <row r="9648" spans="1:3" ht="15" customHeight="1" x14ac:dyDescent="0.25">
      <c r="A9648" t="s">
        <v>11809</v>
      </c>
      <c r="B9648">
        <v>93.7</v>
      </c>
      <c r="C9648">
        <v>0.3</v>
      </c>
    </row>
    <row r="9649" spans="1:3" ht="15" customHeight="1" x14ac:dyDescent="0.25">
      <c r="A9649" t="s">
        <v>11810</v>
      </c>
      <c r="B9649">
        <v>137.80000000000001</v>
      </c>
      <c r="C9649">
        <v>0.3</v>
      </c>
    </row>
    <row r="9650" spans="1:3" ht="15" customHeight="1" x14ac:dyDescent="0.25">
      <c r="A9650" t="s">
        <v>11811</v>
      </c>
      <c r="B9650">
        <v>137.80000000000001</v>
      </c>
      <c r="C9650">
        <v>0.3</v>
      </c>
    </row>
    <row r="9651" spans="1:3" ht="15" customHeight="1" x14ac:dyDescent="0.25">
      <c r="A9651" t="s">
        <v>11812</v>
      </c>
      <c r="B9651">
        <v>137.80000000000001</v>
      </c>
      <c r="C9651">
        <v>0.3</v>
      </c>
    </row>
    <row r="9652" spans="1:3" ht="15" customHeight="1" x14ac:dyDescent="0.25">
      <c r="A9652" t="s">
        <v>11813</v>
      </c>
      <c r="B9652">
        <v>137.80000000000001</v>
      </c>
      <c r="C9652">
        <v>0.3</v>
      </c>
    </row>
    <row r="9653" spans="1:3" ht="15" customHeight="1" x14ac:dyDescent="0.25">
      <c r="A9653" t="s">
        <v>11814</v>
      </c>
      <c r="B9653">
        <v>137.80000000000001</v>
      </c>
      <c r="C9653">
        <v>0.3</v>
      </c>
    </row>
    <row r="9654" spans="1:3" ht="15" customHeight="1" x14ac:dyDescent="0.25">
      <c r="A9654" t="s">
        <v>11815</v>
      </c>
      <c r="B9654">
        <v>137.80000000000001</v>
      </c>
    </row>
    <row r="9655" spans="1:3" ht="15" customHeight="1" x14ac:dyDescent="0.25">
      <c r="A9655" t="s">
        <v>11816</v>
      </c>
      <c r="B9655">
        <v>137.80000000000001</v>
      </c>
    </row>
    <row r="9656" spans="1:3" ht="15" customHeight="1" x14ac:dyDescent="0.25">
      <c r="A9656" t="s">
        <v>11817</v>
      </c>
      <c r="B9656">
        <v>137.80000000000001</v>
      </c>
      <c r="C9656">
        <v>0.3</v>
      </c>
    </row>
    <row r="9657" spans="1:3" ht="15" customHeight="1" x14ac:dyDescent="0.25">
      <c r="A9657" t="s">
        <v>11818</v>
      </c>
      <c r="B9657">
        <v>297.60000000000002</v>
      </c>
      <c r="C9657">
        <v>0.15</v>
      </c>
    </row>
    <row r="9658" spans="1:3" ht="15" customHeight="1" x14ac:dyDescent="0.25">
      <c r="A9658" t="s">
        <v>11819</v>
      </c>
      <c r="B9658">
        <v>297.60000000000002</v>
      </c>
      <c r="C9658">
        <v>0.15</v>
      </c>
    </row>
    <row r="9659" spans="1:3" ht="15" customHeight="1" x14ac:dyDescent="0.25">
      <c r="A9659" t="s">
        <v>11820</v>
      </c>
      <c r="B9659">
        <v>297.60000000000002</v>
      </c>
      <c r="C9659">
        <v>0.15</v>
      </c>
    </row>
    <row r="9660" spans="1:3" ht="15" customHeight="1" x14ac:dyDescent="0.25">
      <c r="A9660" t="s">
        <v>11821</v>
      </c>
      <c r="B9660">
        <v>200.2</v>
      </c>
      <c r="C9660">
        <v>0.15</v>
      </c>
    </row>
    <row r="9661" spans="1:3" ht="15" customHeight="1" x14ac:dyDescent="0.25">
      <c r="A9661" t="s">
        <v>11822</v>
      </c>
      <c r="B9661">
        <v>200.2</v>
      </c>
      <c r="C9661">
        <v>0.15</v>
      </c>
    </row>
    <row r="9662" spans="1:3" ht="15" customHeight="1" x14ac:dyDescent="0.25">
      <c r="A9662" t="s">
        <v>11823</v>
      </c>
      <c r="B9662">
        <v>200.2</v>
      </c>
    </row>
    <row r="9663" spans="1:3" ht="15" customHeight="1" x14ac:dyDescent="0.25">
      <c r="A9663" t="s">
        <v>11824</v>
      </c>
      <c r="B9663">
        <v>200.2</v>
      </c>
      <c r="C9663">
        <v>0.15</v>
      </c>
    </row>
    <row r="9664" spans="1:3" ht="15" customHeight="1" x14ac:dyDescent="0.25">
      <c r="A9664" t="s">
        <v>11825</v>
      </c>
      <c r="B9664">
        <v>12.4</v>
      </c>
    </row>
    <row r="9665" spans="1:2" ht="15" customHeight="1" x14ac:dyDescent="0.25">
      <c r="A9665" t="s">
        <v>11826</v>
      </c>
      <c r="B9665">
        <v>12.4</v>
      </c>
    </row>
    <row r="9666" spans="1:2" ht="15" customHeight="1" x14ac:dyDescent="0.25">
      <c r="A9666" t="s">
        <v>11827</v>
      </c>
      <c r="B9666">
        <v>12.4</v>
      </c>
    </row>
    <row r="9667" spans="1:2" ht="15" customHeight="1" x14ac:dyDescent="0.25">
      <c r="A9667" t="s">
        <v>11828</v>
      </c>
      <c r="B9667">
        <v>12.4</v>
      </c>
    </row>
    <row r="9668" spans="1:2" ht="15" customHeight="1" x14ac:dyDescent="0.25">
      <c r="A9668" t="s">
        <v>11829</v>
      </c>
      <c r="B9668">
        <v>12.4</v>
      </c>
    </row>
    <row r="9669" spans="1:2" ht="15" customHeight="1" x14ac:dyDescent="0.25">
      <c r="A9669" t="s">
        <v>11830</v>
      </c>
      <c r="B9669">
        <v>12.4</v>
      </c>
    </row>
    <row r="9670" spans="1:2" ht="15" customHeight="1" x14ac:dyDescent="0.25">
      <c r="A9670" t="s">
        <v>11831</v>
      </c>
      <c r="B9670">
        <v>12.4</v>
      </c>
    </row>
    <row r="9671" spans="1:2" ht="15" customHeight="1" x14ac:dyDescent="0.25">
      <c r="A9671" t="s">
        <v>11832</v>
      </c>
      <c r="B9671">
        <v>12.4</v>
      </c>
    </row>
    <row r="9672" spans="1:2" ht="15" customHeight="1" x14ac:dyDescent="0.25">
      <c r="A9672" t="s">
        <v>11833</v>
      </c>
      <c r="B9672">
        <v>12.6</v>
      </c>
    </row>
    <row r="9673" spans="1:2" ht="15" customHeight="1" x14ac:dyDescent="0.25">
      <c r="A9673" t="s">
        <v>11834</v>
      </c>
      <c r="B9673">
        <v>12.6</v>
      </c>
    </row>
    <row r="9674" spans="1:2" ht="15" customHeight="1" x14ac:dyDescent="0.25">
      <c r="A9674" t="s">
        <v>11835</v>
      </c>
      <c r="B9674">
        <v>12.6</v>
      </c>
    </row>
    <row r="9675" spans="1:2" ht="15" customHeight="1" x14ac:dyDescent="0.25">
      <c r="A9675" t="s">
        <v>11836</v>
      </c>
      <c r="B9675">
        <v>12.6</v>
      </c>
    </row>
    <row r="9676" spans="1:2" ht="15" customHeight="1" x14ac:dyDescent="0.25">
      <c r="A9676" t="s">
        <v>11837</v>
      </c>
      <c r="B9676">
        <v>12.6</v>
      </c>
    </row>
    <row r="9677" spans="1:2" ht="15" customHeight="1" x14ac:dyDescent="0.25">
      <c r="A9677" t="s">
        <v>11838</v>
      </c>
      <c r="B9677">
        <v>12.6</v>
      </c>
    </row>
    <row r="9678" spans="1:2" ht="15" customHeight="1" x14ac:dyDescent="0.25">
      <c r="A9678" t="s">
        <v>11839</v>
      </c>
      <c r="B9678">
        <v>12.6</v>
      </c>
    </row>
    <row r="9679" spans="1:2" ht="15" customHeight="1" x14ac:dyDescent="0.25">
      <c r="A9679" t="s">
        <v>11840</v>
      </c>
      <c r="B9679">
        <v>12.6</v>
      </c>
    </row>
    <row r="9680" spans="1:2" ht="15" customHeight="1" x14ac:dyDescent="0.25">
      <c r="A9680" t="s">
        <v>11841</v>
      </c>
      <c r="B9680">
        <v>4.5</v>
      </c>
    </row>
    <row r="9681" spans="1:2" ht="15" customHeight="1" x14ac:dyDescent="0.25">
      <c r="A9681" t="s">
        <v>11842</v>
      </c>
      <c r="B9681">
        <v>4.5</v>
      </c>
    </row>
    <row r="9682" spans="1:2" ht="15" customHeight="1" x14ac:dyDescent="0.25">
      <c r="A9682" t="s">
        <v>11843</v>
      </c>
      <c r="B9682">
        <v>4.5</v>
      </c>
    </row>
    <row r="9683" spans="1:2" ht="15" customHeight="1" x14ac:dyDescent="0.25">
      <c r="A9683" t="s">
        <v>11844</v>
      </c>
      <c r="B9683">
        <v>4.5</v>
      </c>
    </row>
    <row r="9684" spans="1:2" ht="15" customHeight="1" x14ac:dyDescent="0.25">
      <c r="A9684" t="s">
        <v>11845</v>
      </c>
      <c r="B9684">
        <v>4.5</v>
      </c>
    </row>
    <row r="9685" spans="1:2" ht="15" customHeight="1" x14ac:dyDescent="0.25">
      <c r="A9685" t="s">
        <v>11846</v>
      </c>
      <c r="B9685">
        <v>4.5</v>
      </c>
    </row>
    <row r="9686" spans="1:2" ht="15" customHeight="1" x14ac:dyDescent="0.25">
      <c r="A9686" t="s">
        <v>11847</v>
      </c>
      <c r="B9686">
        <v>4.5</v>
      </c>
    </row>
    <row r="9687" spans="1:2" ht="15" customHeight="1" x14ac:dyDescent="0.25">
      <c r="A9687" t="s">
        <v>11848</v>
      </c>
      <c r="B9687">
        <v>4.5</v>
      </c>
    </row>
    <row r="9688" spans="1:2" ht="15" customHeight="1" x14ac:dyDescent="0.25">
      <c r="A9688" t="s">
        <v>11849</v>
      </c>
      <c r="B9688">
        <v>4.5</v>
      </c>
    </row>
    <row r="9689" spans="1:2" ht="15" customHeight="1" x14ac:dyDescent="0.25">
      <c r="A9689" t="s">
        <v>11850</v>
      </c>
      <c r="B9689">
        <v>5.8</v>
      </c>
    </row>
    <row r="9690" spans="1:2" ht="15" customHeight="1" x14ac:dyDescent="0.25">
      <c r="A9690" t="s">
        <v>11851</v>
      </c>
      <c r="B9690">
        <v>5.8</v>
      </c>
    </row>
    <row r="9691" spans="1:2" ht="15" customHeight="1" x14ac:dyDescent="0.25">
      <c r="A9691" t="s">
        <v>11852</v>
      </c>
      <c r="B9691">
        <v>5.8</v>
      </c>
    </row>
    <row r="9692" spans="1:2" ht="15" customHeight="1" x14ac:dyDescent="0.25">
      <c r="A9692" t="s">
        <v>11853</v>
      </c>
      <c r="B9692">
        <v>5.8</v>
      </c>
    </row>
    <row r="9693" spans="1:2" ht="15" customHeight="1" x14ac:dyDescent="0.25">
      <c r="A9693" t="s">
        <v>11854</v>
      </c>
      <c r="B9693">
        <v>5.8</v>
      </c>
    </row>
    <row r="9694" spans="1:2" ht="15" customHeight="1" x14ac:dyDescent="0.25">
      <c r="A9694" t="s">
        <v>11855</v>
      </c>
      <c r="B9694">
        <v>5.8</v>
      </c>
    </row>
    <row r="9695" spans="1:2" ht="15" customHeight="1" x14ac:dyDescent="0.25">
      <c r="A9695" t="s">
        <v>11856</v>
      </c>
      <c r="B9695">
        <v>5.8</v>
      </c>
    </row>
    <row r="9696" spans="1:2" ht="15" customHeight="1" x14ac:dyDescent="0.25">
      <c r="A9696" t="s">
        <v>11857</v>
      </c>
      <c r="B9696">
        <v>5.8</v>
      </c>
    </row>
    <row r="9697" spans="1:2" ht="15" customHeight="1" x14ac:dyDescent="0.25">
      <c r="A9697" t="s">
        <v>11858</v>
      </c>
      <c r="B9697">
        <v>5.8</v>
      </c>
    </row>
    <row r="9698" spans="1:2" ht="15" customHeight="1" x14ac:dyDescent="0.25">
      <c r="A9698" t="s">
        <v>11859</v>
      </c>
      <c r="B9698">
        <v>5.8</v>
      </c>
    </row>
    <row r="9699" spans="1:2" ht="15" customHeight="1" x14ac:dyDescent="0.25">
      <c r="A9699" t="s">
        <v>11860</v>
      </c>
      <c r="B9699">
        <v>5.8</v>
      </c>
    </row>
    <row r="9700" spans="1:2" ht="15" customHeight="1" x14ac:dyDescent="0.25">
      <c r="A9700" t="s">
        <v>11861</v>
      </c>
      <c r="B9700">
        <v>5.8</v>
      </c>
    </row>
    <row r="9701" spans="1:2" ht="15" customHeight="1" x14ac:dyDescent="0.25">
      <c r="A9701" t="s">
        <v>11862</v>
      </c>
      <c r="B9701">
        <v>5.8</v>
      </c>
    </row>
    <row r="9702" spans="1:2" ht="15" customHeight="1" x14ac:dyDescent="0.25">
      <c r="A9702" t="s">
        <v>11863</v>
      </c>
      <c r="B9702">
        <v>25.4</v>
      </c>
    </row>
    <row r="9703" spans="1:2" ht="15" customHeight="1" x14ac:dyDescent="0.25">
      <c r="A9703" t="s">
        <v>11864</v>
      </c>
      <c r="B9703">
        <v>25.4</v>
      </c>
    </row>
    <row r="9704" spans="1:2" ht="15" customHeight="1" x14ac:dyDescent="0.25">
      <c r="A9704" t="s">
        <v>11865</v>
      </c>
      <c r="B9704">
        <v>25.4</v>
      </c>
    </row>
    <row r="9705" spans="1:2" ht="15" customHeight="1" x14ac:dyDescent="0.25">
      <c r="A9705" t="s">
        <v>11866</v>
      </c>
      <c r="B9705">
        <v>25.4</v>
      </c>
    </row>
    <row r="9706" spans="1:2" ht="15" customHeight="1" x14ac:dyDescent="0.25">
      <c r="A9706" t="s">
        <v>11867</v>
      </c>
      <c r="B9706">
        <v>25.4</v>
      </c>
    </row>
    <row r="9707" spans="1:2" ht="15" customHeight="1" x14ac:dyDescent="0.25">
      <c r="A9707" t="s">
        <v>11868</v>
      </c>
      <c r="B9707">
        <v>25.4</v>
      </c>
    </row>
    <row r="9708" spans="1:2" ht="15" customHeight="1" x14ac:dyDescent="0.25">
      <c r="A9708" t="s">
        <v>11869</v>
      </c>
      <c r="B9708">
        <v>25.4</v>
      </c>
    </row>
    <row r="9709" spans="1:2" ht="15" customHeight="1" x14ac:dyDescent="0.25">
      <c r="A9709" t="s">
        <v>11870</v>
      </c>
      <c r="B9709">
        <v>25.4</v>
      </c>
    </row>
    <row r="9710" spans="1:2" ht="15" customHeight="1" x14ac:dyDescent="0.25">
      <c r="A9710" t="s">
        <v>11871</v>
      </c>
      <c r="B9710">
        <v>25.4</v>
      </c>
    </row>
    <row r="9711" spans="1:2" ht="15" customHeight="1" x14ac:dyDescent="0.25">
      <c r="A9711" t="s">
        <v>11872</v>
      </c>
      <c r="B9711">
        <v>25.4</v>
      </c>
    </row>
    <row r="9712" spans="1:2" ht="15" customHeight="1" x14ac:dyDescent="0.25">
      <c r="A9712" t="s">
        <v>11873</v>
      </c>
      <c r="B9712">
        <v>25.4</v>
      </c>
    </row>
    <row r="9713" spans="1:2" ht="15" customHeight="1" x14ac:dyDescent="0.25">
      <c r="A9713" t="s">
        <v>11874</v>
      </c>
      <c r="B9713">
        <v>25.4</v>
      </c>
    </row>
    <row r="9714" spans="1:2" ht="15" customHeight="1" x14ac:dyDescent="0.25">
      <c r="A9714" t="s">
        <v>11875</v>
      </c>
      <c r="B9714">
        <v>25.4</v>
      </c>
    </row>
    <row r="9715" spans="1:2" ht="15" customHeight="1" x14ac:dyDescent="0.25">
      <c r="A9715" t="s">
        <v>11876</v>
      </c>
      <c r="B9715">
        <v>25.4</v>
      </c>
    </row>
    <row r="9716" spans="1:2" ht="15" customHeight="1" x14ac:dyDescent="0.25">
      <c r="A9716" t="s">
        <v>11877</v>
      </c>
      <c r="B9716">
        <v>25.4</v>
      </c>
    </row>
    <row r="9717" spans="1:2" ht="15" customHeight="1" x14ac:dyDescent="0.25">
      <c r="A9717" t="s">
        <v>11878</v>
      </c>
      <c r="B9717">
        <v>25.4</v>
      </c>
    </row>
    <row r="9718" spans="1:2" ht="15" customHeight="1" x14ac:dyDescent="0.25">
      <c r="A9718" t="s">
        <v>11879</v>
      </c>
      <c r="B9718">
        <v>25.4</v>
      </c>
    </row>
    <row r="9719" spans="1:2" ht="15" customHeight="1" x14ac:dyDescent="0.25">
      <c r="A9719" t="s">
        <v>11880</v>
      </c>
      <c r="B9719">
        <v>25.4</v>
      </c>
    </row>
    <row r="9720" spans="1:2" ht="15" customHeight="1" x14ac:dyDescent="0.25">
      <c r="A9720" t="s">
        <v>11881</v>
      </c>
      <c r="B9720">
        <v>25.4</v>
      </c>
    </row>
    <row r="9721" spans="1:2" ht="15" customHeight="1" x14ac:dyDescent="0.25">
      <c r="A9721" t="s">
        <v>11882</v>
      </c>
      <c r="B9721">
        <v>25.4</v>
      </c>
    </row>
    <row r="9722" spans="1:2" ht="15" customHeight="1" x14ac:dyDescent="0.25">
      <c r="A9722" t="s">
        <v>11883</v>
      </c>
      <c r="B9722">
        <v>25.4</v>
      </c>
    </row>
    <row r="9723" spans="1:2" ht="15" customHeight="1" x14ac:dyDescent="0.25">
      <c r="A9723" t="s">
        <v>11884</v>
      </c>
      <c r="B9723">
        <v>25.4</v>
      </c>
    </row>
    <row r="9724" spans="1:2" ht="15" customHeight="1" x14ac:dyDescent="0.25">
      <c r="A9724" t="s">
        <v>11885</v>
      </c>
      <c r="B9724">
        <v>25.4</v>
      </c>
    </row>
    <row r="9725" spans="1:2" ht="15" customHeight="1" x14ac:dyDescent="0.25">
      <c r="A9725" t="s">
        <v>11886</v>
      </c>
      <c r="B9725">
        <v>25.4</v>
      </c>
    </row>
    <row r="9726" spans="1:2" ht="15" customHeight="1" x14ac:dyDescent="0.25">
      <c r="A9726" t="s">
        <v>11887</v>
      </c>
      <c r="B9726">
        <v>25.4</v>
      </c>
    </row>
    <row r="9727" spans="1:2" ht="15" customHeight="1" x14ac:dyDescent="0.25">
      <c r="A9727" t="s">
        <v>11888</v>
      </c>
      <c r="B9727">
        <v>25.4</v>
      </c>
    </row>
    <row r="9728" spans="1:2" ht="15" customHeight="1" x14ac:dyDescent="0.25">
      <c r="A9728" t="s">
        <v>11889</v>
      </c>
      <c r="B9728">
        <v>25.4</v>
      </c>
    </row>
    <row r="9729" spans="1:2" ht="15" customHeight="1" x14ac:dyDescent="0.25">
      <c r="A9729" t="s">
        <v>11890</v>
      </c>
      <c r="B9729">
        <v>25.4</v>
      </c>
    </row>
    <row r="9730" spans="1:2" ht="15" customHeight="1" x14ac:dyDescent="0.25">
      <c r="A9730" t="s">
        <v>11891</v>
      </c>
      <c r="B9730">
        <v>25.4</v>
      </c>
    </row>
    <row r="9731" spans="1:2" ht="15" customHeight="1" x14ac:dyDescent="0.25">
      <c r="A9731" t="s">
        <v>11892</v>
      </c>
      <c r="B9731">
        <v>25.4</v>
      </c>
    </row>
    <row r="9732" spans="1:2" ht="15" customHeight="1" x14ac:dyDescent="0.25">
      <c r="A9732" t="s">
        <v>11893</v>
      </c>
      <c r="B9732">
        <v>25.4</v>
      </c>
    </row>
    <row r="9733" spans="1:2" ht="15" customHeight="1" x14ac:dyDescent="0.25">
      <c r="A9733" t="s">
        <v>11894</v>
      </c>
      <c r="B9733">
        <v>25.4</v>
      </c>
    </row>
    <row r="9734" spans="1:2" ht="15" customHeight="1" x14ac:dyDescent="0.25">
      <c r="A9734" t="s">
        <v>11895</v>
      </c>
      <c r="B9734">
        <v>25.4</v>
      </c>
    </row>
    <row r="9735" spans="1:2" ht="15" customHeight="1" x14ac:dyDescent="0.25">
      <c r="A9735" t="s">
        <v>11896</v>
      </c>
      <c r="B9735">
        <v>25.4</v>
      </c>
    </row>
    <row r="9736" spans="1:2" ht="15" customHeight="1" x14ac:dyDescent="0.25">
      <c r="A9736" t="s">
        <v>11897</v>
      </c>
      <c r="B9736">
        <v>25.4</v>
      </c>
    </row>
    <row r="9737" spans="1:2" ht="15" customHeight="1" x14ac:dyDescent="0.25">
      <c r="A9737" t="s">
        <v>11898</v>
      </c>
      <c r="B9737">
        <v>25.4</v>
      </c>
    </row>
    <row r="9738" spans="1:2" ht="15" customHeight="1" x14ac:dyDescent="0.25">
      <c r="A9738" t="s">
        <v>11899</v>
      </c>
      <c r="B9738">
        <v>25.4</v>
      </c>
    </row>
    <row r="9739" spans="1:2" ht="15" customHeight="1" x14ac:dyDescent="0.25">
      <c r="A9739" t="s">
        <v>11900</v>
      </c>
      <c r="B9739">
        <v>25.4</v>
      </c>
    </row>
    <row r="9740" spans="1:2" ht="15" customHeight="1" x14ac:dyDescent="0.25">
      <c r="A9740" t="s">
        <v>11901</v>
      </c>
      <c r="B9740">
        <v>25.4</v>
      </c>
    </row>
    <row r="9741" spans="1:2" ht="15" customHeight="1" x14ac:dyDescent="0.25">
      <c r="A9741" t="s">
        <v>11902</v>
      </c>
      <c r="B9741">
        <v>25.4</v>
      </c>
    </row>
    <row r="9742" spans="1:2" ht="15" customHeight="1" x14ac:dyDescent="0.25">
      <c r="A9742" t="s">
        <v>11903</v>
      </c>
      <c r="B9742">
        <v>25.4</v>
      </c>
    </row>
    <row r="9743" spans="1:2" ht="15" customHeight="1" x14ac:dyDescent="0.25">
      <c r="A9743" t="s">
        <v>11904</v>
      </c>
      <c r="B9743">
        <v>25.4</v>
      </c>
    </row>
    <row r="9744" spans="1:2" ht="15" customHeight="1" x14ac:dyDescent="0.25">
      <c r="A9744" t="s">
        <v>11905</v>
      </c>
      <c r="B9744">
        <v>25.4</v>
      </c>
    </row>
    <row r="9745" spans="1:3" ht="15" customHeight="1" x14ac:dyDescent="0.25">
      <c r="A9745" t="s">
        <v>11906</v>
      </c>
      <c r="B9745">
        <v>25.4</v>
      </c>
    </row>
    <row r="9746" spans="1:3" ht="15" customHeight="1" x14ac:dyDescent="0.25">
      <c r="A9746" t="s">
        <v>11907</v>
      </c>
      <c r="B9746">
        <v>25.4</v>
      </c>
    </row>
    <row r="9747" spans="1:3" ht="15" customHeight="1" x14ac:dyDescent="0.25">
      <c r="A9747" t="s">
        <v>11908</v>
      </c>
      <c r="B9747">
        <v>25.4</v>
      </c>
    </row>
    <row r="9748" spans="1:3" ht="15" customHeight="1" x14ac:dyDescent="0.25">
      <c r="A9748" t="s">
        <v>11909</v>
      </c>
      <c r="B9748">
        <v>25.4</v>
      </c>
    </row>
    <row r="9749" spans="1:3" ht="15" customHeight="1" x14ac:dyDescent="0.25">
      <c r="A9749" t="s">
        <v>11910</v>
      </c>
      <c r="B9749">
        <v>25.4</v>
      </c>
    </row>
    <row r="9750" spans="1:3" ht="15" customHeight="1" x14ac:dyDescent="0.25">
      <c r="A9750" t="s">
        <v>11911</v>
      </c>
      <c r="B9750">
        <v>25.4</v>
      </c>
    </row>
    <row r="9751" spans="1:3" ht="15" customHeight="1" x14ac:dyDescent="0.25">
      <c r="A9751" t="s">
        <v>11912</v>
      </c>
      <c r="B9751">
        <v>25.4</v>
      </c>
    </row>
    <row r="9752" spans="1:3" ht="15" customHeight="1" x14ac:dyDescent="0.25">
      <c r="A9752" t="s">
        <v>11913</v>
      </c>
      <c r="B9752">
        <v>25.4</v>
      </c>
    </row>
    <row r="9753" spans="1:3" ht="15" customHeight="1" x14ac:dyDescent="0.25">
      <c r="A9753" t="s">
        <v>11914</v>
      </c>
      <c r="B9753">
        <v>25.4</v>
      </c>
    </row>
    <row r="9754" spans="1:3" ht="15" customHeight="1" x14ac:dyDescent="0.25">
      <c r="A9754" t="s">
        <v>11915</v>
      </c>
      <c r="B9754">
        <v>76</v>
      </c>
      <c r="C9754">
        <v>0.2</v>
      </c>
    </row>
    <row r="9755" spans="1:3" ht="15" customHeight="1" x14ac:dyDescent="0.25">
      <c r="A9755" t="s">
        <v>11916</v>
      </c>
      <c r="B9755">
        <v>76</v>
      </c>
      <c r="C9755">
        <v>0.2</v>
      </c>
    </row>
    <row r="9756" spans="1:3" ht="15" customHeight="1" x14ac:dyDescent="0.25">
      <c r="A9756" t="s">
        <v>11917</v>
      </c>
      <c r="B9756">
        <v>76</v>
      </c>
    </row>
    <row r="9757" spans="1:3" ht="15" customHeight="1" x14ac:dyDescent="0.25">
      <c r="A9757" t="s">
        <v>11918</v>
      </c>
      <c r="B9757">
        <v>76</v>
      </c>
      <c r="C9757">
        <v>0.2</v>
      </c>
    </row>
    <row r="9758" spans="1:3" ht="15" customHeight="1" x14ac:dyDescent="0.25">
      <c r="A9758" t="s">
        <v>11919</v>
      </c>
      <c r="B9758">
        <v>76</v>
      </c>
      <c r="C9758">
        <v>0.2</v>
      </c>
    </row>
    <row r="9759" spans="1:3" ht="15" customHeight="1" x14ac:dyDescent="0.25">
      <c r="A9759" t="s">
        <v>11920</v>
      </c>
      <c r="B9759">
        <v>76</v>
      </c>
      <c r="C9759">
        <v>0.2</v>
      </c>
    </row>
    <row r="9760" spans="1:3" ht="15" customHeight="1" x14ac:dyDescent="0.25">
      <c r="A9760" t="s">
        <v>11921</v>
      </c>
      <c r="B9760">
        <v>84</v>
      </c>
      <c r="C9760">
        <v>0.2</v>
      </c>
    </row>
    <row r="9761" spans="1:2" ht="15" customHeight="1" x14ac:dyDescent="0.25">
      <c r="A9761" t="s">
        <v>11922</v>
      </c>
      <c r="B9761">
        <v>76</v>
      </c>
    </row>
    <row r="9762" spans="1:2" ht="15" customHeight="1" x14ac:dyDescent="0.25">
      <c r="A9762" t="s">
        <v>11923</v>
      </c>
      <c r="B9762">
        <v>76</v>
      </c>
    </row>
    <row r="9763" spans="1:2" ht="15" customHeight="1" x14ac:dyDescent="0.25">
      <c r="A9763" t="s">
        <v>11924</v>
      </c>
      <c r="B9763">
        <v>76</v>
      </c>
    </row>
    <row r="9764" spans="1:2" ht="15" customHeight="1" x14ac:dyDescent="0.25">
      <c r="A9764" t="s">
        <v>11925</v>
      </c>
      <c r="B9764">
        <v>76</v>
      </c>
    </row>
    <row r="9765" spans="1:2" ht="15" customHeight="1" x14ac:dyDescent="0.25">
      <c r="A9765" t="s">
        <v>11926</v>
      </c>
      <c r="B9765">
        <v>76</v>
      </c>
    </row>
    <row r="9766" spans="1:2" ht="15" customHeight="1" x14ac:dyDescent="0.25">
      <c r="A9766" t="s">
        <v>11927</v>
      </c>
      <c r="B9766">
        <v>76</v>
      </c>
    </row>
    <row r="9767" spans="1:2" ht="15" customHeight="1" x14ac:dyDescent="0.25">
      <c r="A9767" t="s">
        <v>11928</v>
      </c>
      <c r="B9767">
        <v>84</v>
      </c>
    </row>
    <row r="9768" spans="1:2" ht="15" customHeight="1" x14ac:dyDescent="0.25">
      <c r="A9768" t="s">
        <v>11929</v>
      </c>
      <c r="B9768">
        <v>76</v>
      </c>
    </row>
    <row r="9769" spans="1:2" ht="15" customHeight="1" x14ac:dyDescent="0.25">
      <c r="A9769" t="s">
        <v>11930</v>
      </c>
      <c r="B9769">
        <v>76</v>
      </c>
    </row>
    <row r="9770" spans="1:2" ht="15" customHeight="1" x14ac:dyDescent="0.25">
      <c r="A9770" t="s">
        <v>11931</v>
      </c>
      <c r="B9770">
        <v>76</v>
      </c>
    </row>
    <row r="9771" spans="1:2" ht="15" customHeight="1" x14ac:dyDescent="0.25">
      <c r="A9771" t="s">
        <v>11932</v>
      </c>
      <c r="B9771">
        <v>76</v>
      </c>
    </row>
    <row r="9772" spans="1:2" ht="15" customHeight="1" x14ac:dyDescent="0.25">
      <c r="A9772" t="s">
        <v>11933</v>
      </c>
      <c r="B9772">
        <v>76</v>
      </c>
    </row>
    <row r="9773" spans="1:2" ht="15" customHeight="1" x14ac:dyDescent="0.25">
      <c r="A9773" t="s">
        <v>11934</v>
      </c>
      <c r="B9773">
        <v>76</v>
      </c>
    </row>
    <row r="9774" spans="1:2" ht="15" customHeight="1" x14ac:dyDescent="0.25">
      <c r="A9774" t="s">
        <v>11935</v>
      </c>
      <c r="B9774">
        <v>84</v>
      </c>
    </row>
    <row r="9775" spans="1:2" ht="15" customHeight="1" x14ac:dyDescent="0.25">
      <c r="A9775" t="s">
        <v>11936</v>
      </c>
      <c r="B9775">
        <v>76</v>
      </c>
    </row>
    <row r="9776" spans="1:2" ht="15" customHeight="1" x14ac:dyDescent="0.25">
      <c r="A9776" t="s">
        <v>11937</v>
      </c>
      <c r="B9776">
        <v>76</v>
      </c>
    </row>
    <row r="9777" spans="1:3" ht="15" customHeight="1" x14ac:dyDescent="0.25">
      <c r="A9777" t="s">
        <v>11938</v>
      </c>
      <c r="B9777">
        <v>76</v>
      </c>
    </row>
    <row r="9778" spans="1:3" ht="15" customHeight="1" x14ac:dyDescent="0.25">
      <c r="A9778" t="s">
        <v>11939</v>
      </c>
      <c r="B9778">
        <v>76</v>
      </c>
    </row>
    <row r="9779" spans="1:3" ht="15" customHeight="1" x14ac:dyDescent="0.25">
      <c r="A9779" t="s">
        <v>11940</v>
      </c>
      <c r="B9779">
        <v>76</v>
      </c>
    </row>
    <row r="9780" spans="1:3" ht="15" customHeight="1" x14ac:dyDescent="0.25">
      <c r="A9780" t="s">
        <v>11941</v>
      </c>
      <c r="B9780">
        <v>76</v>
      </c>
    </row>
    <row r="9781" spans="1:3" ht="15" customHeight="1" x14ac:dyDescent="0.25">
      <c r="A9781" t="s">
        <v>11942</v>
      </c>
      <c r="B9781">
        <v>84</v>
      </c>
    </row>
    <row r="9782" spans="1:3" ht="15" customHeight="1" x14ac:dyDescent="0.25">
      <c r="A9782" t="s">
        <v>11943</v>
      </c>
      <c r="B9782">
        <v>76</v>
      </c>
    </row>
    <row r="9783" spans="1:3" ht="15" customHeight="1" x14ac:dyDescent="0.25">
      <c r="A9783" t="s">
        <v>11944</v>
      </c>
      <c r="B9783">
        <v>76</v>
      </c>
    </row>
    <row r="9784" spans="1:3" ht="15" customHeight="1" x14ac:dyDescent="0.25">
      <c r="A9784" t="s">
        <v>11945</v>
      </c>
      <c r="B9784">
        <v>76</v>
      </c>
    </row>
    <row r="9785" spans="1:3" ht="15" customHeight="1" x14ac:dyDescent="0.25">
      <c r="A9785" t="s">
        <v>11946</v>
      </c>
      <c r="B9785">
        <v>76</v>
      </c>
    </row>
    <row r="9786" spans="1:3" ht="15" customHeight="1" x14ac:dyDescent="0.25">
      <c r="A9786" t="s">
        <v>11947</v>
      </c>
      <c r="B9786">
        <v>76</v>
      </c>
    </row>
    <row r="9787" spans="1:3" ht="15" customHeight="1" x14ac:dyDescent="0.25">
      <c r="A9787" t="s">
        <v>11948</v>
      </c>
      <c r="B9787">
        <v>76</v>
      </c>
    </row>
    <row r="9788" spans="1:3" ht="15" customHeight="1" x14ac:dyDescent="0.25">
      <c r="A9788" t="s">
        <v>11949</v>
      </c>
      <c r="B9788">
        <v>84</v>
      </c>
    </row>
    <row r="9789" spans="1:3" ht="15" customHeight="1" x14ac:dyDescent="0.25">
      <c r="A9789" t="s">
        <v>11950</v>
      </c>
      <c r="B9789">
        <v>63.8</v>
      </c>
      <c r="C9789">
        <v>0.2</v>
      </c>
    </row>
    <row r="9790" spans="1:3" ht="15" customHeight="1" x14ac:dyDescent="0.25">
      <c r="A9790" t="s">
        <v>11951</v>
      </c>
      <c r="B9790">
        <v>63.8</v>
      </c>
      <c r="C9790">
        <v>0.2</v>
      </c>
    </row>
    <row r="9791" spans="1:3" ht="15" customHeight="1" x14ac:dyDescent="0.25">
      <c r="A9791" t="s">
        <v>11952</v>
      </c>
      <c r="B9791">
        <v>63.8</v>
      </c>
      <c r="C9791">
        <v>0.2</v>
      </c>
    </row>
    <row r="9792" spans="1:3" ht="15" customHeight="1" x14ac:dyDescent="0.25">
      <c r="A9792" t="s">
        <v>11953</v>
      </c>
      <c r="B9792">
        <v>63.8</v>
      </c>
      <c r="C9792">
        <v>0.2</v>
      </c>
    </row>
    <row r="9793" spans="1:3" ht="15" customHeight="1" x14ac:dyDescent="0.25">
      <c r="A9793" t="s">
        <v>11954</v>
      </c>
      <c r="B9793">
        <v>76</v>
      </c>
      <c r="C9793">
        <v>0.2</v>
      </c>
    </row>
    <row r="9794" spans="1:3" ht="15" customHeight="1" x14ac:dyDescent="0.25">
      <c r="A9794" t="s">
        <v>11955</v>
      </c>
      <c r="B9794">
        <v>76</v>
      </c>
      <c r="C9794">
        <v>0.2</v>
      </c>
    </row>
    <row r="9795" spans="1:3" ht="15" customHeight="1" x14ac:dyDescent="0.25">
      <c r="A9795" t="s">
        <v>11956</v>
      </c>
      <c r="B9795">
        <v>84</v>
      </c>
      <c r="C9795">
        <v>0.2</v>
      </c>
    </row>
    <row r="9796" spans="1:3" ht="15" customHeight="1" x14ac:dyDescent="0.25">
      <c r="A9796" t="s">
        <v>11957</v>
      </c>
      <c r="B9796">
        <v>76</v>
      </c>
    </row>
    <row r="9797" spans="1:3" ht="15" customHeight="1" x14ac:dyDescent="0.25">
      <c r="A9797" t="s">
        <v>11958</v>
      </c>
      <c r="B9797">
        <v>87.5</v>
      </c>
    </row>
    <row r="9798" spans="1:3" ht="15" customHeight="1" x14ac:dyDescent="0.25">
      <c r="A9798" t="s">
        <v>11959</v>
      </c>
      <c r="B9798">
        <v>76</v>
      </c>
      <c r="C9798">
        <v>0.2</v>
      </c>
    </row>
    <row r="9799" spans="1:3" ht="15" customHeight="1" x14ac:dyDescent="0.25">
      <c r="A9799" t="s">
        <v>11960</v>
      </c>
      <c r="B9799">
        <v>76</v>
      </c>
      <c r="C9799">
        <v>0.2</v>
      </c>
    </row>
    <row r="9800" spans="1:3" ht="15" customHeight="1" x14ac:dyDescent="0.25">
      <c r="A9800" t="s">
        <v>11961</v>
      </c>
      <c r="B9800">
        <v>84</v>
      </c>
    </row>
    <row r="9801" spans="1:3" ht="15" customHeight="1" x14ac:dyDescent="0.25">
      <c r="A9801" t="s">
        <v>11962</v>
      </c>
      <c r="B9801">
        <v>76</v>
      </c>
    </row>
    <row r="9802" spans="1:3" ht="15" customHeight="1" x14ac:dyDescent="0.25">
      <c r="A9802" t="s">
        <v>11963</v>
      </c>
      <c r="B9802">
        <v>76</v>
      </c>
    </row>
    <row r="9803" spans="1:3" ht="15" customHeight="1" x14ac:dyDescent="0.25">
      <c r="A9803" t="s">
        <v>11964</v>
      </c>
      <c r="B9803">
        <v>76</v>
      </c>
    </row>
    <row r="9804" spans="1:3" ht="15" customHeight="1" x14ac:dyDescent="0.25">
      <c r="A9804" t="s">
        <v>11965</v>
      </c>
      <c r="B9804">
        <v>76</v>
      </c>
    </row>
    <row r="9805" spans="1:3" ht="15" customHeight="1" x14ac:dyDescent="0.25">
      <c r="A9805" t="s">
        <v>11966</v>
      </c>
      <c r="B9805">
        <v>76</v>
      </c>
    </row>
    <row r="9806" spans="1:3" ht="15" customHeight="1" x14ac:dyDescent="0.25">
      <c r="A9806" t="s">
        <v>11967</v>
      </c>
      <c r="B9806">
        <v>76</v>
      </c>
    </row>
    <row r="9807" spans="1:3" ht="15" customHeight="1" x14ac:dyDescent="0.25">
      <c r="A9807" t="s">
        <v>11968</v>
      </c>
      <c r="B9807">
        <v>76</v>
      </c>
    </row>
    <row r="9808" spans="1:3" ht="15" customHeight="1" x14ac:dyDescent="0.25">
      <c r="A9808" t="s">
        <v>11969</v>
      </c>
      <c r="B9808">
        <v>76</v>
      </c>
    </row>
    <row r="9809" spans="1:3" ht="15" customHeight="1" x14ac:dyDescent="0.25">
      <c r="A9809" t="s">
        <v>11970</v>
      </c>
      <c r="B9809">
        <v>76</v>
      </c>
    </row>
    <row r="9810" spans="1:3" ht="15" customHeight="1" x14ac:dyDescent="0.25">
      <c r="A9810" t="s">
        <v>11971</v>
      </c>
      <c r="B9810">
        <v>76</v>
      </c>
    </row>
    <row r="9811" spans="1:3" ht="15" customHeight="1" x14ac:dyDescent="0.25">
      <c r="A9811" t="s">
        <v>11972</v>
      </c>
      <c r="B9811">
        <v>76</v>
      </c>
    </row>
    <row r="9812" spans="1:3" ht="15" customHeight="1" x14ac:dyDescent="0.25">
      <c r="A9812" t="s">
        <v>11973</v>
      </c>
      <c r="B9812">
        <v>76</v>
      </c>
    </row>
    <row r="9813" spans="1:3" ht="15" customHeight="1" x14ac:dyDescent="0.25">
      <c r="A9813" t="s">
        <v>11974</v>
      </c>
      <c r="B9813">
        <v>76</v>
      </c>
    </row>
    <row r="9814" spans="1:3" ht="15" customHeight="1" x14ac:dyDescent="0.25">
      <c r="A9814" t="s">
        <v>11975</v>
      </c>
      <c r="B9814">
        <v>76</v>
      </c>
    </row>
    <row r="9815" spans="1:3" ht="15" customHeight="1" x14ac:dyDescent="0.25">
      <c r="A9815" t="s">
        <v>11976</v>
      </c>
      <c r="B9815">
        <v>76</v>
      </c>
    </row>
    <row r="9816" spans="1:3" ht="15" customHeight="1" x14ac:dyDescent="0.25">
      <c r="A9816" t="s">
        <v>11977</v>
      </c>
      <c r="B9816">
        <v>76</v>
      </c>
    </row>
    <row r="9817" spans="1:3" ht="15" customHeight="1" x14ac:dyDescent="0.25">
      <c r="A9817" t="s">
        <v>11978</v>
      </c>
      <c r="B9817">
        <v>76</v>
      </c>
    </row>
    <row r="9818" spans="1:3" ht="15" customHeight="1" x14ac:dyDescent="0.25">
      <c r="A9818" t="s">
        <v>11979</v>
      </c>
      <c r="B9818">
        <v>76</v>
      </c>
      <c r="C9818">
        <v>0.2</v>
      </c>
    </row>
    <row r="9819" spans="1:3" ht="15" customHeight="1" x14ac:dyDescent="0.25">
      <c r="A9819" t="s">
        <v>11980</v>
      </c>
      <c r="B9819">
        <v>76</v>
      </c>
    </row>
    <row r="9820" spans="1:3" ht="15" customHeight="1" x14ac:dyDescent="0.25">
      <c r="A9820" t="s">
        <v>11981</v>
      </c>
      <c r="B9820">
        <v>76</v>
      </c>
    </row>
    <row r="9821" spans="1:3" ht="15" customHeight="1" x14ac:dyDescent="0.25">
      <c r="A9821" t="s">
        <v>11982</v>
      </c>
      <c r="B9821">
        <v>76</v>
      </c>
    </row>
    <row r="9822" spans="1:3" ht="15" customHeight="1" x14ac:dyDescent="0.25">
      <c r="A9822" t="s">
        <v>11983</v>
      </c>
      <c r="B9822">
        <v>64.5</v>
      </c>
    </row>
    <row r="9823" spans="1:3" ht="15" customHeight="1" x14ac:dyDescent="0.25">
      <c r="A9823" t="s">
        <v>11984</v>
      </c>
      <c r="B9823">
        <v>79.900000000000006</v>
      </c>
    </row>
    <row r="9824" spans="1:3" ht="15" customHeight="1" x14ac:dyDescent="0.25">
      <c r="A9824" t="s">
        <v>11985</v>
      </c>
      <c r="B9824">
        <v>79.900000000000006</v>
      </c>
    </row>
    <row r="9825" spans="1:3" ht="15" customHeight="1" x14ac:dyDescent="0.25">
      <c r="A9825" t="s">
        <v>11986</v>
      </c>
      <c r="B9825">
        <v>79.900000000000006</v>
      </c>
    </row>
    <row r="9826" spans="1:3" ht="15" customHeight="1" x14ac:dyDescent="0.25">
      <c r="A9826" t="s">
        <v>11987</v>
      </c>
      <c r="B9826">
        <v>79.900000000000006</v>
      </c>
    </row>
    <row r="9827" spans="1:3" ht="15" customHeight="1" x14ac:dyDescent="0.25">
      <c r="A9827" t="s">
        <v>11988</v>
      </c>
      <c r="B9827">
        <v>79.900000000000006</v>
      </c>
    </row>
    <row r="9828" spans="1:3" ht="15" customHeight="1" x14ac:dyDescent="0.25">
      <c r="A9828" t="s">
        <v>11989</v>
      </c>
      <c r="B9828">
        <v>113.4</v>
      </c>
    </row>
    <row r="9829" spans="1:3" ht="15" customHeight="1" x14ac:dyDescent="0.25">
      <c r="A9829" t="s">
        <v>11990</v>
      </c>
      <c r="B9829">
        <v>113.4</v>
      </c>
    </row>
    <row r="9830" spans="1:3" ht="15" customHeight="1" x14ac:dyDescent="0.25">
      <c r="A9830" t="s">
        <v>11991</v>
      </c>
      <c r="B9830">
        <v>113.4</v>
      </c>
    </row>
    <row r="9831" spans="1:3" ht="15" customHeight="1" x14ac:dyDescent="0.25">
      <c r="A9831" t="s">
        <v>11992</v>
      </c>
      <c r="B9831">
        <v>148.5</v>
      </c>
      <c r="C9831">
        <v>0.2</v>
      </c>
    </row>
    <row r="9832" spans="1:3" ht="15" customHeight="1" x14ac:dyDescent="0.25">
      <c r="A9832" t="s">
        <v>11993</v>
      </c>
      <c r="B9832">
        <v>212.8</v>
      </c>
    </row>
    <row r="9833" spans="1:3" ht="15" customHeight="1" x14ac:dyDescent="0.25">
      <c r="A9833" t="s">
        <v>11994</v>
      </c>
      <c r="B9833">
        <v>157.4</v>
      </c>
      <c r="C9833">
        <v>0.2</v>
      </c>
    </row>
    <row r="9834" spans="1:3" ht="15" customHeight="1" x14ac:dyDescent="0.25">
      <c r="A9834" t="s">
        <v>11995</v>
      </c>
      <c r="B9834">
        <v>157.4</v>
      </c>
      <c r="C9834">
        <v>0.2</v>
      </c>
    </row>
    <row r="9835" spans="1:3" ht="15" customHeight="1" x14ac:dyDescent="0.25">
      <c r="A9835" t="s">
        <v>11996</v>
      </c>
      <c r="B9835">
        <v>157.4</v>
      </c>
      <c r="C9835">
        <v>0.2</v>
      </c>
    </row>
    <row r="9836" spans="1:3" ht="15" customHeight="1" x14ac:dyDescent="0.25">
      <c r="A9836" t="s">
        <v>11997</v>
      </c>
      <c r="B9836">
        <v>90.1</v>
      </c>
    </row>
    <row r="9837" spans="1:3" ht="15" customHeight="1" x14ac:dyDescent="0.25">
      <c r="A9837" t="s">
        <v>11998</v>
      </c>
      <c r="B9837">
        <v>90.1</v>
      </c>
    </row>
    <row r="9838" spans="1:3" ht="15" customHeight="1" x14ac:dyDescent="0.25">
      <c r="A9838" t="s">
        <v>11999</v>
      </c>
      <c r="B9838">
        <v>90.1</v>
      </c>
    </row>
    <row r="9839" spans="1:3" ht="15" customHeight="1" x14ac:dyDescent="0.25">
      <c r="A9839" t="s">
        <v>12000</v>
      </c>
      <c r="B9839">
        <v>61</v>
      </c>
    </row>
    <row r="9840" spans="1:3" ht="15" customHeight="1" x14ac:dyDescent="0.25">
      <c r="A9840" t="s">
        <v>12001</v>
      </c>
      <c r="B9840">
        <v>61</v>
      </c>
    </row>
    <row r="9841" spans="1:3" ht="15" customHeight="1" x14ac:dyDescent="0.25">
      <c r="A9841" t="s">
        <v>12002</v>
      </c>
      <c r="B9841">
        <v>61</v>
      </c>
    </row>
    <row r="9842" spans="1:3" ht="15" customHeight="1" x14ac:dyDescent="0.25">
      <c r="A9842" t="s">
        <v>12003</v>
      </c>
      <c r="B9842">
        <v>61</v>
      </c>
    </row>
    <row r="9843" spans="1:3" ht="15" customHeight="1" x14ac:dyDescent="0.25">
      <c r="A9843" t="s">
        <v>12004</v>
      </c>
      <c r="B9843">
        <v>61</v>
      </c>
    </row>
    <row r="9844" spans="1:3" ht="15" customHeight="1" x14ac:dyDescent="0.25">
      <c r="A9844" t="s">
        <v>12005</v>
      </c>
      <c r="B9844">
        <v>94.1</v>
      </c>
      <c r="C9844">
        <v>0.2</v>
      </c>
    </row>
    <row r="9845" spans="1:3" ht="15" customHeight="1" x14ac:dyDescent="0.25">
      <c r="A9845" t="s">
        <v>12006</v>
      </c>
      <c r="B9845">
        <v>73.400000000000006</v>
      </c>
      <c r="C9845">
        <v>0.2</v>
      </c>
    </row>
    <row r="9846" spans="1:3" ht="15" customHeight="1" x14ac:dyDescent="0.25">
      <c r="A9846" t="s">
        <v>12007</v>
      </c>
      <c r="B9846">
        <v>73.400000000000006</v>
      </c>
    </row>
    <row r="9847" spans="1:3" ht="15" customHeight="1" x14ac:dyDescent="0.25">
      <c r="A9847" t="s">
        <v>12008</v>
      </c>
      <c r="B9847">
        <v>85.9</v>
      </c>
    </row>
    <row r="9848" spans="1:3" ht="15" customHeight="1" x14ac:dyDescent="0.25">
      <c r="A9848" t="s">
        <v>12009</v>
      </c>
      <c r="B9848">
        <v>85.9</v>
      </c>
    </row>
    <row r="9849" spans="1:3" ht="15" customHeight="1" x14ac:dyDescent="0.25">
      <c r="A9849" t="s">
        <v>12010</v>
      </c>
      <c r="B9849">
        <v>85.9</v>
      </c>
    </row>
    <row r="9850" spans="1:3" ht="15" customHeight="1" x14ac:dyDescent="0.25">
      <c r="A9850" t="s">
        <v>12011</v>
      </c>
      <c r="B9850">
        <v>85.9</v>
      </c>
      <c r="C9850">
        <v>0.2</v>
      </c>
    </row>
    <row r="9851" spans="1:3" ht="15" customHeight="1" x14ac:dyDescent="0.25">
      <c r="A9851" t="s">
        <v>12012</v>
      </c>
      <c r="B9851">
        <v>85.9</v>
      </c>
    </row>
    <row r="9852" spans="1:3" ht="15" customHeight="1" x14ac:dyDescent="0.25">
      <c r="A9852" t="s">
        <v>12013</v>
      </c>
      <c r="B9852">
        <v>106.8</v>
      </c>
      <c r="C9852">
        <v>0.2</v>
      </c>
    </row>
    <row r="9853" spans="1:3" ht="15" customHeight="1" x14ac:dyDescent="0.25">
      <c r="A9853" t="s">
        <v>12014</v>
      </c>
      <c r="B9853">
        <v>106.8</v>
      </c>
      <c r="C9853">
        <v>0.2</v>
      </c>
    </row>
    <row r="9854" spans="1:3" ht="15" customHeight="1" x14ac:dyDescent="0.25">
      <c r="A9854" t="s">
        <v>12015</v>
      </c>
      <c r="B9854">
        <v>117.4</v>
      </c>
      <c r="C9854">
        <v>0.2</v>
      </c>
    </row>
    <row r="9855" spans="1:3" ht="15" customHeight="1" x14ac:dyDescent="0.25">
      <c r="A9855" t="s">
        <v>12016</v>
      </c>
      <c r="B9855">
        <v>85.9</v>
      </c>
      <c r="C9855">
        <v>0.2</v>
      </c>
    </row>
    <row r="9856" spans="1:3" ht="15" customHeight="1" x14ac:dyDescent="0.25">
      <c r="A9856" t="s">
        <v>12017</v>
      </c>
      <c r="B9856">
        <v>106.8</v>
      </c>
      <c r="C9856">
        <v>0.2</v>
      </c>
    </row>
    <row r="9857" spans="1:3" ht="15" customHeight="1" x14ac:dyDescent="0.25">
      <c r="A9857" t="s">
        <v>12018</v>
      </c>
      <c r="B9857">
        <v>106.8</v>
      </c>
    </row>
    <row r="9858" spans="1:3" ht="15" customHeight="1" x14ac:dyDescent="0.25">
      <c r="A9858" t="s">
        <v>12019</v>
      </c>
      <c r="B9858">
        <v>106.8</v>
      </c>
    </row>
    <row r="9859" spans="1:3" ht="15" customHeight="1" x14ac:dyDescent="0.25">
      <c r="A9859" t="s">
        <v>12020</v>
      </c>
      <c r="B9859">
        <v>117.4</v>
      </c>
    </row>
    <row r="9860" spans="1:3" ht="15" customHeight="1" x14ac:dyDescent="0.25">
      <c r="A9860" t="s">
        <v>12021</v>
      </c>
      <c r="B9860">
        <v>106.8</v>
      </c>
    </row>
    <row r="9861" spans="1:3" ht="15" customHeight="1" x14ac:dyDescent="0.25">
      <c r="A9861" t="s">
        <v>12022</v>
      </c>
      <c r="B9861">
        <v>117.4</v>
      </c>
    </row>
    <row r="9862" spans="1:3" ht="15" customHeight="1" x14ac:dyDescent="0.25">
      <c r="A9862" t="s">
        <v>12023</v>
      </c>
      <c r="B9862">
        <v>106.8</v>
      </c>
      <c r="C9862">
        <v>0.2</v>
      </c>
    </row>
    <row r="9863" spans="1:3" ht="15" customHeight="1" x14ac:dyDescent="0.25">
      <c r="A9863" t="s">
        <v>12024</v>
      </c>
      <c r="B9863">
        <v>106.8</v>
      </c>
      <c r="C9863">
        <v>0.2</v>
      </c>
    </row>
    <row r="9864" spans="1:3" ht="15" customHeight="1" x14ac:dyDescent="0.25">
      <c r="A9864" t="s">
        <v>12025</v>
      </c>
      <c r="B9864">
        <v>106.8</v>
      </c>
      <c r="C9864">
        <v>0.2</v>
      </c>
    </row>
    <row r="9865" spans="1:3" ht="15" customHeight="1" x14ac:dyDescent="0.25">
      <c r="A9865" t="s">
        <v>12026</v>
      </c>
      <c r="B9865">
        <v>106.8</v>
      </c>
      <c r="C9865">
        <v>0.2</v>
      </c>
    </row>
    <row r="9866" spans="1:3" ht="15" customHeight="1" x14ac:dyDescent="0.25">
      <c r="A9866" t="s">
        <v>12027</v>
      </c>
      <c r="B9866">
        <v>119.4</v>
      </c>
    </row>
    <row r="9867" spans="1:3" ht="15" customHeight="1" x14ac:dyDescent="0.25">
      <c r="A9867" t="s">
        <v>12028</v>
      </c>
      <c r="B9867">
        <v>106.8</v>
      </c>
    </row>
    <row r="9868" spans="1:3" ht="15" customHeight="1" x14ac:dyDescent="0.25">
      <c r="A9868" t="s">
        <v>12029</v>
      </c>
      <c r="B9868">
        <v>106.8</v>
      </c>
    </row>
    <row r="9869" spans="1:3" ht="15" customHeight="1" x14ac:dyDescent="0.25">
      <c r="A9869" t="s">
        <v>12030</v>
      </c>
      <c r="B9869">
        <v>106.8</v>
      </c>
    </row>
    <row r="9870" spans="1:3" ht="15" customHeight="1" x14ac:dyDescent="0.25">
      <c r="A9870" t="s">
        <v>12031</v>
      </c>
      <c r="B9870">
        <v>85.9</v>
      </c>
    </row>
    <row r="9871" spans="1:3" ht="15" customHeight="1" x14ac:dyDescent="0.25">
      <c r="A9871" t="s">
        <v>12032</v>
      </c>
      <c r="B9871">
        <v>85.9</v>
      </c>
    </row>
    <row r="9872" spans="1:3" ht="15" customHeight="1" x14ac:dyDescent="0.25">
      <c r="A9872" t="s">
        <v>12033</v>
      </c>
      <c r="B9872">
        <v>85.9</v>
      </c>
    </row>
    <row r="9873" spans="1:3" ht="15" customHeight="1" x14ac:dyDescent="0.25">
      <c r="A9873" t="s">
        <v>12034</v>
      </c>
      <c r="B9873">
        <v>85.9</v>
      </c>
    </row>
    <row r="9874" spans="1:3" ht="15" customHeight="1" x14ac:dyDescent="0.25">
      <c r="A9874" t="s">
        <v>12035</v>
      </c>
      <c r="B9874">
        <v>85.9</v>
      </c>
    </row>
    <row r="9875" spans="1:3" ht="15" customHeight="1" x14ac:dyDescent="0.25">
      <c r="A9875" t="s">
        <v>12036</v>
      </c>
      <c r="B9875">
        <v>85.9</v>
      </c>
    </row>
    <row r="9876" spans="1:3" ht="15" customHeight="1" x14ac:dyDescent="0.25">
      <c r="A9876" t="s">
        <v>12037</v>
      </c>
      <c r="B9876">
        <v>85.9</v>
      </c>
    </row>
    <row r="9877" spans="1:3" ht="15" customHeight="1" x14ac:dyDescent="0.25">
      <c r="A9877" t="s">
        <v>12038</v>
      </c>
      <c r="B9877">
        <v>119</v>
      </c>
      <c r="C9877">
        <v>0.2</v>
      </c>
    </row>
    <row r="9878" spans="1:3" ht="15" customHeight="1" x14ac:dyDescent="0.25">
      <c r="A9878" t="s">
        <v>12039</v>
      </c>
      <c r="B9878">
        <v>119</v>
      </c>
      <c r="C9878">
        <v>0.2</v>
      </c>
    </row>
    <row r="9879" spans="1:3" ht="15" customHeight="1" x14ac:dyDescent="0.25">
      <c r="A9879" t="s">
        <v>12040</v>
      </c>
      <c r="B9879">
        <v>119</v>
      </c>
      <c r="C9879">
        <v>0.2</v>
      </c>
    </row>
    <row r="9880" spans="1:3" ht="15" customHeight="1" x14ac:dyDescent="0.25">
      <c r="A9880" t="s">
        <v>12041</v>
      </c>
      <c r="B9880">
        <v>119</v>
      </c>
      <c r="C9880">
        <v>0.2</v>
      </c>
    </row>
    <row r="9881" spans="1:3" ht="15" customHeight="1" x14ac:dyDescent="0.25">
      <c r="A9881" t="s">
        <v>12042</v>
      </c>
      <c r="B9881">
        <v>129.6</v>
      </c>
      <c r="C9881">
        <v>0.2</v>
      </c>
    </row>
    <row r="9882" spans="1:3" ht="15" customHeight="1" x14ac:dyDescent="0.25">
      <c r="A9882" t="s">
        <v>12043</v>
      </c>
      <c r="B9882">
        <v>119</v>
      </c>
      <c r="C9882">
        <v>0.2</v>
      </c>
    </row>
    <row r="9883" spans="1:3" ht="15" customHeight="1" x14ac:dyDescent="0.25">
      <c r="A9883" t="s">
        <v>12044</v>
      </c>
      <c r="B9883">
        <v>119</v>
      </c>
      <c r="C9883">
        <v>0.2</v>
      </c>
    </row>
    <row r="9884" spans="1:3" ht="15" customHeight="1" x14ac:dyDescent="0.25">
      <c r="A9884" t="s">
        <v>12045</v>
      </c>
      <c r="B9884">
        <v>119</v>
      </c>
      <c r="C9884">
        <v>0.2</v>
      </c>
    </row>
    <row r="9885" spans="1:3" ht="15" customHeight="1" x14ac:dyDescent="0.25">
      <c r="A9885" t="s">
        <v>12046</v>
      </c>
      <c r="B9885">
        <v>119</v>
      </c>
      <c r="C9885">
        <v>0.2</v>
      </c>
    </row>
    <row r="9886" spans="1:3" ht="15" customHeight="1" x14ac:dyDescent="0.25">
      <c r="A9886" t="s">
        <v>12047</v>
      </c>
      <c r="B9886">
        <v>129.6</v>
      </c>
      <c r="C9886">
        <v>0.2</v>
      </c>
    </row>
    <row r="9887" spans="1:3" ht="15" customHeight="1" x14ac:dyDescent="0.25">
      <c r="A9887" t="s">
        <v>12048</v>
      </c>
      <c r="B9887">
        <v>119</v>
      </c>
    </row>
    <row r="9888" spans="1:3" ht="15" customHeight="1" x14ac:dyDescent="0.25">
      <c r="A9888" t="s">
        <v>12049</v>
      </c>
      <c r="B9888">
        <v>119</v>
      </c>
    </row>
    <row r="9889" spans="1:3" ht="15" customHeight="1" x14ac:dyDescent="0.25">
      <c r="A9889" t="s">
        <v>12050</v>
      </c>
      <c r="B9889">
        <v>119</v>
      </c>
    </row>
    <row r="9890" spans="1:3" ht="15" customHeight="1" x14ac:dyDescent="0.25">
      <c r="A9890" t="s">
        <v>12051</v>
      </c>
      <c r="B9890">
        <v>119</v>
      </c>
      <c r="C9890">
        <v>0.2</v>
      </c>
    </row>
    <row r="9891" spans="1:3" ht="15" customHeight="1" x14ac:dyDescent="0.25">
      <c r="A9891" t="s">
        <v>12052</v>
      </c>
      <c r="B9891">
        <v>131.19999999999999</v>
      </c>
    </row>
    <row r="9892" spans="1:3" ht="15" customHeight="1" x14ac:dyDescent="0.25">
      <c r="A9892" t="s">
        <v>12053</v>
      </c>
      <c r="B9892">
        <v>126.8</v>
      </c>
    </row>
    <row r="9893" spans="1:3" ht="15" customHeight="1" x14ac:dyDescent="0.25">
      <c r="A9893" t="s">
        <v>12054</v>
      </c>
      <c r="B9893">
        <v>126.8</v>
      </c>
    </row>
    <row r="9894" spans="1:3" ht="15" customHeight="1" x14ac:dyDescent="0.25">
      <c r="A9894" t="s">
        <v>12055</v>
      </c>
      <c r="B9894">
        <v>126.8</v>
      </c>
    </row>
    <row r="9895" spans="1:3" ht="15" customHeight="1" x14ac:dyDescent="0.25">
      <c r="A9895" t="s">
        <v>12056</v>
      </c>
      <c r="B9895">
        <v>168.8</v>
      </c>
    </row>
    <row r="9896" spans="1:3" ht="15" customHeight="1" x14ac:dyDescent="0.25">
      <c r="A9896" t="s">
        <v>12057</v>
      </c>
      <c r="B9896">
        <v>251.6</v>
      </c>
      <c r="C9896">
        <v>0.2</v>
      </c>
    </row>
    <row r="9897" spans="1:3" ht="15" customHeight="1" x14ac:dyDescent="0.25">
      <c r="A9897" t="s">
        <v>12058</v>
      </c>
      <c r="B9897">
        <v>132.9</v>
      </c>
      <c r="C9897">
        <v>0.2</v>
      </c>
    </row>
    <row r="9898" spans="1:3" ht="15" customHeight="1" x14ac:dyDescent="0.25">
      <c r="A9898" t="s">
        <v>12059</v>
      </c>
      <c r="B9898">
        <v>132.9</v>
      </c>
      <c r="C9898">
        <v>0.2</v>
      </c>
    </row>
    <row r="9899" spans="1:3" ht="15" customHeight="1" x14ac:dyDescent="0.25">
      <c r="A9899" t="s">
        <v>12060</v>
      </c>
      <c r="B9899">
        <v>143.5</v>
      </c>
      <c r="C9899">
        <v>0.2</v>
      </c>
    </row>
    <row r="9900" spans="1:3" ht="15" customHeight="1" x14ac:dyDescent="0.25">
      <c r="A9900" t="s">
        <v>12061</v>
      </c>
      <c r="B9900">
        <v>132.9</v>
      </c>
    </row>
    <row r="9901" spans="1:3" ht="15" customHeight="1" x14ac:dyDescent="0.25">
      <c r="A9901" t="s">
        <v>12062</v>
      </c>
      <c r="B9901">
        <v>132.9</v>
      </c>
      <c r="C9901">
        <v>0.2</v>
      </c>
    </row>
    <row r="9902" spans="1:3" ht="15" customHeight="1" x14ac:dyDescent="0.25">
      <c r="A9902" t="s">
        <v>12063</v>
      </c>
      <c r="B9902">
        <v>132.9</v>
      </c>
      <c r="C9902">
        <v>0.2</v>
      </c>
    </row>
    <row r="9903" spans="1:3" ht="15" customHeight="1" x14ac:dyDescent="0.25">
      <c r="A9903" t="s">
        <v>12064</v>
      </c>
      <c r="B9903">
        <v>143.5</v>
      </c>
      <c r="C9903">
        <v>0.2</v>
      </c>
    </row>
    <row r="9904" spans="1:3" ht="15" customHeight="1" x14ac:dyDescent="0.25">
      <c r="A9904" t="s">
        <v>12065</v>
      </c>
      <c r="B9904">
        <v>132.9</v>
      </c>
      <c r="C9904">
        <v>0.2</v>
      </c>
    </row>
    <row r="9905" spans="1:3" ht="15" customHeight="1" x14ac:dyDescent="0.25">
      <c r="A9905" t="s">
        <v>12066</v>
      </c>
      <c r="B9905">
        <v>132.9</v>
      </c>
      <c r="C9905">
        <v>0.2</v>
      </c>
    </row>
    <row r="9906" spans="1:3" ht="15" customHeight="1" x14ac:dyDescent="0.25">
      <c r="A9906" t="s">
        <v>12067</v>
      </c>
      <c r="B9906">
        <v>132.9</v>
      </c>
    </row>
    <row r="9907" spans="1:3" ht="15" customHeight="1" x14ac:dyDescent="0.25">
      <c r="A9907" t="s">
        <v>12068</v>
      </c>
      <c r="B9907">
        <v>143.5</v>
      </c>
      <c r="C9907">
        <v>0.2</v>
      </c>
    </row>
    <row r="9908" spans="1:3" ht="15" customHeight="1" x14ac:dyDescent="0.25">
      <c r="A9908" t="s">
        <v>12069</v>
      </c>
      <c r="B9908">
        <v>132.9</v>
      </c>
    </row>
    <row r="9909" spans="1:3" ht="15" customHeight="1" x14ac:dyDescent="0.25">
      <c r="A9909" t="s">
        <v>12070</v>
      </c>
      <c r="B9909">
        <v>132.9</v>
      </c>
    </row>
    <row r="9910" spans="1:3" ht="15" customHeight="1" x14ac:dyDescent="0.25">
      <c r="A9910" t="s">
        <v>12071</v>
      </c>
      <c r="B9910">
        <v>143.5</v>
      </c>
    </row>
    <row r="9911" spans="1:3" ht="15" customHeight="1" x14ac:dyDescent="0.25">
      <c r="A9911" t="s">
        <v>12072</v>
      </c>
      <c r="B9911">
        <v>132.9</v>
      </c>
    </row>
    <row r="9912" spans="1:3" ht="15" customHeight="1" x14ac:dyDescent="0.25">
      <c r="A9912" t="s">
        <v>12073</v>
      </c>
      <c r="B9912">
        <v>143.5</v>
      </c>
    </row>
    <row r="9913" spans="1:3" ht="15" customHeight="1" x14ac:dyDescent="0.25">
      <c r="A9913" t="s">
        <v>12074</v>
      </c>
      <c r="B9913">
        <v>132.9</v>
      </c>
    </row>
    <row r="9914" spans="1:3" ht="15" customHeight="1" x14ac:dyDescent="0.25">
      <c r="A9914" t="s">
        <v>12075</v>
      </c>
      <c r="B9914">
        <v>132.9</v>
      </c>
    </row>
    <row r="9915" spans="1:3" ht="15" customHeight="1" x14ac:dyDescent="0.25">
      <c r="A9915" t="s">
        <v>12076</v>
      </c>
      <c r="B9915">
        <v>132.9</v>
      </c>
    </row>
    <row r="9916" spans="1:3" ht="15" customHeight="1" x14ac:dyDescent="0.25">
      <c r="A9916" t="s">
        <v>12077</v>
      </c>
      <c r="B9916">
        <v>132.9</v>
      </c>
    </row>
    <row r="9917" spans="1:3" ht="15" customHeight="1" x14ac:dyDescent="0.25">
      <c r="A9917" t="s">
        <v>12078</v>
      </c>
      <c r="B9917">
        <v>143.5</v>
      </c>
    </row>
    <row r="9918" spans="1:3" ht="15" customHeight="1" x14ac:dyDescent="0.25">
      <c r="A9918" t="s">
        <v>12079</v>
      </c>
      <c r="B9918">
        <v>132.9</v>
      </c>
    </row>
    <row r="9919" spans="1:3" ht="15" customHeight="1" x14ac:dyDescent="0.25">
      <c r="A9919" t="s">
        <v>12080</v>
      </c>
      <c r="B9919">
        <v>132.9</v>
      </c>
    </row>
    <row r="9920" spans="1:3" ht="15" customHeight="1" x14ac:dyDescent="0.25">
      <c r="A9920" t="s">
        <v>12081</v>
      </c>
      <c r="B9920">
        <v>143.5</v>
      </c>
    </row>
    <row r="9921" spans="1:3" ht="15" customHeight="1" x14ac:dyDescent="0.25">
      <c r="A9921" t="s">
        <v>12082</v>
      </c>
      <c r="B9921">
        <v>132.9</v>
      </c>
    </row>
    <row r="9922" spans="1:3" ht="15" customHeight="1" x14ac:dyDescent="0.25">
      <c r="A9922" t="s">
        <v>12083</v>
      </c>
      <c r="B9922">
        <v>143.5</v>
      </c>
    </row>
    <row r="9923" spans="1:3" ht="15" customHeight="1" x14ac:dyDescent="0.25">
      <c r="A9923" t="s">
        <v>12084</v>
      </c>
      <c r="B9923">
        <v>132.9</v>
      </c>
    </row>
    <row r="9924" spans="1:3" ht="15" customHeight="1" x14ac:dyDescent="0.25">
      <c r="A9924" t="s">
        <v>12085</v>
      </c>
      <c r="B9924">
        <v>132.9</v>
      </c>
    </row>
    <row r="9925" spans="1:3" ht="15" customHeight="1" x14ac:dyDescent="0.25">
      <c r="A9925" t="s">
        <v>12086</v>
      </c>
      <c r="B9925">
        <v>143.5</v>
      </c>
    </row>
    <row r="9926" spans="1:3" ht="15" customHeight="1" x14ac:dyDescent="0.25">
      <c r="A9926" t="s">
        <v>12087</v>
      </c>
      <c r="B9926">
        <v>132.9</v>
      </c>
      <c r="C9926">
        <v>0.2</v>
      </c>
    </row>
    <row r="9927" spans="1:3" ht="15" customHeight="1" x14ac:dyDescent="0.25">
      <c r="A9927" t="s">
        <v>12088</v>
      </c>
      <c r="B9927">
        <v>143.5</v>
      </c>
    </row>
    <row r="9928" spans="1:3" ht="15" customHeight="1" x14ac:dyDescent="0.25">
      <c r="A9928" t="s">
        <v>12089</v>
      </c>
      <c r="B9928">
        <v>132.9</v>
      </c>
      <c r="C9928">
        <v>0.2</v>
      </c>
    </row>
    <row r="9929" spans="1:3" ht="15" customHeight="1" x14ac:dyDescent="0.25">
      <c r="A9929" t="s">
        <v>12090</v>
      </c>
      <c r="B9929">
        <v>103.5</v>
      </c>
      <c r="C9929">
        <v>0.2</v>
      </c>
    </row>
    <row r="9930" spans="1:3" ht="15" customHeight="1" x14ac:dyDescent="0.25">
      <c r="A9930" t="s">
        <v>12091</v>
      </c>
      <c r="B9930">
        <v>103.5</v>
      </c>
      <c r="C9930">
        <v>0.2</v>
      </c>
    </row>
    <row r="9931" spans="1:3" ht="15" customHeight="1" x14ac:dyDescent="0.25">
      <c r="A9931" t="s">
        <v>12092</v>
      </c>
      <c r="B9931">
        <v>103.5</v>
      </c>
      <c r="C9931">
        <v>0.2</v>
      </c>
    </row>
    <row r="9932" spans="1:3" ht="15" customHeight="1" x14ac:dyDescent="0.25">
      <c r="A9932" t="s">
        <v>12093</v>
      </c>
      <c r="B9932">
        <v>124.8</v>
      </c>
      <c r="C9932">
        <v>0.2</v>
      </c>
    </row>
    <row r="9933" spans="1:3" ht="15" customHeight="1" x14ac:dyDescent="0.25">
      <c r="A9933" t="s">
        <v>12094</v>
      </c>
      <c r="B9933">
        <v>168.8</v>
      </c>
    </row>
    <row r="9934" spans="1:3" ht="15" customHeight="1" x14ac:dyDescent="0.25">
      <c r="A9934" t="s">
        <v>12095</v>
      </c>
      <c r="B9934">
        <v>86.5</v>
      </c>
    </row>
    <row r="9935" spans="1:3" ht="15" customHeight="1" x14ac:dyDescent="0.25">
      <c r="A9935" t="s">
        <v>12096</v>
      </c>
      <c r="B9935">
        <v>139.5</v>
      </c>
    </row>
    <row r="9936" spans="1:3" ht="15" customHeight="1" x14ac:dyDescent="0.25">
      <c r="A9936" t="s">
        <v>12097</v>
      </c>
      <c r="B9936">
        <v>139.5</v>
      </c>
      <c r="C9936">
        <v>0.2</v>
      </c>
    </row>
    <row r="9937" spans="1:3" ht="15" customHeight="1" x14ac:dyDescent="0.25">
      <c r="A9937" t="s">
        <v>12098</v>
      </c>
      <c r="B9937">
        <v>160.69999999999999</v>
      </c>
      <c r="C9937">
        <v>0.2</v>
      </c>
    </row>
    <row r="9938" spans="1:3" ht="15" customHeight="1" x14ac:dyDescent="0.25">
      <c r="A9938" t="s">
        <v>12099</v>
      </c>
      <c r="B9938">
        <v>126.8</v>
      </c>
      <c r="C9938">
        <v>0.2</v>
      </c>
    </row>
    <row r="9939" spans="1:3" ht="15" customHeight="1" x14ac:dyDescent="0.25">
      <c r="A9939" t="s">
        <v>12100</v>
      </c>
      <c r="B9939">
        <v>126.8</v>
      </c>
      <c r="C9939">
        <v>0.2</v>
      </c>
    </row>
    <row r="9940" spans="1:3" ht="15" customHeight="1" x14ac:dyDescent="0.25">
      <c r="A9940" t="s">
        <v>12101</v>
      </c>
      <c r="B9940">
        <v>126.8</v>
      </c>
      <c r="C9940">
        <v>0.2</v>
      </c>
    </row>
    <row r="9941" spans="1:3" ht="15" customHeight="1" x14ac:dyDescent="0.25">
      <c r="A9941" t="s">
        <v>12102</v>
      </c>
      <c r="B9941">
        <v>126.8</v>
      </c>
      <c r="C9941">
        <v>0.2</v>
      </c>
    </row>
    <row r="9942" spans="1:3" ht="15" customHeight="1" x14ac:dyDescent="0.25">
      <c r="A9942" t="s">
        <v>12103</v>
      </c>
      <c r="B9942">
        <v>94.1</v>
      </c>
    </row>
    <row r="9943" spans="1:3" ht="15" customHeight="1" x14ac:dyDescent="0.25">
      <c r="A9943" t="s">
        <v>12104</v>
      </c>
      <c r="B9943">
        <v>94.1</v>
      </c>
    </row>
    <row r="9944" spans="1:3" ht="15" customHeight="1" x14ac:dyDescent="0.25">
      <c r="A9944" t="s">
        <v>12105</v>
      </c>
      <c r="B9944">
        <v>94.1</v>
      </c>
      <c r="C9944">
        <v>0.2</v>
      </c>
    </row>
    <row r="9945" spans="1:3" ht="15" customHeight="1" x14ac:dyDescent="0.25">
      <c r="A9945" t="s">
        <v>12106</v>
      </c>
      <c r="B9945">
        <v>94.1</v>
      </c>
      <c r="C9945">
        <v>0.2</v>
      </c>
    </row>
    <row r="9946" spans="1:3" ht="15" customHeight="1" x14ac:dyDescent="0.25">
      <c r="A9946" t="s">
        <v>12107</v>
      </c>
      <c r="B9946">
        <v>94.1</v>
      </c>
      <c r="C9946">
        <v>0.2</v>
      </c>
    </row>
    <row r="9947" spans="1:3" ht="15" customHeight="1" x14ac:dyDescent="0.25">
      <c r="A9947" t="s">
        <v>12108</v>
      </c>
      <c r="B9947">
        <v>94.1</v>
      </c>
    </row>
    <row r="9948" spans="1:3" ht="15" customHeight="1" x14ac:dyDescent="0.25">
      <c r="A9948" t="s">
        <v>12109</v>
      </c>
      <c r="B9948">
        <v>81.400000000000006</v>
      </c>
      <c r="C9948">
        <v>0.2</v>
      </c>
    </row>
    <row r="9949" spans="1:3" ht="15" customHeight="1" x14ac:dyDescent="0.25">
      <c r="A9949" t="s">
        <v>12110</v>
      </c>
      <c r="B9949">
        <v>81.400000000000006</v>
      </c>
      <c r="C9949">
        <v>0.2</v>
      </c>
    </row>
    <row r="9950" spans="1:3" ht="15" customHeight="1" x14ac:dyDescent="0.25">
      <c r="A9950" t="s">
        <v>12111</v>
      </c>
      <c r="B9950">
        <v>113.4</v>
      </c>
      <c r="C9950">
        <v>0.2</v>
      </c>
    </row>
    <row r="9951" spans="1:3" ht="15" customHeight="1" x14ac:dyDescent="0.25">
      <c r="A9951" t="s">
        <v>12112</v>
      </c>
      <c r="B9951">
        <v>81.400000000000006</v>
      </c>
      <c r="C9951">
        <v>0.2</v>
      </c>
    </row>
    <row r="9952" spans="1:3" ht="15" customHeight="1" x14ac:dyDescent="0.25">
      <c r="A9952" t="s">
        <v>12113</v>
      </c>
      <c r="B9952">
        <v>81.400000000000006</v>
      </c>
    </row>
    <row r="9953" spans="1:3" ht="15" customHeight="1" x14ac:dyDescent="0.25">
      <c r="A9953" t="s">
        <v>12114</v>
      </c>
      <c r="B9953">
        <v>137.4</v>
      </c>
    </row>
    <row r="9954" spans="1:3" ht="15" customHeight="1" x14ac:dyDescent="0.25">
      <c r="A9954" t="s">
        <v>12115</v>
      </c>
      <c r="B9954">
        <v>137.4</v>
      </c>
      <c r="C9954">
        <v>0.2</v>
      </c>
    </row>
    <row r="9955" spans="1:3" ht="15" customHeight="1" x14ac:dyDescent="0.25">
      <c r="A9955" t="s">
        <v>12116</v>
      </c>
      <c r="B9955">
        <v>137.4</v>
      </c>
    </row>
    <row r="9956" spans="1:3" ht="15" customHeight="1" x14ac:dyDescent="0.25">
      <c r="A9956" t="s">
        <v>12117</v>
      </c>
      <c r="B9956">
        <v>79.099999999999994</v>
      </c>
      <c r="C9956">
        <v>0.2</v>
      </c>
    </row>
    <row r="9957" spans="1:3" ht="15" customHeight="1" x14ac:dyDescent="0.25">
      <c r="A9957" t="s">
        <v>12118</v>
      </c>
      <c r="B9957">
        <v>79.099999999999994</v>
      </c>
      <c r="C9957">
        <v>0.2</v>
      </c>
    </row>
    <row r="9958" spans="1:3" ht="15" customHeight="1" x14ac:dyDescent="0.25">
      <c r="A9958" t="s">
        <v>12119</v>
      </c>
      <c r="B9958">
        <v>79.099999999999994</v>
      </c>
      <c r="C9958">
        <v>0.2</v>
      </c>
    </row>
    <row r="9959" spans="1:3" ht="15" customHeight="1" x14ac:dyDescent="0.25">
      <c r="A9959" t="s">
        <v>12120</v>
      </c>
      <c r="B9959">
        <v>79.099999999999994</v>
      </c>
      <c r="C9959">
        <v>0.2</v>
      </c>
    </row>
    <row r="9960" spans="1:3" ht="15" customHeight="1" x14ac:dyDescent="0.25">
      <c r="A9960" t="s">
        <v>12121</v>
      </c>
      <c r="B9960">
        <v>79.099999999999994</v>
      </c>
    </row>
    <row r="9961" spans="1:3" ht="15" customHeight="1" x14ac:dyDescent="0.25">
      <c r="A9961" t="s">
        <v>12122</v>
      </c>
      <c r="B9961">
        <v>79.099999999999994</v>
      </c>
      <c r="C9961">
        <v>0.2</v>
      </c>
    </row>
    <row r="9962" spans="1:3" ht="15" customHeight="1" x14ac:dyDescent="0.25">
      <c r="A9962" t="s">
        <v>12123</v>
      </c>
      <c r="B9962">
        <v>79.099999999999994</v>
      </c>
    </row>
    <row r="9963" spans="1:3" ht="15" customHeight="1" x14ac:dyDescent="0.25">
      <c r="A9963" t="s">
        <v>12124</v>
      </c>
      <c r="B9963">
        <v>79.099999999999994</v>
      </c>
    </row>
    <row r="9964" spans="1:3" ht="15" customHeight="1" x14ac:dyDescent="0.25">
      <c r="A9964" t="s">
        <v>12125</v>
      </c>
      <c r="B9964">
        <v>79.099999999999994</v>
      </c>
    </row>
    <row r="9965" spans="1:3" ht="15" customHeight="1" x14ac:dyDescent="0.25">
      <c r="A9965" t="s">
        <v>12126</v>
      </c>
      <c r="B9965">
        <v>79.099999999999994</v>
      </c>
    </row>
    <row r="9966" spans="1:3" ht="15" customHeight="1" x14ac:dyDescent="0.25">
      <c r="A9966" t="s">
        <v>12127</v>
      </c>
      <c r="B9966">
        <v>79.099999999999994</v>
      </c>
      <c r="C9966">
        <v>0.2</v>
      </c>
    </row>
    <row r="9967" spans="1:3" ht="15" customHeight="1" x14ac:dyDescent="0.25">
      <c r="A9967" t="s">
        <v>12128</v>
      </c>
      <c r="B9967">
        <v>79.099999999999994</v>
      </c>
      <c r="C9967">
        <v>0.2</v>
      </c>
    </row>
    <row r="9968" spans="1:3" ht="15" customHeight="1" x14ac:dyDescent="0.25">
      <c r="A9968" t="s">
        <v>12129</v>
      </c>
      <c r="B9968">
        <v>86.4</v>
      </c>
    </row>
    <row r="9969" spans="1:3" ht="15" customHeight="1" x14ac:dyDescent="0.25">
      <c r="A9969" t="s">
        <v>12130</v>
      </c>
      <c r="B9969">
        <v>86.4</v>
      </c>
    </row>
    <row r="9970" spans="1:3" ht="15" customHeight="1" x14ac:dyDescent="0.25">
      <c r="A9970" t="s">
        <v>12131</v>
      </c>
      <c r="B9970">
        <v>117.4</v>
      </c>
      <c r="C9970">
        <v>0.2</v>
      </c>
    </row>
    <row r="9971" spans="1:3" ht="15" customHeight="1" x14ac:dyDescent="0.25">
      <c r="A9971" t="s">
        <v>12132</v>
      </c>
      <c r="B9971">
        <v>117.4</v>
      </c>
      <c r="C9971">
        <v>0.2</v>
      </c>
    </row>
    <row r="9972" spans="1:3" ht="15" customHeight="1" x14ac:dyDescent="0.25">
      <c r="A9972" t="s">
        <v>12133</v>
      </c>
      <c r="B9972">
        <v>243</v>
      </c>
      <c r="C9972">
        <v>0.2</v>
      </c>
    </row>
    <row r="9973" spans="1:3" ht="15" customHeight="1" x14ac:dyDescent="0.25">
      <c r="A9973" t="s">
        <v>12134</v>
      </c>
      <c r="B9973">
        <v>270.3</v>
      </c>
      <c r="C9973">
        <v>0.2</v>
      </c>
    </row>
    <row r="9974" spans="1:3" ht="15" customHeight="1" x14ac:dyDescent="0.25">
      <c r="A9974" t="s">
        <v>12135</v>
      </c>
      <c r="B9974">
        <v>243</v>
      </c>
    </row>
    <row r="9975" spans="1:3" ht="15" customHeight="1" x14ac:dyDescent="0.25">
      <c r="A9975" t="s">
        <v>12136</v>
      </c>
      <c r="B9975">
        <v>186.3</v>
      </c>
    </row>
    <row r="9976" spans="1:3" ht="15" customHeight="1" x14ac:dyDescent="0.25">
      <c r="A9976" t="s">
        <v>12137</v>
      </c>
      <c r="B9976">
        <v>186.3</v>
      </c>
    </row>
    <row r="9977" spans="1:3" ht="15" customHeight="1" x14ac:dyDescent="0.25">
      <c r="A9977" t="s">
        <v>12138</v>
      </c>
      <c r="B9977">
        <v>186.3</v>
      </c>
    </row>
    <row r="9978" spans="1:3" ht="15" customHeight="1" x14ac:dyDescent="0.25">
      <c r="A9978" t="s">
        <v>12139</v>
      </c>
      <c r="B9978">
        <v>186.3</v>
      </c>
    </row>
    <row r="9979" spans="1:3" ht="15" customHeight="1" x14ac:dyDescent="0.25">
      <c r="A9979" t="s">
        <v>12140</v>
      </c>
      <c r="B9979">
        <v>186.3</v>
      </c>
    </row>
    <row r="9980" spans="1:3" ht="15" customHeight="1" x14ac:dyDescent="0.25">
      <c r="A9980" t="s">
        <v>12141</v>
      </c>
      <c r="B9980">
        <v>148.80000000000001</v>
      </c>
    </row>
    <row r="9981" spans="1:3" ht="15" customHeight="1" x14ac:dyDescent="0.25">
      <c r="A9981" t="s">
        <v>12142</v>
      </c>
      <c r="B9981">
        <v>207.5</v>
      </c>
    </row>
    <row r="9982" spans="1:3" ht="15" customHeight="1" x14ac:dyDescent="0.25">
      <c r="A9982" t="s">
        <v>12143</v>
      </c>
      <c r="B9982">
        <v>207.5</v>
      </c>
    </row>
    <row r="9983" spans="1:3" ht="15" customHeight="1" x14ac:dyDescent="0.25">
      <c r="A9983" t="s">
        <v>12144</v>
      </c>
      <c r="B9983">
        <v>94.1</v>
      </c>
    </row>
    <row r="9984" spans="1:3" ht="15" customHeight="1" x14ac:dyDescent="0.25">
      <c r="A9984" t="s">
        <v>12145</v>
      </c>
      <c r="B9984">
        <v>94.1</v>
      </c>
    </row>
    <row r="9985" spans="1:3" ht="15" customHeight="1" x14ac:dyDescent="0.25">
      <c r="A9985" t="s">
        <v>12146</v>
      </c>
      <c r="B9985">
        <v>94.1</v>
      </c>
    </row>
    <row r="9986" spans="1:3" ht="15" customHeight="1" x14ac:dyDescent="0.25">
      <c r="A9986" t="s">
        <v>12147</v>
      </c>
      <c r="B9986">
        <v>236.1</v>
      </c>
    </row>
    <row r="9987" spans="1:3" ht="15" customHeight="1" x14ac:dyDescent="0.25">
      <c r="A9987" t="s">
        <v>12148</v>
      </c>
      <c r="B9987">
        <v>236.1</v>
      </c>
    </row>
    <row r="9988" spans="1:3" ht="15" customHeight="1" x14ac:dyDescent="0.25">
      <c r="A9988" t="s">
        <v>12149</v>
      </c>
      <c r="B9988">
        <v>186.3</v>
      </c>
    </row>
    <row r="9989" spans="1:3" ht="15" customHeight="1" x14ac:dyDescent="0.25">
      <c r="A9989" t="s">
        <v>12150</v>
      </c>
      <c r="B9989">
        <v>186.3</v>
      </c>
    </row>
    <row r="9990" spans="1:3" ht="15" customHeight="1" x14ac:dyDescent="0.25">
      <c r="A9990" t="s">
        <v>12151</v>
      </c>
      <c r="B9990">
        <v>186.3</v>
      </c>
    </row>
    <row r="9991" spans="1:3" ht="15" customHeight="1" x14ac:dyDescent="0.25">
      <c r="A9991" t="s">
        <v>12152</v>
      </c>
      <c r="B9991">
        <v>186.3</v>
      </c>
    </row>
    <row r="9992" spans="1:3" ht="15" customHeight="1" x14ac:dyDescent="0.25">
      <c r="A9992" t="s">
        <v>12153</v>
      </c>
      <c r="B9992">
        <v>186.3</v>
      </c>
    </row>
    <row r="9993" spans="1:3" ht="15" customHeight="1" x14ac:dyDescent="0.25">
      <c r="A9993" t="s">
        <v>12154</v>
      </c>
      <c r="B9993">
        <v>320.39999999999998</v>
      </c>
      <c r="C9993">
        <v>0.2</v>
      </c>
    </row>
    <row r="9994" spans="1:3" ht="15" customHeight="1" x14ac:dyDescent="0.25">
      <c r="A9994" t="s">
        <v>12155</v>
      </c>
      <c r="B9994">
        <v>25.7</v>
      </c>
    </row>
    <row r="9995" spans="1:3" ht="15" customHeight="1" x14ac:dyDescent="0.25">
      <c r="A9995" t="s">
        <v>12156</v>
      </c>
      <c r="B9995">
        <v>25.7</v>
      </c>
    </row>
    <row r="9996" spans="1:3" ht="15" customHeight="1" x14ac:dyDescent="0.25">
      <c r="A9996" t="s">
        <v>12157</v>
      </c>
      <c r="B9996">
        <v>25.7</v>
      </c>
    </row>
    <row r="9997" spans="1:3" ht="15" customHeight="1" x14ac:dyDescent="0.25">
      <c r="A9997" t="s">
        <v>12158</v>
      </c>
      <c r="B9997">
        <v>15.8</v>
      </c>
    </row>
    <row r="9998" spans="1:3" ht="15" customHeight="1" x14ac:dyDescent="0.25">
      <c r="A9998" t="s">
        <v>12159</v>
      </c>
      <c r="B9998">
        <v>15.8</v>
      </c>
      <c r="C9998">
        <v>0.25</v>
      </c>
    </row>
    <row r="9999" spans="1:3" ht="15" customHeight="1" x14ac:dyDescent="0.25">
      <c r="A9999" t="s">
        <v>12160</v>
      </c>
      <c r="B9999">
        <v>15.8</v>
      </c>
      <c r="C9999">
        <v>0.25</v>
      </c>
    </row>
    <row r="10000" spans="1:3" ht="15" customHeight="1" x14ac:dyDescent="0.25">
      <c r="A10000" t="s">
        <v>12161</v>
      </c>
      <c r="B10000">
        <v>15.8</v>
      </c>
      <c r="C10000">
        <v>0.25</v>
      </c>
    </row>
    <row r="10001" spans="1:3" ht="15" customHeight="1" x14ac:dyDescent="0.25">
      <c r="A10001" t="s">
        <v>12162</v>
      </c>
      <c r="B10001">
        <v>15.8</v>
      </c>
      <c r="C10001">
        <v>0.25</v>
      </c>
    </row>
    <row r="10002" spans="1:3" ht="15" customHeight="1" x14ac:dyDescent="0.25">
      <c r="A10002" t="s">
        <v>12163</v>
      </c>
      <c r="B10002">
        <v>15.8</v>
      </c>
    </row>
    <row r="10003" spans="1:3" ht="15" customHeight="1" x14ac:dyDescent="0.25">
      <c r="A10003" t="s">
        <v>12164</v>
      </c>
      <c r="B10003">
        <v>11.1</v>
      </c>
    </row>
    <row r="10004" spans="1:3" ht="15" customHeight="1" x14ac:dyDescent="0.25">
      <c r="A10004" t="s">
        <v>12165</v>
      </c>
      <c r="B10004">
        <v>11.1</v>
      </c>
    </row>
    <row r="10005" spans="1:3" ht="15" customHeight="1" x14ac:dyDescent="0.25">
      <c r="A10005" t="s">
        <v>12166</v>
      </c>
      <c r="B10005">
        <v>11.1</v>
      </c>
    </row>
    <row r="10006" spans="1:3" ht="15" customHeight="1" x14ac:dyDescent="0.25">
      <c r="A10006" t="s">
        <v>12167</v>
      </c>
      <c r="B10006">
        <v>11.1</v>
      </c>
      <c r="C10006">
        <v>0.25</v>
      </c>
    </row>
    <row r="10007" spans="1:3" ht="15" customHeight="1" x14ac:dyDescent="0.25">
      <c r="A10007" t="s">
        <v>12168</v>
      </c>
      <c r="B10007">
        <v>11.1</v>
      </c>
      <c r="C10007">
        <v>0.25</v>
      </c>
    </row>
    <row r="10008" spans="1:3" ht="15" customHeight="1" x14ac:dyDescent="0.25">
      <c r="A10008" t="s">
        <v>12169</v>
      </c>
      <c r="B10008">
        <v>11.1</v>
      </c>
    </row>
    <row r="10009" spans="1:3" ht="15" customHeight="1" x14ac:dyDescent="0.25">
      <c r="A10009" t="s">
        <v>12170</v>
      </c>
      <c r="B10009">
        <v>11.1</v>
      </c>
      <c r="C10009">
        <v>0.25</v>
      </c>
    </row>
    <row r="10010" spans="1:3" ht="15" customHeight="1" x14ac:dyDescent="0.25">
      <c r="A10010" t="s">
        <v>12171</v>
      </c>
      <c r="B10010">
        <v>11.1</v>
      </c>
      <c r="C10010">
        <v>0.25</v>
      </c>
    </row>
    <row r="10011" spans="1:3" ht="15" customHeight="1" x14ac:dyDescent="0.25">
      <c r="A10011" t="s">
        <v>12172</v>
      </c>
      <c r="B10011">
        <v>11.1</v>
      </c>
      <c r="C10011">
        <v>0.25</v>
      </c>
    </row>
    <row r="10012" spans="1:3" ht="15" customHeight="1" x14ac:dyDescent="0.25">
      <c r="A10012" t="s">
        <v>12173</v>
      </c>
      <c r="B10012">
        <v>11.1</v>
      </c>
    </row>
    <row r="10013" spans="1:3" ht="15" customHeight="1" x14ac:dyDescent="0.25">
      <c r="A10013" t="s">
        <v>12174</v>
      </c>
      <c r="B10013">
        <v>11.1</v>
      </c>
      <c r="C10013">
        <v>0.25</v>
      </c>
    </row>
    <row r="10014" spans="1:3" ht="15" customHeight="1" x14ac:dyDescent="0.25">
      <c r="A10014" t="s">
        <v>12175</v>
      </c>
      <c r="B10014">
        <v>11.1</v>
      </c>
    </row>
    <row r="10015" spans="1:3" ht="15" customHeight="1" x14ac:dyDescent="0.25">
      <c r="A10015" t="s">
        <v>12176</v>
      </c>
      <c r="B10015">
        <v>18</v>
      </c>
    </row>
    <row r="10016" spans="1:3" ht="15" customHeight="1" x14ac:dyDescent="0.25">
      <c r="A10016" t="s">
        <v>12177</v>
      </c>
      <c r="B10016">
        <v>18</v>
      </c>
    </row>
    <row r="10017" spans="1:3" ht="15" customHeight="1" x14ac:dyDescent="0.25">
      <c r="A10017" t="s">
        <v>12178</v>
      </c>
      <c r="B10017">
        <v>18</v>
      </c>
    </row>
    <row r="10018" spans="1:3" ht="15" customHeight="1" x14ac:dyDescent="0.25">
      <c r="A10018" t="s">
        <v>12179</v>
      </c>
      <c r="B10018">
        <v>18</v>
      </c>
    </row>
    <row r="10019" spans="1:3" ht="15" customHeight="1" x14ac:dyDescent="0.25">
      <c r="A10019" t="s">
        <v>525</v>
      </c>
      <c r="B10019">
        <v>14.4</v>
      </c>
      <c r="C10019">
        <v>0.01</v>
      </c>
    </row>
    <row r="10020" spans="1:3" ht="15" customHeight="1" x14ac:dyDescent="0.25">
      <c r="A10020" t="s">
        <v>12180</v>
      </c>
      <c r="B10020">
        <v>15.9</v>
      </c>
      <c r="C10020">
        <v>0.15</v>
      </c>
    </row>
    <row r="10021" spans="1:3" ht="15" customHeight="1" x14ac:dyDescent="0.25">
      <c r="A10021" t="s">
        <v>12181</v>
      </c>
      <c r="B10021">
        <v>15.9</v>
      </c>
      <c r="C10021">
        <v>0.01</v>
      </c>
    </row>
    <row r="10022" spans="1:3" ht="15" customHeight="1" x14ac:dyDescent="0.25">
      <c r="A10022" t="s">
        <v>625</v>
      </c>
      <c r="B10022">
        <v>14.4</v>
      </c>
      <c r="C10022">
        <v>0.01</v>
      </c>
    </row>
    <row r="10023" spans="1:3" ht="15" customHeight="1" x14ac:dyDescent="0.25">
      <c r="A10023" t="s">
        <v>12182</v>
      </c>
      <c r="B10023">
        <v>14.4</v>
      </c>
      <c r="C10023">
        <v>0.15</v>
      </c>
    </row>
    <row r="10024" spans="1:3" ht="15" customHeight="1" x14ac:dyDescent="0.25">
      <c r="A10024" t="s">
        <v>357</v>
      </c>
      <c r="B10024">
        <v>15.8</v>
      </c>
      <c r="C10024">
        <v>0.01</v>
      </c>
    </row>
    <row r="10025" spans="1:3" ht="15" customHeight="1" x14ac:dyDescent="0.25">
      <c r="A10025" t="s">
        <v>12183</v>
      </c>
      <c r="B10025">
        <v>15.8</v>
      </c>
      <c r="C10025">
        <v>0.01</v>
      </c>
    </row>
    <row r="10026" spans="1:3" ht="15" customHeight="1" x14ac:dyDescent="0.25">
      <c r="A10026" t="s">
        <v>12184</v>
      </c>
      <c r="B10026">
        <v>17.3</v>
      </c>
      <c r="C10026">
        <v>0.01</v>
      </c>
    </row>
    <row r="10027" spans="1:3" ht="15" customHeight="1" x14ac:dyDescent="0.25">
      <c r="A10027" t="s">
        <v>12185</v>
      </c>
      <c r="B10027">
        <v>15.8</v>
      </c>
      <c r="C10027">
        <v>0.01</v>
      </c>
    </row>
    <row r="10028" spans="1:3" ht="15" customHeight="1" x14ac:dyDescent="0.25">
      <c r="A10028" t="s">
        <v>12186</v>
      </c>
      <c r="B10028">
        <v>15.8</v>
      </c>
      <c r="C10028">
        <v>0.01</v>
      </c>
    </row>
    <row r="10029" spans="1:3" ht="15" customHeight="1" x14ac:dyDescent="0.25">
      <c r="A10029" t="s">
        <v>12187</v>
      </c>
      <c r="B10029">
        <v>16.600000000000001</v>
      </c>
      <c r="C10029">
        <v>0.01</v>
      </c>
    </row>
    <row r="10030" spans="1:3" ht="15" customHeight="1" x14ac:dyDescent="0.25">
      <c r="A10030" t="s">
        <v>12188</v>
      </c>
      <c r="B10030">
        <v>18.100000000000001</v>
      </c>
      <c r="C10030">
        <v>0.01</v>
      </c>
    </row>
    <row r="10031" spans="1:3" ht="15" customHeight="1" x14ac:dyDescent="0.25">
      <c r="A10031" t="s">
        <v>12189</v>
      </c>
      <c r="B10031">
        <v>16.600000000000001</v>
      </c>
      <c r="C10031">
        <v>0.15</v>
      </c>
    </row>
    <row r="10032" spans="1:3" ht="15" customHeight="1" x14ac:dyDescent="0.25">
      <c r="A10032" t="s">
        <v>12190</v>
      </c>
      <c r="B10032">
        <v>16.600000000000001</v>
      </c>
      <c r="C10032">
        <v>0.15</v>
      </c>
    </row>
    <row r="10033" spans="1:3" ht="15" customHeight="1" x14ac:dyDescent="0.25">
      <c r="A10033" t="s">
        <v>2089</v>
      </c>
      <c r="B10033">
        <v>17.399999999999999</v>
      </c>
      <c r="C10033">
        <v>0.01</v>
      </c>
    </row>
    <row r="10034" spans="1:3" ht="15" customHeight="1" x14ac:dyDescent="0.25">
      <c r="A10034" t="s">
        <v>12191</v>
      </c>
      <c r="B10034">
        <v>18.899999999999999</v>
      </c>
      <c r="C10034">
        <v>0.01</v>
      </c>
    </row>
    <row r="10035" spans="1:3" ht="15" customHeight="1" x14ac:dyDescent="0.25">
      <c r="A10035" t="s">
        <v>12192</v>
      </c>
      <c r="B10035">
        <v>17.399999999999999</v>
      </c>
      <c r="C10035">
        <v>0.15</v>
      </c>
    </row>
    <row r="10036" spans="1:3" ht="15" customHeight="1" x14ac:dyDescent="0.25">
      <c r="A10036" t="s">
        <v>12193</v>
      </c>
      <c r="B10036">
        <v>17.399999999999999</v>
      </c>
      <c r="C10036">
        <v>0.15</v>
      </c>
    </row>
    <row r="10037" spans="1:3" ht="15" customHeight="1" x14ac:dyDescent="0.25">
      <c r="A10037" t="s">
        <v>12194</v>
      </c>
      <c r="B10037">
        <v>15.6</v>
      </c>
    </row>
    <row r="10038" spans="1:3" ht="15" customHeight="1" x14ac:dyDescent="0.25">
      <c r="A10038" t="s">
        <v>12195</v>
      </c>
      <c r="B10038">
        <v>15.6</v>
      </c>
    </row>
    <row r="10039" spans="1:3" ht="15" customHeight="1" x14ac:dyDescent="0.25">
      <c r="A10039" t="s">
        <v>12196</v>
      </c>
      <c r="B10039">
        <v>15.6</v>
      </c>
    </row>
    <row r="10040" spans="1:3" ht="15" customHeight="1" x14ac:dyDescent="0.25">
      <c r="A10040" t="s">
        <v>12197</v>
      </c>
      <c r="B10040">
        <v>15.6</v>
      </c>
      <c r="C10040">
        <v>0.15</v>
      </c>
    </row>
    <row r="10041" spans="1:3" ht="15" customHeight="1" x14ac:dyDescent="0.25">
      <c r="A10041" t="s">
        <v>12198</v>
      </c>
      <c r="B10041">
        <v>15.6</v>
      </c>
      <c r="C10041">
        <v>0.15</v>
      </c>
    </row>
    <row r="10042" spans="1:3" ht="15" customHeight="1" x14ac:dyDescent="0.25">
      <c r="A10042" t="s">
        <v>12199</v>
      </c>
      <c r="B10042">
        <v>15.6</v>
      </c>
    </row>
    <row r="10043" spans="1:3" ht="15" customHeight="1" x14ac:dyDescent="0.25">
      <c r="A10043" t="s">
        <v>12200</v>
      </c>
      <c r="B10043">
        <v>15.6</v>
      </c>
      <c r="C10043">
        <v>0.15</v>
      </c>
    </row>
    <row r="10044" spans="1:3" ht="15" customHeight="1" x14ac:dyDescent="0.25">
      <c r="A10044" t="s">
        <v>12201</v>
      </c>
      <c r="B10044">
        <v>18.2</v>
      </c>
      <c r="C10044">
        <v>0.15</v>
      </c>
    </row>
    <row r="10045" spans="1:3" ht="15" customHeight="1" x14ac:dyDescent="0.25">
      <c r="A10045" t="s">
        <v>12202</v>
      </c>
      <c r="B10045">
        <v>18.2</v>
      </c>
    </row>
    <row r="10046" spans="1:3" ht="15" customHeight="1" x14ac:dyDescent="0.25">
      <c r="A10046" t="s">
        <v>12203</v>
      </c>
      <c r="B10046">
        <v>18.2</v>
      </c>
      <c r="C10046">
        <v>0.15</v>
      </c>
    </row>
    <row r="10047" spans="1:3" ht="15" customHeight="1" x14ac:dyDescent="0.25">
      <c r="A10047" t="s">
        <v>12204</v>
      </c>
      <c r="B10047">
        <v>18.2</v>
      </c>
    </row>
    <row r="10048" spans="1:3" ht="15" customHeight="1" x14ac:dyDescent="0.25">
      <c r="A10048" t="s">
        <v>12205</v>
      </c>
      <c r="B10048">
        <v>18.2</v>
      </c>
      <c r="C10048">
        <v>0.15</v>
      </c>
    </row>
    <row r="10049" spans="1:3" ht="15" customHeight="1" x14ac:dyDescent="0.25">
      <c r="A10049" t="s">
        <v>12206</v>
      </c>
      <c r="B10049">
        <v>18.2</v>
      </c>
      <c r="C10049">
        <v>0.15</v>
      </c>
    </row>
    <row r="10050" spans="1:3" ht="15" customHeight="1" x14ac:dyDescent="0.25">
      <c r="A10050" t="s">
        <v>12207</v>
      </c>
      <c r="B10050">
        <v>18.2</v>
      </c>
      <c r="C10050">
        <v>0.15</v>
      </c>
    </row>
    <row r="10051" spans="1:3" ht="15" customHeight="1" x14ac:dyDescent="0.25">
      <c r="A10051" t="s">
        <v>12208</v>
      </c>
      <c r="B10051">
        <v>33.9</v>
      </c>
    </row>
    <row r="10052" spans="1:3" ht="15" customHeight="1" x14ac:dyDescent="0.25">
      <c r="A10052" t="s">
        <v>12209</v>
      </c>
      <c r="B10052">
        <v>33.9</v>
      </c>
      <c r="C10052">
        <v>0.15</v>
      </c>
    </row>
    <row r="10053" spans="1:3" ht="15" customHeight="1" x14ac:dyDescent="0.25">
      <c r="A10053" t="s">
        <v>12210</v>
      </c>
      <c r="B10053">
        <v>26.3</v>
      </c>
    </row>
    <row r="10054" spans="1:3" ht="15" customHeight="1" x14ac:dyDescent="0.25">
      <c r="A10054" t="s">
        <v>12211</v>
      </c>
      <c r="B10054">
        <v>26.3</v>
      </c>
    </row>
    <row r="10055" spans="1:3" ht="15" customHeight="1" x14ac:dyDescent="0.25">
      <c r="A10055" t="s">
        <v>12212</v>
      </c>
      <c r="B10055">
        <v>26.3</v>
      </c>
    </row>
    <row r="10056" spans="1:3" ht="15" customHeight="1" x14ac:dyDescent="0.25">
      <c r="A10056" t="s">
        <v>12213</v>
      </c>
      <c r="B10056">
        <v>30.5</v>
      </c>
    </row>
    <row r="10057" spans="1:3" ht="15" customHeight="1" x14ac:dyDescent="0.25">
      <c r="A10057" t="s">
        <v>12214</v>
      </c>
      <c r="B10057">
        <v>30.5</v>
      </c>
    </row>
    <row r="10058" spans="1:3" ht="15" customHeight="1" x14ac:dyDescent="0.25">
      <c r="A10058" t="s">
        <v>12215</v>
      </c>
      <c r="B10058">
        <v>30.5</v>
      </c>
    </row>
    <row r="10059" spans="1:3" ht="15" customHeight="1" x14ac:dyDescent="0.25">
      <c r="A10059" t="s">
        <v>12216</v>
      </c>
      <c r="B10059">
        <v>26.3</v>
      </c>
    </row>
    <row r="10060" spans="1:3" ht="15" customHeight="1" x14ac:dyDescent="0.25">
      <c r="A10060" t="s">
        <v>12217</v>
      </c>
      <c r="B10060">
        <v>26.3</v>
      </c>
    </row>
    <row r="10061" spans="1:3" ht="15" customHeight="1" x14ac:dyDescent="0.25">
      <c r="A10061" t="s">
        <v>12218</v>
      </c>
      <c r="B10061">
        <v>26.3</v>
      </c>
    </row>
    <row r="10062" spans="1:3" ht="15" customHeight="1" x14ac:dyDescent="0.25">
      <c r="A10062" t="s">
        <v>12219</v>
      </c>
      <c r="B10062">
        <v>22.6</v>
      </c>
    </row>
    <row r="10063" spans="1:3" ht="15" customHeight="1" x14ac:dyDescent="0.25">
      <c r="A10063" t="s">
        <v>12220</v>
      </c>
      <c r="B10063">
        <v>22.6</v>
      </c>
    </row>
    <row r="10064" spans="1:3" ht="15" customHeight="1" x14ac:dyDescent="0.25">
      <c r="A10064" t="s">
        <v>12221</v>
      </c>
      <c r="B10064">
        <v>22.6</v>
      </c>
    </row>
    <row r="10065" spans="1:2" ht="15" customHeight="1" x14ac:dyDescent="0.25">
      <c r="A10065" t="s">
        <v>12222</v>
      </c>
      <c r="B10065">
        <v>22.6</v>
      </c>
    </row>
    <row r="10066" spans="1:2" ht="15" customHeight="1" x14ac:dyDescent="0.25">
      <c r="A10066" t="s">
        <v>12223</v>
      </c>
      <c r="B10066">
        <v>19.600000000000001</v>
      </c>
    </row>
    <row r="10067" spans="1:2" ht="15" customHeight="1" x14ac:dyDescent="0.25">
      <c r="A10067" t="s">
        <v>12224</v>
      </c>
      <c r="B10067">
        <v>19.600000000000001</v>
      </c>
    </row>
    <row r="10068" spans="1:2" ht="15" customHeight="1" x14ac:dyDescent="0.25">
      <c r="A10068" t="s">
        <v>12225</v>
      </c>
      <c r="B10068">
        <v>19.600000000000001</v>
      </c>
    </row>
    <row r="10069" spans="1:2" ht="15" customHeight="1" x14ac:dyDescent="0.25">
      <c r="A10069" t="s">
        <v>12226</v>
      </c>
      <c r="B10069">
        <v>19.600000000000001</v>
      </c>
    </row>
    <row r="10070" spans="1:2" ht="15" customHeight="1" x14ac:dyDescent="0.25">
      <c r="A10070" t="s">
        <v>12227</v>
      </c>
      <c r="B10070">
        <v>22.6</v>
      </c>
    </row>
    <row r="10071" spans="1:2" ht="15" customHeight="1" x14ac:dyDescent="0.25">
      <c r="A10071" t="s">
        <v>12228</v>
      </c>
      <c r="B10071">
        <v>22.6</v>
      </c>
    </row>
    <row r="10072" spans="1:2" ht="15" customHeight="1" x14ac:dyDescent="0.25">
      <c r="A10072" t="s">
        <v>12229</v>
      </c>
      <c r="B10072">
        <v>22.6</v>
      </c>
    </row>
    <row r="10073" spans="1:2" ht="15" customHeight="1" x14ac:dyDescent="0.25">
      <c r="A10073" t="s">
        <v>12230</v>
      </c>
      <c r="B10073">
        <v>22.6</v>
      </c>
    </row>
    <row r="10074" spans="1:2" ht="15" customHeight="1" x14ac:dyDescent="0.25">
      <c r="A10074" t="s">
        <v>12231</v>
      </c>
      <c r="B10074">
        <v>22.6</v>
      </c>
    </row>
    <row r="10075" spans="1:2" ht="15" customHeight="1" x14ac:dyDescent="0.25">
      <c r="A10075" t="s">
        <v>12232</v>
      </c>
      <c r="B10075">
        <v>22.6</v>
      </c>
    </row>
    <row r="10076" spans="1:2" ht="15" customHeight="1" x14ac:dyDescent="0.25">
      <c r="A10076" t="s">
        <v>12233</v>
      </c>
      <c r="B10076">
        <v>22.6</v>
      </c>
    </row>
    <row r="10077" spans="1:2" ht="15" customHeight="1" x14ac:dyDescent="0.25">
      <c r="A10077" t="s">
        <v>12234</v>
      </c>
      <c r="B10077">
        <v>22.6</v>
      </c>
    </row>
    <row r="10078" spans="1:2" ht="15" customHeight="1" x14ac:dyDescent="0.25">
      <c r="A10078" t="s">
        <v>12235</v>
      </c>
      <c r="B10078">
        <v>22.6</v>
      </c>
    </row>
    <row r="10079" spans="1:2" ht="15" customHeight="1" x14ac:dyDescent="0.25">
      <c r="A10079" t="s">
        <v>12236</v>
      </c>
      <c r="B10079">
        <v>22.6</v>
      </c>
    </row>
    <row r="10080" spans="1:2" ht="15" customHeight="1" x14ac:dyDescent="0.25">
      <c r="A10080" t="s">
        <v>12237</v>
      </c>
      <c r="B10080">
        <v>22.6</v>
      </c>
    </row>
    <row r="10081" spans="1:2" ht="15" customHeight="1" x14ac:dyDescent="0.25">
      <c r="A10081" t="s">
        <v>12238</v>
      </c>
      <c r="B10081">
        <v>22.6</v>
      </c>
    </row>
    <row r="10082" spans="1:2" ht="15" customHeight="1" x14ac:dyDescent="0.25">
      <c r="A10082" t="s">
        <v>12239</v>
      </c>
      <c r="B10082">
        <v>30.2</v>
      </c>
    </row>
    <row r="10083" spans="1:2" ht="15" customHeight="1" x14ac:dyDescent="0.25">
      <c r="A10083" t="s">
        <v>12240</v>
      </c>
      <c r="B10083">
        <v>30.2</v>
      </c>
    </row>
    <row r="10084" spans="1:2" ht="15" customHeight="1" x14ac:dyDescent="0.25">
      <c r="A10084" t="s">
        <v>12241</v>
      </c>
      <c r="B10084">
        <v>30.2</v>
      </c>
    </row>
    <row r="10085" spans="1:2" ht="15" customHeight="1" x14ac:dyDescent="0.25">
      <c r="A10085" t="s">
        <v>12242</v>
      </c>
      <c r="B10085">
        <v>30.2</v>
      </c>
    </row>
    <row r="10086" spans="1:2" ht="15" customHeight="1" x14ac:dyDescent="0.25">
      <c r="A10086" t="s">
        <v>12243</v>
      </c>
      <c r="B10086">
        <v>30.2</v>
      </c>
    </row>
    <row r="10087" spans="1:2" ht="15" customHeight="1" x14ac:dyDescent="0.25">
      <c r="A10087" t="s">
        <v>12244</v>
      </c>
      <c r="B10087">
        <v>30.2</v>
      </c>
    </row>
    <row r="10088" spans="1:2" ht="15" customHeight="1" x14ac:dyDescent="0.25">
      <c r="A10088" t="s">
        <v>12245</v>
      </c>
      <c r="B10088">
        <v>30.2</v>
      </c>
    </row>
    <row r="10089" spans="1:2" ht="15" customHeight="1" x14ac:dyDescent="0.25">
      <c r="A10089" t="s">
        <v>12246</v>
      </c>
      <c r="B10089">
        <v>30.2</v>
      </c>
    </row>
    <row r="10090" spans="1:2" ht="15" customHeight="1" x14ac:dyDescent="0.25">
      <c r="A10090" t="s">
        <v>12247</v>
      </c>
      <c r="B10090">
        <v>30.2</v>
      </c>
    </row>
    <row r="10091" spans="1:2" ht="15" customHeight="1" x14ac:dyDescent="0.25">
      <c r="A10091" t="s">
        <v>12248</v>
      </c>
      <c r="B10091">
        <v>30.2</v>
      </c>
    </row>
    <row r="10092" spans="1:2" ht="15" customHeight="1" x14ac:dyDescent="0.25">
      <c r="A10092" t="s">
        <v>12249</v>
      </c>
      <c r="B10092">
        <v>30.2</v>
      </c>
    </row>
    <row r="10093" spans="1:2" ht="15" customHeight="1" x14ac:dyDescent="0.25">
      <c r="A10093" t="s">
        <v>12250</v>
      </c>
      <c r="B10093">
        <v>30.2</v>
      </c>
    </row>
    <row r="10094" spans="1:2" ht="15" customHeight="1" x14ac:dyDescent="0.25">
      <c r="A10094" t="s">
        <v>12251</v>
      </c>
      <c r="B10094">
        <v>22.6</v>
      </c>
    </row>
    <row r="10095" spans="1:2" ht="15" customHeight="1" x14ac:dyDescent="0.25">
      <c r="A10095" t="s">
        <v>12252</v>
      </c>
      <c r="B10095">
        <v>22.6</v>
      </c>
    </row>
    <row r="10096" spans="1:2" ht="15" customHeight="1" x14ac:dyDescent="0.25">
      <c r="A10096" t="s">
        <v>12253</v>
      </c>
      <c r="B10096">
        <v>22.6</v>
      </c>
    </row>
    <row r="10097" spans="1:3" ht="15" customHeight="1" x14ac:dyDescent="0.25">
      <c r="A10097" t="s">
        <v>12254</v>
      </c>
      <c r="B10097">
        <v>22.6</v>
      </c>
    </row>
    <row r="10098" spans="1:3" ht="15" customHeight="1" x14ac:dyDescent="0.25">
      <c r="A10098" t="s">
        <v>12255</v>
      </c>
      <c r="B10098">
        <v>22.6</v>
      </c>
    </row>
    <row r="10099" spans="1:3" ht="15" customHeight="1" x14ac:dyDescent="0.25">
      <c r="A10099" t="s">
        <v>12256</v>
      </c>
      <c r="B10099">
        <v>48.1</v>
      </c>
    </row>
    <row r="10100" spans="1:3" ht="15" customHeight="1" x14ac:dyDescent="0.25">
      <c r="A10100" t="s">
        <v>12257</v>
      </c>
      <c r="B10100">
        <v>48.1</v>
      </c>
    </row>
    <row r="10101" spans="1:3" ht="15" customHeight="1" x14ac:dyDescent="0.25">
      <c r="A10101" t="s">
        <v>12258</v>
      </c>
      <c r="B10101">
        <v>48.1</v>
      </c>
    </row>
    <row r="10102" spans="1:3" ht="15" customHeight="1" x14ac:dyDescent="0.25">
      <c r="A10102" t="s">
        <v>12259</v>
      </c>
      <c r="B10102">
        <v>48.1</v>
      </c>
    </row>
    <row r="10103" spans="1:3" ht="15" customHeight="1" x14ac:dyDescent="0.25">
      <c r="A10103" t="s">
        <v>12260</v>
      </c>
      <c r="B10103">
        <v>48.1</v>
      </c>
      <c r="C10103">
        <v>0.15</v>
      </c>
    </row>
    <row r="10104" spans="1:3" ht="15" customHeight="1" x14ac:dyDescent="0.25">
      <c r="A10104" t="s">
        <v>12261</v>
      </c>
      <c r="B10104">
        <v>48.1</v>
      </c>
    </row>
    <row r="10105" spans="1:3" ht="15" customHeight="1" x14ac:dyDescent="0.25">
      <c r="A10105" t="s">
        <v>12262</v>
      </c>
      <c r="B10105">
        <v>27.6</v>
      </c>
    </row>
    <row r="10106" spans="1:3" ht="15" customHeight="1" x14ac:dyDescent="0.25">
      <c r="A10106" t="s">
        <v>12263</v>
      </c>
      <c r="B10106">
        <v>39.6</v>
      </c>
    </row>
    <row r="10107" spans="1:3" ht="15" customHeight="1" x14ac:dyDescent="0.25">
      <c r="A10107" t="s">
        <v>12264</v>
      </c>
      <c r="B10107">
        <v>39.6</v>
      </c>
    </row>
    <row r="10108" spans="1:3" ht="15" customHeight="1" x14ac:dyDescent="0.25">
      <c r="A10108" t="s">
        <v>12265</v>
      </c>
      <c r="B10108">
        <v>39.6</v>
      </c>
    </row>
    <row r="10109" spans="1:3" ht="15" customHeight="1" x14ac:dyDescent="0.25">
      <c r="A10109" t="s">
        <v>12266</v>
      </c>
      <c r="B10109">
        <v>30.2</v>
      </c>
    </row>
    <row r="10110" spans="1:3" ht="15" customHeight="1" x14ac:dyDescent="0.25">
      <c r="A10110" t="s">
        <v>12267</v>
      </c>
      <c r="B10110">
        <v>44.7</v>
      </c>
    </row>
    <row r="10111" spans="1:3" ht="15" customHeight="1" x14ac:dyDescent="0.25">
      <c r="A10111" t="s">
        <v>12268</v>
      </c>
      <c r="B10111">
        <v>44.7</v>
      </c>
    </row>
    <row r="10112" spans="1:3" ht="15" customHeight="1" x14ac:dyDescent="0.25">
      <c r="A10112" t="s">
        <v>12269</v>
      </c>
      <c r="B10112">
        <v>44.7</v>
      </c>
    </row>
    <row r="10113" spans="1:3" ht="15" customHeight="1" x14ac:dyDescent="0.25">
      <c r="A10113" t="s">
        <v>12270</v>
      </c>
      <c r="B10113">
        <v>44.7</v>
      </c>
    </row>
    <row r="10114" spans="1:3" ht="15" customHeight="1" x14ac:dyDescent="0.25">
      <c r="A10114" t="s">
        <v>12271</v>
      </c>
      <c r="B10114">
        <v>44.7</v>
      </c>
    </row>
    <row r="10115" spans="1:3" ht="15" customHeight="1" x14ac:dyDescent="0.25">
      <c r="A10115" t="s">
        <v>12272</v>
      </c>
      <c r="B10115">
        <v>44.7</v>
      </c>
    </row>
    <row r="10116" spans="1:3" ht="15" customHeight="1" x14ac:dyDescent="0.25">
      <c r="A10116" t="s">
        <v>12273</v>
      </c>
      <c r="B10116">
        <v>40.4</v>
      </c>
      <c r="C10116">
        <v>0.15</v>
      </c>
    </row>
    <row r="10117" spans="1:3" ht="15" customHeight="1" x14ac:dyDescent="0.25">
      <c r="A10117" t="s">
        <v>12274</v>
      </c>
      <c r="B10117">
        <v>40.4</v>
      </c>
    </row>
    <row r="10118" spans="1:3" ht="15" customHeight="1" x14ac:dyDescent="0.25">
      <c r="A10118" t="s">
        <v>12275</v>
      </c>
      <c r="B10118">
        <v>40.4</v>
      </c>
      <c r="C10118">
        <v>0.15</v>
      </c>
    </row>
    <row r="10119" spans="1:3" ht="15" customHeight="1" x14ac:dyDescent="0.25">
      <c r="A10119" t="s">
        <v>12276</v>
      </c>
      <c r="B10119">
        <v>40.4</v>
      </c>
    </row>
    <row r="10120" spans="1:3" ht="15" customHeight="1" x14ac:dyDescent="0.25">
      <c r="A10120" t="s">
        <v>12277</v>
      </c>
      <c r="B10120">
        <v>44.7</v>
      </c>
    </row>
    <row r="10121" spans="1:3" ht="15" customHeight="1" x14ac:dyDescent="0.25">
      <c r="A10121" t="s">
        <v>12278</v>
      </c>
      <c r="B10121">
        <v>44.7</v>
      </c>
    </row>
    <row r="10122" spans="1:3" ht="15" customHeight="1" x14ac:dyDescent="0.25">
      <c r="A10122" t="s">
        <v>12279</v>
      </c>
      <c r="B10122">
        <v>44.7</v>
      </c>
      <c r="C10122">
        <v>0.15</v>
      </c>
    </row>
    <row r="10123" spans="1:3" ht="15" customHeight="1" x14ac:dyDescent="0.25">
      <c r="A10123" t="s">
        <v>12280</v>
      </c>
      <c r="B10123">
        <v>44.7</v>
      </c>
    </row>
    <row r="10124" spans="1:3" ht="15" customHeight="1" x14ac:dyDescent="0.25">
      <c r="A10124" t="s">
        <v>12281</v>
      </c>
      <c r="B10124">
        <v>44.7</v>
      </c>
    </row>
    <row r="10125" spans="1:3" ht="15" customHeight="1" x14ac:dyDescent="0.25">
      <c r="A10125" t="s">
        <v>12282</v>
      </c>
      <c r="B10125">
        <v>44.7</v>
      </c>
    </row>
    <row r="10126" spans="1:3" ht="15" customHeight="1" x14ac:dyDescent="0.25">
      <c r="A10126" t="s">
        <v>12283</v>
      </c>
      <c r="B10126">
        <v>44.7</v>
      </c>
    </row>
    <row r="10127" spans="1:3" ht="15" customHeight="1" x14ac:dyDescent="0.25">
      <c r="A10127" t="s">
        <v>12284</v>
      </c>
      <c r="B10127">
        <v>44.7</v>
      </c>
    </row>
    <row r="10128" spans="1:3" ht="15" customHeight="1" x14ac:dyDescent="0.25">
      <c r="A10128" t="s">
        <v>12285</v>
      </c>
      <c r="B10128">
        <v>44.7</v>
      </c>
    </row>
    <row r="10129" spans="1:3" ht="15" customHeight="1" x14ac:dyDescent="0.25">
      <c r="A10129" t="s">
        <v>12286</v>
      </c>
      <c r="B10129">
        <v>44.7</v>
      </c>
    </row>
    <row r="10130" spans="1:3" ht="15" customHeight="1" x14ac:dyDescent="0.25">
      <c r="A10130" t="s">
        <v>12287</v>
      </c>
      <c r="B10130">
        <v>44.7</v>
      </c>
    </row>
    <row r="10131" spans="1:3" ht="15" customHeight="1" x14ac:dyDescent="0.25">
      <c r="A10131" t="s">
        <v>12288</v>
      </c>
      <c r="B10131">
        <v>44.7</v>
      </c>
    </row>
    <row r="10132" spans="1:3" ht="15" customHeight="1" x14ac:dyDescent="0.25">
      <c r="A10132" t="s">
        <v>12289</v>
      </c>
      <c r="B10132">
        <v>44.7</v>
      </c>
    </row>
    <row r="10133" spans="1:3" ht="15" customHeight="1" x14ac:dyDescent="0.25">
      <c r="A10133" t="s">
        <v>12290</v>
      </c>
      <c r="B10133">
        <v>33.299999999999997</v>
      </c>
    </row>
    <row r="10134" spans="1:3" ht="15" customHeight="1" x14ac:dyDescent="0.25">
      <c r="A10134" t="s">
        <v>12291</v>
      </c>
      <c r="B10134">
        <v>33.299999999999997</v>
      </c>
      <c r="C10134">
        <v>0.15</v>
      </c>
    </row>
    <row r="10135" spans="1:3" ht="15" customHeight="1" x14ac:dyDescent="0.25">
      <c r="A10135" t="s">
        <v>12292</v>
      </c>
      <c r="B10135">
        <v>41.7</v>
      </c>
    </row>
    <row r="10136" spans="1:3" ht="15" customHeight="1" x14ac:dyDescent="0.25">
      <c r="A10136" t="s">
        <v>12293</v>
      </c>
      <c r="B10136">
        <v>41.7</v>
      </c>
    </row>
    <row r="10137" spans="1:3" ht="15" customHeight="1" x14ac:dyDescent="0.25">
      <c r="A10137" t="s">
        <v>12294</v>
      </c>
      <c r="B10137">
        <v>41.7</v>
      </c>
    </row>
    <row r="10138" spans="1:3" ht="15" customHeight="1" x14ac:dyDescent="0.25">
      <c r="A10138" t="s">
        <v>12295</v>
      </c>
      <c r="B10138">
        <v>41.7</v>
      </c>
    </row>
    <row r="10139" spans="1:3" ht="15" customHeight="1" x14ac:dyDescent="0.25">
      <c r="A10139" t="s">
        <v>12296</v>
      </c>
      <c r="B10139">
        <v>41.7</v>
      </c>
    </row>
    <row r="10140" spans="1:3" ht="15" customHeight="1" x14ac:dyDescent="0.25">
      <c r="A10140" t="s">
        <v>12297</v>
      </c>
      <c r="B10140">
        <v>41.7</v>
      </c>
    </row>
    <row r="10141" spans="1:3" ht="15" customHeight="1" x14ac:dyDescent="0.25">
      <c r="A10141" t="s">
        <v>12298</v>
      </c>
      <c r="B10141">
        <v>41.7</v>
      </c>
    </row>
    <row r="10142" spans="1:3" ht="15" customHeight="1" x14ac:dyDescent="0.25">
      <c r="A10142" t="s">
        <v>12299</v>
      </c>
      <c r="B10142">
        <v>41.7</v>
      </c>
    </row>
    <row r="10143" spans="1:3" ht="15" customHeight="1" x14ac:dyDescent="0.25">
      <c r="A10143" t="s">
        <v>12300</v>
      </c>
      <c r="B10143">
        <v>51.7</v>
      </c>
    </row>
    <row r="10144" spans="1:3" ht="15" customHeight="1" x14ac:dyDescent="0.25">
      <c r="A10144" t="s">
        <v>12301</v>
      </c>
      <c r="B10144">
        <v>51.7</v>
      </c>
    </row>
    <row r="10145" spans="1:3" ht="15" customHeight="1" x14ac:dyDescent="0.25">
      <c r="A10145" t="s">
        <v>12302</v>
      </c>
      <c r="B10145">
        <v>51.7</v>
      </c>
    </row>
    <row r="10146" spans="1:3" ht="15" customHeight="1" x14ac:dyDescent="0.25">
      <c r="A10146" t="s">
        <v>12303</v>
      </c>
      <c r="B10146">
        <v>51.7</v>
      </c>
    </row>
    <row r="10147" spans="1:3" ht="15" customHeight="1" x14ac:dyDescent="0.25">
      <c r="A10147" t="s">
        <v>12304</v>
      </c>
      <c r="B10147">
        <v>41.7</v>
      </c>
    </row>
    <row r="10148" spans="1:3" ht="15" customHeight="1" x14ac:dyDescent="0.25">
      <c r="A10148" t="s">
        <v>12305</v>
      </c>
      <c r="B10148">
        <v>41.7</v>
      </c>
    </row>
    <row r="10149" spans="1:3" ht="15" customHeight="1" x14ac:dyDescent="0.25">
      <c r="A10149" t="s">
        <v>12306</v>
      </c>
      <c r="B10149">
        <v>41.7</v>
      </c>
    </row>
    <row r="10150" spans="1:3" ht="15" customHeight="1" x14ac:dyDescent="0.25">
      <c r="A10150" t="s">
        <v>12307</v>
      </c>
      <c r="B10150">
        <v>41.4</v>
      </c>
    </row>
    <row r="10151" spans="1:3" ht="15" customHeight="1" x14ac:dyDescent="0.25">
      <c r="A10151" t="s">
        <v>12308</v>
      </c>
      <c r="B10151">
        <v>41.4</v>
      </c>
      <c r="C10151">
        <v>0.15</v>
      </c>
    </row>
    <row r="10152" spans="1:3" ht="15" customHeight="1" x14ac:dyDescent="0.25">
      <c r="A10152" t="s">
        <v>12309</v>
      </c>
      <c r="B10152">
        <v>41.4</v>
      </c>
    </row>
    <row r="10153" spans="1:3" ht="15" customHeight="1" x14ac:dyDescent="0.25">
      <c r="A10153" t="s">
        <v>12310</v>
      </c>
      <c r="B10153">
        <v>41.4</v>
      </c>
    </row>
    <row r="10154" spans="1:3" ht="15" customHeight="1" x14ac:dyDescent="0.25">
      <c r="A10154" t="s">
        <v>12311</v>
      </c>
      <c r="B10154">
        <v>41.4</v>
      </c>
    </row>
    <row r="10155" spans="1:3" ht="15" customHeight="1" x14ac:dyDescent="0.25">
      <c r="A10155" t="s">
        <v>12312</v>
      </c>
      <c r="B10155">
        <v>41.4</v>
      </c>
    </row>
    <row r="10156" spans="1:3" ht="15" customHeight="1" x14ac:dyDescent="0.25">
      <c r="A10156" t="s">
        <v>12313</v>
      </c>
      <c r="B10156">
        <v>41.4</v>
      </c>
    </row>
    <row r="10157" spans="1:3" ht="15" customHeight="1" x14ac:dyDescent="0.25">
      <c r="A10157" t="s">
        <v>12314</v>
      </c>
      <c r="B10157">
        <v>50.6</v>
      </c>
    </row>
    <row r="10158" spans="1:3" ht="15" customHeight="1" x14ac:dyDescent="0.25">
      <c r="A10158" t="s">
        <v>12315</v>
      </c>
      <c r="B10158">
        <v>50.6</v>
      </c>
    </row>
    <row r="10159" spans="1:3" ht="15" customHeight="1" x14ac:dyDescent="0.25">
      <c r="A10159" t="s">
        <v>12316</v>
      </c>
      <c r="B10159">
        <v>54.5</v>
      </c>
      <c r="C10159">
        <v>0.15</v>
      </c>
    </row>
    <row r="10160" spans="1:3" ht="15" customHeight="1" x14ac:dyDescent="0.25">
      <c r="A10160" t="s">
        <v>12317</v>
      </c>
      <c r="B10160">
        <v>54.5</v>
      </c>
      <c r="C10160">
        <v>0.15</v>
      </c>
    </row>
    <row r="10161" spans="1:3" ht="15" customHeight="1" x14ac:dyDescent="0.25">
      <c r="A10161" t="s">
        <v>12318</v>
      </c>
      <c r="B10161">
        <v>54.5</v>
      </c>
    </row>
    <row r="10162" spans="1:3" ht="15" customHeight="1" x14ac:dyDescent="0.25">
      <c r="A10162" t="s">
        <v>12319</v>
      </c>
      <c r="B10162">
        <v>54.5</v>
      </c>
    </row>
    <row r="10163" spans="1:3" ht="15" customHeight="1" x14ac:dyDescent="0.25">
      <c r="A10163" t="s">
        <v>12320</v>
      </c>
      <c r="B10163">
        <v>48.9</v>
      </c>
    </row>
    <row r="10164" spans="1:3" ht="15" customHeight="1" x14ac:dyDescent="0.25">
      <c r="A10164" t="s">
        <v>12321</v>
      </c>
      <c r="B10164">
        <v>48.9</v>
      </c>
    </row>
    <row r="10165" spans="1:3" ht="15" customHeight="1" x14ac:dyDescent="0.25">
      <c r="A10165" t="s">
        <v>12322</v>
      </c>
      <c r="B10165">
        <v>39</v>
      </c>
    </row>
    <row r="10166" spans="1:3" ht="15" customHeight="1" x14ac:dyDescent="0.25">
      <c r="A10166" t="s">
        <v>12323</v>
      </c>
      <c r="B10166">
        <v>39</v>
      </c>
    </row>
    <row r="10167" spans="1:3" ht="15" customHeight="1" x14ac:dyDescent="0.25">
      <c r="A10167" t="s">
        <v>12324</v>
      </c>
      <c r="B10167">
        <v>39</v>
      </c>
    </row>
    <row r="10168" spans="1:3" ht="15" customHeight="1" x14ac:dyDescent="0.25">
      <c r="A10168" t="s">
        <v>12325</v>
      </c>
      <c r="B10168">
        <v>5.3</v>
      </c>
      <c r="C10168">
        <v>0.15</v>
      </c>
    </row>
    <row r="10169" spans="1:3" ht="15" customHeight="1" x14ac:dyDescent="0.25">
      <c r="A10169" t="s">
        <v>12326</v>
      </c>
      <c r="B10169">
        <v>5.9</v>
      </c>
      <c r="C10169">
        <v>0.15</v>
      </c>
    </row>
    <row r="10170" spans="1:3" ht="15" customHeight="1" x14ac:dyDescent="0.25">
      <c r="A10170" t="s">
        <v>12327</v>
      </c>
      <c r="B10170">
        <v>9.1</v>
      </c>
    </row>
    <row r="10171" spans="1:3" ht="15" customHeight="1" x14ac:dyDescent="0.25">
      <c r="A10171" t="s">
        <v>12328</v>
      </c>
      <c r="B10171">
        <v>15.6</v>
      </c>
      <c r="C10171">
        <v>0.15</v>
      </c>
    </row>
    <row r="10172" spans="1:3" ht="15" customHeight="1" x14ac:dyDescent="0.25">
      <c r="A10172" t="s">
        <v>12329</v>
      </c>
      <c r="B10172">
        <v>15.6</v>
      </c>
      <c r="C10172">
        <v>0.15</v>
      </c>
    </row>
    <row r="10173" spans="1:3" ht="15" customHeight="1" x14ac:dyDescent="0.25">
      <c r="A10173" t="s">
        <v>12330</v>
      </c>
      <c r="B10173">
        <v>15.6</v>
      </c>
      <c r="C10173">
        <v>0.15</v>
      </c>
    </row>
    <row r="10174" spans="1:3" ht="15" customHeight="1" x14ac:dyDescent="0.25">
      <c r="A10174" t="s">
        <v>12331</v>
      </c>
      <c r="B10174">
        <v>15.6</v>
      </c>
    </row>
    <row r="10175" spans="1:3" ht="15" customHeight="1" x14ac:dyDescent="0.25">
      <c r="A10175" t="s">
        <v>12332</v>
      </c>
      <c r="B10175">
        <v>15.6</v>
      </c>
      <c r="C10175">
        <v>0.15</v>
      </c>
    </row>
    <row r="10176" spans="1:3" ht="15" customHeight="1" x14ac:dyDescent="0.25">
      <c r="A10176" t="s">
        <v>12333</v>
      </c>
      <c r="B10176">
        <v>15.6</v>
      </c>
    </row>
    <row r="10177" spans="1:3" ht="15" customHeight="1" x14ac:dyDescent="0.25">
      <c r="A10177" t="s">
        <v>12334</v>
      </c>
      <c r="B10177">
        <v>15.6</v>
      </c>
      <c r="C10177">
        <v>0.15</v>
      </c>
    </row>
    <row r="10178" spans="1:3" ht="15" customHeight="1" x14ac:dyDescent="0.25">
      <c r="A10178" t="s">
        <v>12335</v>
      </c>
      <c r="B10178">
        <v>15.6</v>
      </c>
      <c r="C10178">
        <v>0.15</v>
      </c>
    </row>
    <row r="10179" spans="1:3" ht="15" customHeight="1" x14ac:dyDescent="0.25">
      <c r="A10179" t="s">
        <v>12336</v>
      </c>
      <c r="B10179">
        <v>15.6</v>
      </c>
      <c r="C10179">
        <v>0.15</v>
      </c>
    </row>
    <row r="10180" spans="1:3" ht="15" customHeight="1" x14ac:dyDescent="0.25">
      <c r="A10180" t="s">
        <v>12337</v>
      </c>
      <c r="B10180">
        <v>15.6</v>
      </c>
      <c r="C10180">
        <v>0.15</v>
      </c>
    </row>
    <row r="10181" spans="1:3" ht="15" customHeight="1" x14ac:dyDescent="0.25">
      <c r="A10181" t="s">
        <v>12338</v>
      </c>
      <c r="B10181">
        <v>15.6</v>
      </c>
      <c r="C10181">
        <v>0.15</v>
      </c>
    </row>
    <row r="10182" spans="1:3" ht="15" customHeight="1" x14ac:dyDescent="0.25">
      <c r="A10182" t="s">
        <v>12339</v>
      </c>
      <c r="B10182">
        <v>15.6</v>
      </c>
      <c r="C10182">
        <v>0.15</v>
      </c>
    </row>
    <row r="10183" spans="1:3" ht="15" customHeight="1" x14ac:dyDescent="0.25">
      <c r="A10183" t="s">
        <v>12340</v>
      </c>
      <c r="B10183">
        <v>17.8</v>
      </c>
      <c r="C10183">
        <v>0.15</v>
      </c>
    </row>
    <row r="10184" spans="1:3" ht="15" customHeight="1" x14ac:dyDescent="0.25">
      <c r="A10184" t="s">
        <v>12341</v>
      </c>
      <c r="B10184">
        <v>17.8</v>
      </c>
      <c r="C10184">
        <v>0.15</v>
      </c>
    </row>
    <row r="10185" spans="1:3" ht="15" customHeight="1" x14ac:dyDescent="0.25">
      <c r="A10185" t="s">
        <v>12342</v>
      </c>
      <c r="B10185">
        <v>15.6</v>
      </c>
    </row>
    <row r="10186" spans="1:3" ht="15" customHeight="1" x14ac:dyDescent="0.25">
      <c r="A10186" t="s">
        <v>12343</v>
      </c>
      <c r="B10186">
        <v>15.6</v>
      </c>
    </row>
    <row r="10187" spans="1:3" ht="15" customHeight="1" x14ac:dyDescent="0.25">
      <c r="A10187" t="s">
        <v>12344</v>
      </c>
      <c r="B10187">
        <v>15.6</v>
      </c>
      <c r="C10187">
        <v>0.15</v>
      </c>
    </row>
    <row r="10188" spans="1:3" ht="15" customHeight="1" x14ac:dyDescent="0.25">
      <c r="A10188" t="s">
        <v>12345</v>
      </c>
      <c r="B10188">
        <v>15.6</v>
      </c>
    </row>
    <row r="10189" spans="1:3" ht="15" customHeight="1" x14ac:dyDescent="0.25">
      <c r="A10189" t="s">
        <v>12346</v>
      </c>
      <c r="B10189">
        <v>15.6</v>
      </c>
      <c r="C10189">
        <v>0.15</v>
      </c>
    </row>
    <row r="10190" spans="1:3" ht="15" customHeight="1" x14ac:dyDescent="0.25">
      <c r="A10190" t="s">
        <v>12347</v>
      </c>
      <c r="B10190">
        <v>15.6</v>
      </c>
    </row>
    <row r="10191" spans="1:3" ht="15" customHeight="1" x14ac:dyDescent="0.25">
      <c r="A10191" t="s">
        <v>12348</v>
      </c>
      <c r="B10191">
        <v>15.6</v>
      </c>
      <c r="C10191">
        <v>0.15</v>
      </c>
    </row>
    <row r="10192" spans="1:3" ht="15" customHeight="1" x14ac:dyDescent="0.25">
      <c r="A10192" t="s">
        <v>12349</v>
      </c>
      <c r="B10192">
        <v>15.6</v>
      </c>
    </row>
    <row r="10193" spans="1:3" ht="15" customHeight="1" x14ac:dyDescent="0.25">
      <c r="A10193" t="s">
        <v>12350</v>
      </c>
      <c r="B10193">
        <v>15.6</v>
      </c>
    </row>
    <row r="10194" spans="1:3" ht="15" customHeight="1" x14ac:dyDescent="0.25">
      <c r="A10194" t="s">
        <v>12351</v>
      </c>
      <c r="B10194">
        <v>15.6</v>
      </c>
    </row>
    <row r="10195" spans="1:3" ht="15" customHeight="1" x14ac:dyDescent="0.25">
      <c r="A10195" t="s">
        <v>12352</v>
      </c>
      <c r="B10195">
        <v>15.6</v>
      </c>
    </row>
    <row r="10196" spans="1:3" ht="15" customHeight="1" x14ac:dyDescent="0.25">
      <c r="A10196" t="s">
        <v>12353</v>
      </c>
      <c r="B10196">
        <v>15.6</v>
      </c>
    </row>
    <row r="10197" spans="1:3" ht="15" customHeight="1" x14ac:dyDescent="0.25">
      <c r="A10197" t="s">
        <v>12354</v>
      </c>
      <c r="B10197">
        <v>15.6</v>
      </c>
    </row>
    <row r="10198" spans="1:3" ht="15" customHeight="1" x14ac:dyDescent="0.25">
      <c r="A10198" t="s">
        <v>12355</v>
      </c>
      <c r="B10198">
        <v>15.6</v>
      </c>
      <c r="C10198">
        <v>0.15</v>
      </c>
    </row>
    <row r="10199" spans="1:3" ht="15" customHeight="1" x14ac:dyDescent="0.25">
      <c r="A10199" t="s">
        <v>12356</v>
      </c>
      <c r="B10199">
        <v>15.6</v>
      </c>
      <c r="C10199">
        <v>0.15</v>
      </c>
    </row>
    <row r="10200" spans="1:3" ht="15" customHeight="1" x14ac:dyDescent="0.25">
      <c r="A10200" t="s">
        <v>12357</v>
      </c>
      <c r="B10200">
        <v>15.6</v>
      </c>
    </row>
    <row r="10201" spans="1:3" ht="15" customHeight="1" x14ac:dyDescent="0.25">
      <c r="A10201" t="s">
        <v>12358</v>
      </c>
      <c r="B10201">
        <v>15.6</v>
      </c>
    </row>
    <row r="10202" spans="1:3" ht="15" customHeight="1" x14ac:dyDescent="0.25">
      <c r="A10202" t="s">
        <v>12359</v>
      </c>
      <c r="B10202">
        <v>15.6</v>
      </c>
      <c r="C10202">
        <v>0.15</v>
      </c>
    </row>
    <row r="10203" spans="1:3" ht="15" customHeight="1" x14ac:dyDescent="0.25">
      <c r="A10203" t="s">
        <v>12360</v>
      </c>
      <c r="B10203">
        <v>15.6</v>
      </c>
      <c r="C10203">
        <v>0.15</v>
      </c>
    </row>
    <row r="10204" spans="1:3" ht="15" customHeight="1" x14ac:dyDescent="0.25">
      <c r="A10204" t="s">
        <v>12361</v>
      </c>
      <c r="B10204">
        <v>15.6</v>
      </c>
    </row>
    <row r="10205" spans="1:3" ht="15" customHeight="1" x14ac:dyDescent="0.25">
      <c r="A10205" t="s">
        <v>12362</v>
      </c>
      <c r="B10205">
        <v>15.6</v>
      </c>
    </row>
    <row r="10206" spans="1:3" ht="15" customHeight="1" x14ac:dyDescent="0.25">
      <c r="A10206" t="s">
        <v>12363</v>
      </c>
      <c r="B10206">
        <v>15.6</v>
      </c>
      <c r="C10206">
        <v>0.15</v>
      </c>
    </row>
    <row r="10207" spans="1:3" ht="15" customHeight="1" x14ac:dyDescent="0.25">
      <c r="A10207" t="s">
        <v>12364</v>
      </c>
      <c r="B10207">
        <v>15.6</v>
      </c>
      <c r="C10207">
        <v>0.15</v>
      </c>
    </row>
    <row r="10208" spans="1:3" ht="15" customHeight="1" x14ac:dyDescent="0.25">
      <c r="A10208" t="s">
        <v>12365</v>
      </c>
      <c r="B10208">
        <v>15.6</v>
      </c>
    </row>
    <row r="10209" spans="1:3" ht="15" customHeight="1" x14ac:dyDescent="0.25">
      <c r="A10209" t="s">
        <v>12366</v>
      </c>
      <c r="B10209">
        <v>15.6</v>
      </c>
    </row>
    <row r="10210" spans="1:3" ht="15" customHeight="1" x14ac:dyDescent="0.25">
      <c r="A10210" t="s">
        <v>12367</v>
      </c>
      <c r="B10210">
        <v>15.6</v>
      </c>
      <c r="C10210">
        <v>0.15</v>
      </c>
    </row>
    <row r="10211" spans="1:3" ht="15" customHeight="1" x14ac:dyDescent="0.25">
      <c r="A10211" t="s">
        <v>12368</v>
      </c>
      <c r="B10211">
        <v>15.6</v>
      </c>
    </row>
    <row r="10212" spans="1:3" ht="15" customHeight="1" x14ac:dyDescent="0.25">
      <c r="A10212" t="s">
        <v>12369</v>
      </c>
      <c r="B10212">
        <v>15.6</v>
      </c>
    </row>
    <row r="10213" spans="1:3" ht="15" customHeight="1" x14ac:dyDescent="0.25">
      <c r="A10213" t="s">
        <v>12370</v>
      </c>
      <c r="B10213">
        <v>15.6</v>
      </c>
      <c r="C10213">
        <v>0.15</v>
      </c>
    </row>
    <row r="10214" spans="1:3" ht="15" customHeight="1" x14ac:dyDescent="0.25">
      <c r="A10214" t="s">
        <v>12371</v>
      </c>
      <c r="B10214">
        <v>15.6</v>
      </c>
      <c r="C10214">
        <v>0.15</v>
      </c>
    </row>
    <row r="10215" spans="1:3" ht="15" customHeight="1" x14ac:dyDescent="0.25">
      <c r="A10215" t="s">
        <v>12372</v>
      </c>
      <c r="B10215">
        <v>19.100000000000001</v>
      </c>
      <c r="C10215">
        <v>0.15</v>
      </c>
    </row>
    <row r="10216" spans="1:3" ht="15" customHeight="1" x14ac:dyDescent="0.25">
      <c r="A10216" t="s">
        <v>12373</v>
      </c>
      <c r="B10216">
        <v>19.100000000000001</v>
      </c>
      <c r="C10216">
        <v>0.15</v>
      </c>
    </row>
    <row r="10217" spans="1:3" ht="15" customHeight="1" x14ac:dyDescent="0.25">
      <c r="A10217" t="s">
        <v>12374</v>
      </c>
      <c r="B10217">
        <v>19.100000000000001</v>
      </c>
      <c r="C10217">
        <v>0.15</v>
      </c>
    </row>
    <row r="10218" spans="1:3" ht="15" customHeight="1" x14ac:dyDescent="0.25">
      <c r="A10218" t="s">
        <v>12375</v>
      </c>
      <c r="B10218">
        <v>19.100000000000001</v>
      </c>
      <c r="C10218">
        <v>0.15</v>
      </c>
    </row>
    <row r="10219" spans="1:3" ht="15" customHeight="1" x14ac:dyDescent="0.25">
      <c r="A10219" t="s">
        <v>12376</v>
      </c>
      <c r="B10219">
        <v>19.100000000000001</v>
      </c>
      <c r="C10219">
        <v>0.15</v>
      </c>
    </row>
    <row r="10220" spans="1:3" ht="15" customHeight="1" x14ac:dyDescent="0.25">
      <c r="A10220" t="s">
        <v>12377</v>
      </c>
      <c r="B10220">
        <v>19.100000000000001</v>
      </c>
      <c r="C10220">
        <v>0.15</v>
      </c>
    </row>
    <row r="10221" spans="1:3" ht="15" customHeight="1" x14ac:dyDescent="0.25">
      <c r="A10221" t="s">
        <v>12378</v>
      </c>
      <c r="B10221">
        <v>19.100000000000001</v>
      </c>
      <c r="C10221">
        <v>0.15</v>
      </c>
    </row>
    <row r="10222" spans="1:3" ht="15" customHeight="1" x14ac:dyDescent="0.25">
      <c r="A10222" t="s">
        <v>12379</v>
      </c>
      <c r="B10222">
        <v>19.100000000000001</v>
      </c>
      <c r="C10222">
        <v>0.15</v>
      </c>
    </row>
    <row r="10223" spans="1:3" ht="15" customHeight="1" x14ac:dyDescent="0.25">
      <c r="A10223" t="s">
        <v>12380</v>
      </c>
      <c r="B10223">
        <v>19.100000000000001</v>
      </c>
    </row>
    <row r="10224" spans="1:3" ht="15" customHeight="1" x14ac:dyDescent="0.25">
      <c r="A10224" t="s">
        <v>12381</v>
      </c>
      <c r="B10224">
        <v>19.100000000000001</v>
      </c>
    </row>
    <row r="10225" spans="1:3" ht="15" customHeight="1" x14ac:dyDescent="0.25">
      <c r="A10225" t="s">
        <v>12382</v>
      </c>
      <c r="B10225">
        <v>19.100000000000001</v>
      </c>
      <c r="C10225">
        <v>0.15</v>
      </c>
    </row>
    <row r="10226" spans="1:3" ht="15" customHeight="1" x14ac:dyDescent="0.25">
      <c r="A10226" t="s">
        <v>12383</v>
      </c>
      <c r="B10226">
        <v>19.100000000000001</v>
      </c>
      <c r="C10226">
        <v>0.15</v>
      </c>
    </row>
    <row r="10227" spans="1:3" ht="15" customHeight="1" x14ac:dyDescent="0.25">
      <c r="A10227" t="s">
        <v>12384</v>
      </c>
      <c r="B10227">
        <v>19.100000000000001</v>
      </c>
    </row>
    <row r="10228" spans="1:3" ht="15" customHeight="1" x14ac:dyDescent="0.25">
      <c r="A10228" t="s">
        <v>12385</v>
      </c>
      <c r="B10228">
        <v>19.100000000000001</v>
      </c>
      <c r="C10228">
        <v>0.15</v>
      </c>
    </row>
    <row r="10229" spans="1:3" ht="15" customHeight="1" x14ac:dyDescent="0.25">
      <c r="A10229" t="s">
        <v>12386</v>
      </c>
      <c r="B10229">
        <v>19.100000000000001</v>
      </c>
      <c r="C10229">
        <v>0.15</v>
      </c>
    </row>
    <row r="10230" spans="1:3" ht="15" customHeight="1" x14ac:dyDescent="0.25">
      <c r="A10230" t="s">
        <v>12387</v>
      </c>
      <c r="B10230">
        <v>19.100000000000001</v>
      </c>
    </row>
    <row r="10231" spans="1:3" ht="15" customHeight="1" x14ac:dyDescent="0.25">
      <c r="A10231" t="s">
        <v>12388</v>
      </c>
      <c r="B10231">
        <v>19.100000000000001</v>
      </c>
      <c r="C10231">
        <v>0.15</v>
      </c>
    </row>
    <row r="10232" spans="1:3" ht="15" customHeight="1" x14ac:dyDescent="0.25">
      <c r="A10232" t="s">
        <v>12389</v>
      </c>
      <c r="B10232">
        <v>19.100000000000001</v>
      </c>
      <c r="C10232">
        <v>0.15</v>
      </c>
    </row>
    <row r="10233" spans="1:3" ht="15" customHeight="1" x14ac:dyDescent="0.25">
      <c r="A10233" t="s">
        <v>12390</v>
      </c>
      <c r="B10233">
        <v>19.100000000000001</v>
      </c>
    </row>
    <row r="10234" spans="1:3" ht="15" customHeight="1" x14ac:dyDescent="0.25">
      <c r="A10234" t="s">
        <v>12391</v>
      </c>
      <c r="B10234">
        <v>19.100000000000001</v>
      </c>
    </row>
    <row r="10235" spans="1:3" ht="15" customHeight="1" x14ac:dyDescent="0.25">
      <c r="A10235" t="s">
        <v>12392</v>
      </c>
      <c r="B10235">
        <v>19.100000000000001</v>
      </c>
      <c r="C10235">
        <v>0.15</v>
      </c>
    </row>
    <row r="10236" spans="1:3" ht="15" customHeight="1" x14ac:dyDescent="0.25">
      <c r="A10236" t="s">
        <v>12393</v>
      </c>
      <c r="B10236">
        <v>19.100000000000001</v>
      </c>
    </row>
    <row r="10237" spans="1:3" ht="15" customHeight="1" x14ac:dyDescent="0.25">
      <c r="A10237" t="s">
        <v>12394</v>
      </c>
      <c r="B10237">
        <v>19.100000000000001</v>
      </c>
      <c r="C10237">
        <v>0.15</v>
      </c>
    </row>
    <row r="10238" spans="1:3" ht="15" customHeight="1" x14ac:dyDescent="0.25">
      <c r="A10238" t="s">
        <v>12395</v>
      </c>
      <c r="B10238">
        <v>19.100000000000001</v>
      </c>
      <c r="C10238">
        <v>0.15</v>
      </c>
    </row>
    <row r="10239" spans="1:3" ht="15" customHeight="1" x14ac:dyDescent="0.25">
      <c r="A10239" t="s">
        <v>12396</v>
      </c>
      <c r="B10239">
        <v>19.100000000000001</v>
      </c>
    </row>
    <row r="10240" spans="1:3" ht="15" customHeight="1" x14ac:dyDescent="0.25">
      <c r="A10240" t="s">
        <v>12397</v>
      </c>
      <c r="B10240">
        <v>19.100000000000001</v>
      </c>
    </row>
    <row r="10241" spans="1:3" ht="15" customHeight="1" x14ac:dyDescent="0.25">
      <c r="A10241" t="s">
        <v>12398</v>
      </c>
      <c r="B10241">
        <v>19.100000000000001</v>
      </c>
      <c r="C10241">
        <v>0.15</v>
      </c>
    </row>
    <row r="10242" spans="1:3" ht="15" customHeight="1" x14ac:dyDescent="0.25">
      <c r="A10242" t="s">
        <v>12399</v>
      </c>
      <c r="B10242">
        <v>19.100000000000001</v>
      </c>
    </row>
    <row r="10243" spans="1:3" ht="15" customHeight="1" x14ac:dyDescent="0.25">
      <c r="A10243" t="s">
        <v>12400</v>
      </c>
      <c r="B10243">
        <v>19.100000000000001</v>
      </c>
    </row>
    <row r="10244" spans="1:3" ht="15" customHeight="1" x14ac:dyDescent="0.25">
      <c r="A10244" t="s">
        <v>12401</v>
      </c>
      <c r="B10244">
        <v>19.100000000000001</v>
      </c>
    </row>
    <row r="10245" spans="1:3" ht="15" customHeight="1" x14ac:dyDescent="0.25">
      <c r="A10245" t="s">
        <v>12402</v>
      </c>
      <c r="B10245">
        <v>19.100000000000001</v>
      </c>
      <c r="C10245">
        <v>0.15</v>
      </c>
    </row>
    <row r="10246" spans="1:3" ht="15" customHeight="1" x14ac:dyDescent="0.25">
      <c r="A10246" t="s">
        <v>12403</v>
      </c>
      <c r="B10246">
        <v>19.100000000000001</v>
      </c>
      <c r="C10246">
        <v>0.15</v>
      </c>
    </row>
    <row r="10247" spans="1:3" ht="15" customHeight="1" x14ac:dyDescent="0.25">
      <c r="A10247" t="s">
        <v>12404</v>
      </c>
      <c r="B10247">
        <v>19.100000000000001</v>
      </c>
    </row>
    <row r="10248" spans="1:3" ht="15" customHeight="1" x14ac:dyDescent="0.25">
      <c r="A10248" t="s">
        <v>12405</v>
      </c>
      <c r="B10248">
        <v>19.100000000000001</v>
      </c>
    </row>
    <row r="10249" spans="1:3" ht="15" customHeight="1" x14ac:dyDescent="0.25">
      <c r="A10249" t="s">
        <v>12406</v>
      </c>
      <c r="B10249">
        <v>19.100000000000001</v>
      </c>
      <c r="C10249">
        <v>0.15</v>
      </c>
    </row>
    <row r="10250" spans="1:3" ht="15" customHeight="1" x14ac:dyDescent="0.25">
      <c r="A10250" t="s">
        <v>12407</v>
      </c>
      <c r="B10250">
        <v>19.100000000000001</v>
      </c>
      <c r="C10250">
        <v>0.15</v>
      </c>
    </row>
    <row r="10251" spans="1:3" ht="15" customHeight="1" x14ac:dyDescent="0.25">
      <c r="A10251" t="s">
        <v>12408</v>
      </c>
      <c r="B10251">
        <v>19.100000000000001</v>
      </c>
      <c r="C10251">
        <v>0.15</v>
      </c>
    </row>
    <row r="10252" spans="1:3" ht="15" customHeight="1" x14ac:dyDescent="0.25">
      <c r="A10252" t="s">
        <v>12409</v>
      </c>
      <c r="B10252">
        <v>19.100000000000001</v>
      </c>
    </row>
    <row r="10253" spans="1:3" ht="15" customHeight="1" x14ac:dyDescent="0.25">
      <c r="A10253" t="s">
        <v>12410</v>
      </c>
      <c r="B10253">
        <v>19.100000000000001</v>
      </c>
      <c r="C10253">
        <v>0.15</v>
      </c>
    </row>
    <row r="10254" spans="1:3" ht="15" customHeight="1" x14ac:dyDescent="0.25">
      <c r="A10254" t="s">
        <v>12411</v>
      </c>
      <c r="B10254">
        <v>19.100000000000001</v>
      </c>
      <c r="C10254">
        <v>0.15</v>
      </c>
    </row>
    <row r="10255" spans="1:3" ht="15" customHeight="1" x14ac:dyDescent="0.25">
      <c r="A10255" t="s">
        <v>12412</v>
      </c>
      <c r="B10255">
        <v>19.100000000000001</v>
      </c>
    </row>
    <row r="10256" spans="1:3" ht="15" customHeight="1" x14ac:dyDescent="0.25">
      <c r="A10256" t="s">
        <v>12413</v>
      </c>
      <c r="B10256">
        <v>19.100000000000001</v>
      </c>
      <c r="C10256">
        <v>0.15</v>
      </c>
    </row>
    <row r="10257" spans="1:3" ht="15" customHeight="1" x14ac:dyDescent="0.25">
      <c r="A10257" t="s">
        <v>12414</v>
      </c>
      <c r="B10257">
        <v>19.100000000000001</v>
      </c>
      <c r="C10257">
        <v>0.15</v>
      </c>
    </row>
    <row r="10258" spans="1:3" ht="15" customHeight="1" x14ac:dyDescent="0.25">
      <c r="A10258" t="s">
        <v>12415</v>
      </c>
      <c r="B10258">
        <v>19.100000000000001</v>
      </c>
      <c r="C10258">
        <v>0.15</v>
      </c>
    </row>
    <row r="10259" spans="1:3" ht="15" customHeight="1" x14ac:dyDescent="0.25">
      <c r="A10259" t="s">
        <v>12416</v>
      </c>
      <c r="B10259">
        <v>19.100000000000001</v>
      </c>
      <c r="C10259">
        <v>0.15</v>
      </c>
    </row>
    <row r="10260" spans="1:3" ht="15" customHeight="1" x14ac:dyDescent="0.25">
      <c r="A10260" t="s">
        <v>12417</v>
      </c>
      <c r="B10260">
        <v>19.100000000000001</v>
      </c>
      <c r="C10260">
        <v>0.15</v>
      </c>
    </row>
    <row r="10261" spans="1:3" ht="15" customHeight="1" x14ac:dyDescent="0.25">
      <c r="A10261" t="s">
        <v>12418</v>
      </c>
      <c r="B10261">
        <v>19.100000000000001</v>
      </c>
    </row>
    <row r="10262" spans="1:3" ht="15" customHeight="1" x14ac:dyDescent="0.25">
      <c r="A10262" t="s">
        <v>12419</v>
      </c>
      <c r="B10262">
        <v>19.100000000000001</v>
      </c>
      <c r="C10262">
        <v>0.15</v>
      </c>
    </row>
    <row r="10263" spans="1:3" ht="15" customHeight="1" x14ac:dyDescent="0.25">
      <c r="A10263" t="s">
        <v>12420</v>
      </c>
      <c r="B10263">
        <v>21.6</v>
      </c>
      <c r="C10263">
        <v>0.15</v>
      </c>
    </row>
    <row r="10264" spans="1:3" ht="15" customHeight="1" x14ac:dyDescent="0.25">
      <c r="A10264" t="s">
        <v>12421</v>
      </c>
      <c r="B10264">
        <v>21.6</v>
      </c>
      <c r="C10264">
        <v>0.15</v>
      </c>
    </row>
    <row r="10265" spans="1:3" ht="15" customHeight="1" x14ac:dyDescent="0.25">
      <c r="A10265" t="s">
        <v>12422</v>
      </c>
      <c r="B10265">
        <v>21.6</v>
      </c>
    </row>
    <row r="10266" spans="1:3" ht="15" customHeight="1" x14ac:dyDescent="0.25">
      <c r="A10266" t="s">
        <v>12423</v>
      </c>
      <c r="B10266">
        <v>21.6</v>
      </c>
      <c r="C10266">
        <v>0.15</v>
      </c>
    </row>
    <row r="10267" spans="1:3" ht="15" customHeight="1" x14ac:dyDescent="0.25">
      <c r="A10267" t="s">
        <v>12424</v>
      </c>
      <c r="B10267">
        <v>21.6</v>
      </c>
    </row>
    <row r="10268" spans="1:3" ht="15" customHeight="1" x14ac:dyDescent="0.25">
      <c r="A10268" t="s">
        <v>12425</v>
      </c>
      <c r="B10268">
        <v>21.6</v>
      </c>
      <c r="C10268">
        <v>0.15</v>
      </c>
    </row>
    <row r="10269" spans="1:3" ht="15" customHeight="1" x14ac:dyDescent="0.25">
      <c r="A10269" t="s">
        <v>12426</v>
      </c>
      <c r="B10269">
        <v>34.5</v>
      </c>
      <c r="C10269">
        <v>0.15</v>
      </c>
    </row>
    <row r="10270" spans="1:3" ht="15" customHeight="1" x14ac:dyDescent="0.25">
      <c r="A10270" t="s">
        <v>12427</v>
      </c>
      <c r="B10270">
        <v>34.5</v>
      </c>
      <c r="C10270">
        <v>0.15</v>
      </c>
    </row>
    <row r="10271" spans="1:3" ht="15" customHeight="1" x14ac:dyDescent="0.25">
      <c r="A10271" t="s">
        <v>12428</v>
      </c>
      <c r="B10271">
        <v>34.5</v>
      </c>
      <c r="C10271">
        <v>0.15</v>
      </c>
    </row>
    <row r="10272" spans="1:3" ht="15" customHeight="1" x14ac:dyDescent="0.25">
      <c r="A10272" t="s">
        <v>12429</v>
      </c>
      <c r="B10272">
        <v>34.5</v>
      </c>
      <c r="C10272">
        <v>0.15</v>
      </c>
    </row>
    <row r="10273" spans="1:3" ht="15" customHeight="1" x14ac:dyDescent="0.25">
      <c r="A10273" t="s">
        <v>12430</v>
      </c>
      <c r="B10273">
        <v>17.399999999999999</v>
      </c>
      <c r="C10273">
        <v>0.15</v>
      </c>
    </row>
    <row r="10274" spans="1:3" ht="15" customHeight="1" x14ac:dyDescent="0.25">
      <c r="A10274" t="s">
        <v>12431</v>
      </c>
      <c r="B10274">
        <v>21.9</v>
      </c>
    </row>
    <row r="10275" spans="1:3" ht="15" customHeight="1" x14ac:dyDescent="0.25">
      <c r="A10275" t="s">
        <v>12432</v>
      </c>
      <c r="B10275">
        <v>17.399999999999999</v>
      </c>
    </row>
    <row r="10276" spans="1:3" ht="15" customHeight="1" x14ac:dyDescent="0.25">
      <c r="A10276" t="s">
        <v>12433</v>
      </c>
      <c r="B10276">
        <v>21.9</v>
      </c>
    </row>
    <row r="10277" spans="1:3" ht="15" customHeight="1" x14ac:dyDescent="0.25">
      <c r="A10277" t="s">
        <v>12434</v>
      </c>
      <c r="B10277">
        <v>17.399999999999999</v>
      </c>
    </row>
    <row r="10278" spans="1:3" ht="15" customHeight="1" x14ac:dyDescent="0.25">
      <c r="A10278" t="s">
        <v>12435</v>
      </c>
      <c r="B10278">
        <v>13.6</v>
      </c>
      <c r="C10278">
        <v>0.15</v>
      </c>
    </row>
    <row r="10279" spans="1:3" ht="15" customHeight="1" x14ac:dyDescent="0.25">
      <c r="A10279" t="s">
        <v>12436</v>
      </c>
      <c r="B10279">
        <v>15.6</v>
      </c>
      <c r="C10279">
        <v>0.15</v>
      </c>
    </row>
    <row r="10280" spans="1:3" ht="15" customHeight="1" x14ac:dyDescent="0.25">
      <c r="A10280" t="s">
        <v>12437</v>
      </c>
      <c r="B10280">
        <v>13.6</v>
      </c>
      <c r="C10280">
        <v>0.15</v>
      </c>
    </row>
    <row r="10281" spans="1:3" ht="15" customHeight="1" x14ac:dyDescent="0.25">
      <c r="A10281" t="s">
        <v>12438</v>
      </c>
      <c r="B10281">
        <v>21.9</v>
      </c>
    </row>
    <row r="10282" spans="1:3" ht="15" customHeight="1" x14ac:dyDescent="0.25">
      <c r="A10282" t="s">
        <v>12439</v>
      </c>
      <c r="B10282">
        <v>17.399999999999999</v>
      </c>
    </row>
    <row r="10283" spans="1:3" ht="15" customHeight="1" x14ac:dyDescent="0.25">
      <c r="A10283" t="s">
        <v>12440</v>
      </c>
      <c r="B10283">
        <v>21.9</v>
      </c>
    </row>
    <row r="10284" spans="1:3" ht="15" customHeight="1" x14ac:dyDescent="0.25">
      <c r="A10284" t="s">
        <v>12441</v>
      </c>
      <c r="B10284">
        <v>17.399999999999999</v>
      </c>
    </row>
    <row r="10285" spans="1:3" ht="15" customHeight="1" x14ac:dyDescent="0.25">
      <c r="A10285" t="s">
        <v>12442</v>
      </c>
      <c r="B10285">
        <v>21.9</v>
      </c>
    </row>
    <row r="10286" spans="1:3" ht="15" customHeight="1" x14ac:dyDescent="0.25">
      <c r="A10286" t="s">
        <v>12443</v>
      </c>
      <c r="B10286">
        <v>17.399999999999999</v>
      </c>
    </row>
    <row r="10287" spans="1:3" ht="15" customHeight="1" x14ac:dyDescent="0.25">
      <c r="A10287" t="s">
        <v>12444</v>
      </c>
      <c r="B10287">
        <v>25.4</v>
      </c>
      <c r="C10287">
        <v>0.15</v>
      </c>
    </row>
    <row r="10288" spans="1:3" ht="15" customHeight="1" x14ac:dyDescent="0.25">
      <c r="A10288" t="s">
        <v>12445</v>
      </c>
      <c r="B10288">
        <v>22.9</v>
      </c>
      <c r="C10288">
        <v>0.15</v>
      </c>
    </row>
    <row r="10289" spans="1:3" ht="15" customHeight="1" x14ac:dyDescent="0.25">
      <c r="A10289" t="s">
        <v>12446</v>
      </c>
      <c r="B10289">
        <v>25.4</v>
      </c>
    </row>
    <row r="10290" spans="1:3" ht="15" customHeight="1" x14ac:dyDescent="0.25">
      <c r="A10290" t="s">
        <v>12447</v>
      </c>
      <c r="B10290">
        <v>22.9</v>
      </c>
    </row>
    <row r="10291" spans="1:3" ht="15" customHeight="1" x14ac:dyDescent="0.25">
      <c r="A10291" t="s">
        <v>12448</v>
      </c>
      <c r="B10291">
        <v>25.4</v>
      </c>
    </row>
    <row r="10292" spans="1:3" ht="15" customHeight="1" x14ac:dyDescent="0.25">
      <c r="A10292" t="s">
        <v>12449</v>
      </c>
      <c r="B10292">
        <v>22.9</v>
      </c>
    </row>
    <row r="10293" spans="1:3" ht="15" customHeight="1" x14ac:dyDescent="0.25">
      <c r="A10293" t="s">
        <v>12450</v>
      </c>
      <c r="B10293">
        <v>25.4</v>
      </c>
    </row>
    <row r="10294" spans="1:3" ht="15" customHeight="1" x14ac:dyDescent="0.25">
      <c r="A10294" t="s">
        <v>12451</v>
      </c>
      <c r="B10294">
        <v>22.9</v>
      </c>
    </row>
    <row r="10295" spans="1:3" ht="15" customHeight="1" x14ac:dyDescent="0.25">
      <c r="A10295" t="s">
        <v>12452</v>
      </c>
      <c r="B10295">
        <v>17.399999999999999</v>
      </c>
    </row>
    <row r="10296" spans="1:3" ht="15" customHeight="1" x14ac:dyDescent="0.25">
      <c r="A10296" t="s">
        <v>12453</v>
      </c>
      <c r="B10296">
        <v>17.399999999999999</v>
      </c>
    </row>
    <row r="10297" spans="1:3" ht="15" customHeight="1" x14ac:dyDescent="0.25">
      <c r="A10297" t="s">
        <v>12454</v>
      </c>
      <c r="B10297">
        <v>21.9</v>
      </c>
    </row>
    <row r="10298" spans="1:3" ht="15" customHeight="1" x14ac:dyDescent="0.25">
      <c r="A10298" t="s">
        <v>12455</v>
      </c>
      <c r="B10298">
        <v>17.399999999999999</v>
      </c>
    </row>
    <row r="10299" spans="1:3" ht="15" customHeight="1" x14ac:dyDescent="0.25">
      <c r="A10299" t="s">
        <v>12456</v>
      </c>
      <c r="B10299">
        <v>21.9</v>
      </c>
    </row>
    <row r="10300" spans="1:3" ht="15" customHeight="1" x14ac:dyDescent="0.25">
      <c r="A10300" t="s">
        <v>12457</v>
      </c>
      <c r="B10300">
        <v>17.399999999999999</v>
      </c>
    </row>
    <row r="10301" spans="1:3" ht="15" customHeight="1" x14ac:dyDescent="0.25">
      <c r="A10301" t="s">
        <v>12458</v>
      </c>
      <c r="B10301">
        <v>21.9</v>
      </c>
    </row>
    <row r="10302" spans="1:3" ht="15" customHeight="1" x14ac:dyDescent="0.25">
      <c r="A10302" t="s">
        <v>12459</v>
      </c>
      <c r="B10302">
        <v>14.9</v>
      </c>
      <c r="C10302">
        <v>0.15</v>
      </c>
    </row>
    <row r="10303" spans="1:3" ht="15" customHeight="1" x14ac:dyDescent="0.25">
      <c r="A10303" t="s">
        <v>12460</v>
      </c>
      <c r="B10303">
        <v>14.9</v>
      </c>
      <c r="C10303">
        <v>0.15</v>
      </c>
    </row>
    <row r="10304" spans="1:3" ht="15" customHeight="1" x14ac:dyDescent="0.25">
      <c r="A10304" t="s">
        <v>12461</v>
      </c>
      <c r="B10304">
        <v>14.9</v>
      </c>
      <c r="C10304">
        <v>0.15</v>
      </c>
    </row>
    <row r="10305" spans="1:3" ht="15" customHeight="1" x14ac:dyDescent="0.25">
      <c r="A10305" t="s">
        <v>12462</v>
      </c>
      <c r="B10305">
        <v>19.600000000000001</v>
      </c>
    </row>
    <row r="10306" spans="1:3" ht="15" customHeight="1" x14ac:dyDescent="0.25">
      <c r="A10306" t="s">
        <v>12463</v>
      </c>
      <c r="B10306">
        <v>19.600000000000001</v>
      </c>
      <c r="C10306">
        <v>0.15</v>
      </c>
    </row>
    <row r="10307" spans="1:3" ht="15" customHeight="1" x14ac:dyDescent="0.25">
      <c r="A10307" t="s">
        <v>12464</v>
      </c>
      <c r="B10307">
        <v>16.600000000000001</v>
      </c>
      <c r="C10307">
        <v>0.15</v>
      </c>
    </row>
    <row r="10308" spans="1:3" ht="15" customHeight="1" x14ac:dyDescent="0.25">
      <c r="A10308" t="s">
        <v>12465</v>
      </c>
      <c r="B10308">
        <v>16.600000000000001</v>
      </c>
    </row>
    <row r="10309" spans="1:3" ht="15" customHeight="1" x14ac:dyDescent="0.25">
      <c r="A10309" t="s">
        <v>12466</v>
      </c>
      <c r="B10309">
        <v>16.600000000000001</v>
      </c>
      <c r="C10309">
        <v>0.15</v>
      </c>
    </row>
    <row r="10310" spans="1:3" ht="15" customHeight="1" x14ac:dyDescent="0.25">
      <c r="A10310" t="s">
        <v>12467</v>
      </c>
      <c r="B10310">
        <v>19.600000000000001</v>
      </c>
    </row>
    <row r="10311" spans="1:3" ht="15" customHeight="1" x14ac:dyDescent="0.25">
      <c r="A10311" t="s">
        <v>12468</v>
      </c>
      <c r="B10311">
        <v>19.600000000000001</v>
      </c>
    </row>
    <row r="10312" spans="1:3" ht="15" customHeight="1" x14ac:dyDescent="0.25">
      <c r="A10312" t="s">
        <v>12469</v>
      </c>
      <c r="B10312">
        <v>19.600000000000001</v>
      </c>
      <c r="C10312">
        <v>0.15</v>
      </c>
    </row>
    <row r="10313" spans="1:3" ht="15" customHeight="1" x14ac:dyDescent="0.25">
      <c r="A10313" t="s">
        <v>12470</v>
      </c>
      <c r="B10313">
        <v>19.600000000000001</v>
      </c>
    </row>
    <row r="10314" spans="1:3" ht="15" customHeight="1" x14ac:dyDescent="0.25">
      <c r="A10314" t="s">
        <v>12471</v>
      </c>
      <c r="B10314">
        <v>19.600000000000001</v>
      </c>
    </row>
    <row r="10315" spans="1:3" ht="15" customHeight="1" x14ac:dyDescent="0.25">
      <c r="A10315" t="s">
        <v>12472</v>
      </c>
      <c r="B10315">
        <v>19.600000000000001</v>
      </c>
    </row>
    <row r="10316" spans="1:3" ht="15" customHeight="1" x14ac:dyDescent="0.25">
      <c r="A10316" t="s">
        <v>12473</v>
      </c>
      <c r="B10316">
        <v>19.600000000000001</v>
      </c>
    </row>
    <row r="10317" spans="1:3" ht="15" customHeight="1" x14ac:dyDescent="0.25">
      <c r="A10317" t="s">
        <v>12474</v>
      </c>
      <c r="B10317">
        <v>19.600000000000001</v>
      </c>
    </row>
    <row r="10318" spans="1:3" ht="15" customHeight="1" x14ac:dyDescent="0.25">
      <c r="A10318" t="s">
        <v>12475</v>
      </c>
      <c r="B10318">
        <v>89.8</v>
      </c>
      <c r="C10318">
        <v>0.1</v>
      </c>
    </row>
    <row r="10319" spans="1:3" ht="15" customHeight="1" x14ac:dyDescent="0.25">
      <c r="A10319" t="s">
        <v>12476</v>
      </c>
      <c r="B10319">
        <v>26.4</v>
      </c>
      <c r="C10319">
        <v>0.1</v>
      </c>
    </row>
    <row r="10320" spans="1:3" ht="15" customHeight="1" x14ac:dyDescent="0.25">
      <c r="A10320" t="s">
        <v>12477</v>
      </c>
      <c r="B10320">
        <v>26.4</v>
      </c>
      <c r="C10320">
        <v>0.1</v>
      </c>
    </row>
    <row r="10321" spans="1:3" ht="15" customHeight="1" x14ac:dyDescent="0.25">
      <c r="A10321" t="s">
        <v>12478</v>
      </c>
      <c r="B10321">
        <v>26.4</v>
      </c>
      <c r="C10321">
        <v>0.1</v>
      </c>
    </row>
    <row r="10322" spans="1:3" ht="15" customHeight="1" x14ac:dyDescent="0.25">
      <c r="A10322" t="s">
        <v>12479</v>
      </c>
      <c r="B10322">
        <v>26.4</v>
      </c>
      <c r="C10322">
        <v>0.1</v>
      </c>
    </row>
    <row r="10323" spans="1:3" ht="15" customHeight="1" x14ac:dyDescent="0.25">
      <c r="A10323" t="s">
        <v>12480</v>
      </c>
      <c r="B10323">
        <v>94.4</v>
      </c>
      <c r="C10323">
        <v>0.3</v>
      </c>
    </row>
    <row r="10324" spans="1:3" ht="15" customHeight="1" x14ac:dyDescent="0.25">
      <c r="A10324" t="s">
        <v>12481</v>
      </c>
      <c r="B10324">
        <v>94.4</v>
      </c>
      <c r="C10324">
        <v>0.3</v>
      </c>
    </row>
    <row r="10325" spans="1:3" ht="15" customHeight="1" x14ac:dyDescent="0.25">
      <c r="A10325" t="s">
        <v>12482</v>
      </c>
      <c r="B10325">
        <v>94.4</v>
      </c>
      <c r="C10325">
        <v>0.3</v>
      </c>
    </row>
    <row r="10326" spans="1:3" ht="15" customHeight="1" x14ac:dyDescent="0.25">
      <c r="A10326" t="s">
        <v>12483</v>
      </c>
      <c r="B10326">
        <v>94.4</v>
      </c>
      <c r="C10326">
        <v>0.3</v>
      </c>
    </row>
    <row r="10327" spans="1:3" ht="15" customHeight="1" x14ac:dyDescent="0.25">
      <c r="A10327" t="s">
        <v>12484</v>
      </c>
      <c r="B10327">
        <v>46.1</v>
      </c>
      <c r="C10327">
        <v>0.3</v>
      </c>
    </row>
    <row r="10328" spans="1:3" ht="15" customHeight="1" x14ac:dyDescent="0.25">
      <c r="A10328" t="s">
        <v>12485</v>
      </c>
      <c r="B10328">
        <v>46.1</v>
      </c>
      <c r="C10328">
        <v>0.3</v>
      </c>
    </row>
    <row r="10329" spans="1:3" ht="15" customHeight="1" x14ac:dyDescent="0.25">
      <c r="A10329" t="s">
        <v>12486</v>
      </c>
      <c r="B10329">
        <v>46.1</v>
      </c>
      <c r="C10329">
        <v>0.3</v>
      </c>
    </row>
    <row r="10330" spans="1:3" ht="15" customHeight="1" x14ac:dyDescent="0.25">
      <c r="A10330" t="s">
        <v>12487</v>
      </c>
      <c r="B10330">
        <v>46.1</v>
      </c>
      <c r="C10330">
        <v>0.3</v>
      </c>
    </row>
    <row r="10331" spans="1:3" ht="15" customHeight="1" x14ac:dyDescent="0.25">
      <c r="A10331" t="s">
        <v>12488</v>
      </c>
      <c r="B10331">
        <v>10</v>
      </c>
      <c r="C10331">
        <v>0.08</v>
      </c>
    </row>
    <row r="10332" spans="1:3" ht="15" customHeight="1" x14ac:dyDescent="0.25">
      <c r="A10332" t="s">
        <v>12489</v>
      </c>
      <c r="B10332">
        <v>12.5</v>
      </c>
      <c r="C10332">
        <v>0.08</v>
      </c>
    </row>
    <row r="10333" spans="1:3" ht="15" customHeight="1" x14ac:dyDescent="0.25">
      <c r="A10333" t="s">
        <v>12490</v>
      </c>
      <c r="B10333">
        <v>10</v>
      </c>
      <c r="C10333">
        <v>0.08</v>
      </c>
    </row>
    <row r="10334" spans="1:3" ht="15" customHeight="1" x14ac:dyDescent="0.25">
      <c r="A10334" t="s">
        <v>12491</v>
      </c>
      <c r="B10334">
        <v>12.4</v>
      </c>
      <c r="C10334">
        <v>0.08</v>
      </c>
    </row>
    <row r="10335" spans="1:3" ht="15" customHeight="1" x14ac:dyDescent="0.25">
      <c r="A10335" t="s">
        <v>12492</v>
      </c>
      <c r="B10335">
        <v>12.5</v>
      </c>
      <c r="C10335">
        <v>0.08</v>
      </c>
    </row>
    <row r="10336" spans="1:3" ht="15" customHeight="1" x14ac:dyDescent="0.25">
      <c r="A10336" t="s">
        <v>12493</v>
      </c>
      <c r="B10336">
        <v>12.4</v>
      </c>
      <c r="C10336">
        <v>0.08</v>
      </c>
    </row>
    <row r="10337" spans="1:3" ht="15" customHeight="1" x14ac:dyDescent="0.25">
      <c r="A10337" t="s">
        <v>12494</v>
      </c>
      <c r="B10337">
        <v>10</v>
      </c>
      <c r="C10337">
        <v>0.08</v>
      </c>
    </row>
    <row r="10338" spans="1:3" ht="15" customHeight="1" x14ac:dyDescent="0.25">
      <c r="A10338" t="s">
        <v>12495</v>
      </c>
      <c r="B10338">
        <v>12.4</v>
      </c>
      <c r="C10338">
        <v>0.08</v>
      </c>
    </row>
    <row r="10339" spans="1:3" ht="15" customHeight="1" x14ac:dyDescent="0.25">
      <c r="A10339" t="s">
        <v>12496</v>
      </c>
      <c r="B10339">
        <v>12.5</v>
      </c>
      <c r="C10339">
        <v>0.08</v>
      </c>
    </row>
    <row r="10340" spans="1:3" ht="15" customHeight="1" x14ac:dyDescent="0.25">
      <c r="A10340" t="s">
        <v>12497</v>
      </c>
      <c r="B10340">
        <v>12.4</v>
      </c>
      <c r="C10340">
        <v>0.08</v>
      </c>
    </row>
    <row r="10341" spans="1:3" ht="15" customHeight="1" x14ac:dyDescent="0.25">
      <c r="A10341" t="s">
        <v>12498</v>
      </c>
      <c r="B10341">
        <v>10</v>
      </c>
      <c r="C10341">
        <v>0.08</v>
      </c>
    </row>
    <row r="10342" spans="1:3" ht="15" customHeight="1" x14ac:dyDescent="0.25">
      <c r="A10342" t="s">
        <v>12499</v>
      </c>
      <c r="B10342">
        <v>10</v>
      </c>
      <c r="C10342">
        <v>0.08</v>
      </c>
    </row>
    <row r="10343" spans="1:3" ht="15" customHeight="1" x14ac:dyDescent="0.25">
      <c r="A10343" t="s">
        <v>12500</v>
      </c>
      <c r="B10343">
        <v>12</v>
      </c>
      <c r="C10343">
        <v>0.08</v>
      </c>
    </row>
    <row r="10344" spans="1:3" ht="15" customHeight="1" x14ac:dyDescent="0.25">
      <c r="A10344" t="s">
        <v>12501</v>
      </c>
      <c r="B10344">
        <v>12.5</v>
      </c>
      <c r="C10344">
        <v>0.08</v>
      </c>
    </row>
    <row r="10345" spans="1:3" ht="15" customHeight="1" x14ac:dyDescent="0.25">
      <c r="A10345" t="s">
        <v>12502</v>
      </c>
      <c r="B10345">
        <v>12.5</v>
      </c>
      <c r="C10345">
        <v>0.08</v>
      </c>
    </row>
    <row r="10346" spans="1:3" ht="15" customHeight="1" x14ac:dyDescent="0.25">
      <c r="A10346" t="s">
        <v>12503</v>
      </c>
      <c r="B10346">
        <v>9.9</v>
      </c>
      <c r="C10346">
        <v>0.08</v>
      </c>
    </row>
    <row r="10347" spans="1:3" ht="15" customHeight="1" x14ac:dyDescent="0.25">
      <c r="A10347" t="s">
        <v>12504</v>
      </c>
      <c r="B10347">
        <v>9.9</v>
      </c>
      <c r="C10347">
        <v>0.08</v>
      </c>
    </row>
    <row r="10348" spans="1:3" ht="15" customHeight="1" x14ac:dyDescent="0.25">
      <c r="A10348" t="s">
        <v>12505</v>
      </c>
      <c r="B10348">
        <v>9.9</v>
      </c>
      <c r="C10348">
        <v>0.08</v>
      </c>
    </row>
    <row r="10349" spans="1:3" ht="15" customHeight="1" x14ac:dyDescent="0.25">
      <c r="A10349" t="s">
        <v>12506</v>
      </c>
      <c r="B10349">
        <v>9.9</v>
      </c>
      <c r="C10349">
        <v>0.08</v>
      </c>
    </row>
    <row r="10350" spans="1:3" ht="15" customHeight="1" x14ac:dyDescent="0.25">
      <c r="A10350" t="s">
        <v>12507</v>
      </c>
      <c r="B10350">
        <v>9.9</v>
      </c>
      <c r="C10350">
        <v>0.08</v>
      </c>
    </row>
    <row r="10351" spans="1:3" ht="15" customHeight="1" x14ac:dyDescent="0.25">
      <c r="A10351" t="s">
        <v>896</v>
      </c>
      <c r="B10351">
        <v>12.4</v>
      </c>
      <c r="C10351">
        <v>0.08</v>
      </c>
    </row>
    <row r="10352" spans="1:3" ht="15" customHeight="1" x14ac:dyDescent="0.25">
      <c r="A10352" t="s">
        <v>1784</v>
      </c>
      <c r="B10352">
        <v>12.4</v>
      </c>
      <c r="C10352">
        <v>0.08</v>
      </c>
    </row>
    <row r="10353" spans="1:3" ht="15" customHeight="1" x14ac:dyDescent="0.25">
      <c r="A10353" t="s">
        <v>1710</v>
      </c>
      <c r="B10353">
        <v>12.4</v>
      </c>
      <c r="C10353">
        <v>0.08</v>
      </c>
    </row>
    <row r="10354" spans="1:3" ht="15" customHeight="1" x14ac:dyDescent="0.25">
      <c r="A10354" t="s">
        <v>12508</v>
      </c>
      <c r="B10354">
        <v>7.7</v>
      </c>
      <c r="C10354">
        <v>0.08</v>
      </c>
    </row>
    <row r="10355" spans="1:3" ht="15" customHeight="1" x14ac:dyDescent="0.25">
      <c r="A10355" t="s">
        <v>12509</v>
      </c>
      <c r="B10355">
        <v>7.7</v>
      </c>
      <c r="C10355">
        <v>0.08</v>
      </c>
    </row>
    <row r="10356" spans="1:3" ht="15" customHeight="1" x14ac:dyDescent="0.25">
      <c r="A10356" t="s">
        <v>12510</v>
      </c>
      <c r="B10356">
        <v>10.199999999999999</v>
      </c>
    </row>
    <row r="10357" spans="1:3" ht="15" customHeight="1" x14ac:dyDescent="0.25">
      <c r="A10357" t="s">
        <v>12511</v>
      </c>
      <c r="B10357">
        <v>10.199999999999999</v>
      </c>
    </row>
    <row r="10358" spans="1:3" ht="15" customHeight="1" x14ac:dyDescent="0.25">
      <c r="A10358" t="s">
        <v>12512</v>
      </c>
      <c r="B10358">
        <v>10.199999999999999</v>
      </c>
    </row>
    <row r="10359" spans="1:3" ht="15" customHeight="1" x14ac:dyDescent="0.25">
      <c r="A10359" t="s">
        <v>12513</v>
      </c>
      <c r="B10359">
        <v>10.199999999999999</v>
      </c>
    </row>
    <row r="10360" spans="1:3" ht="15" customHeight="1" x14ac:dyDescent="0.25">
      <c r="A10360" t="s">
        <v>12514</v>
      </c>
      <c r="B10360">
        <v>10.199999999999999</v>
      </c>
    </row>
    <row r="10361" spans="1:3" ht="15" customHeight="1" x14ac:dyDescent="0.25">
      <c r="A10361" t="s">
        <v>12515</v>
      </c>
      <c r="B10361">
        <v>10.199999999999999</v>
      </c>
    </row>
    <row r="10362" spans="1:3" ht="15" customHeight="1" x14ac:dyDescent="0.25">
      <c r="A10362" t="s">
        <v>12516</v>
      </c>
      <c r="B10362">
        <v>10.6</v>
      </c>
    </row>
    <row r="10363" spans="1:3" ht="15" customHeight="1" x14ac:dyDescent="0.25">
      <c r="A10363" t="s">
        <v>12517</v>
      </c>
      <c r="B10363">
        <v>10.6</v>
      </c>
    </row>
    <row r="10364" spans="1:3" ht="15" customHeight="1" x14ac:dyDescent="0.25">
      <c r="A10364" t="s">
        <v>12518</v>
      </c>
      <c r="B10364">
        <v>10.6</v>
      </c>
    </row>
    <row r="10365" spans="1:3" ht="15" customHeight="1" x14ac:dyDescent="0.25">
      <c r="A10365" t="s">
        <v>12519</v>
      </c>
      <c r="B10365">
        <v>12.5</v>
      </c>
    </row>
    <row r="10366" spans="1:3" ht="15" customHeight="1" x14ac:dyDescent="0.25">
      <c r="A10366" t="s">
        <v>12520</v>
      </c>
      <c r="B10366">
        <v>12.5</v>
      </c>
    </row>
    <row r="10367" spans="1:3" ht="15" customHeight="1" x14ac:dyDescent="0.25">
      <c r="A10367" t="s">
        <v>12521</v>
      </c>
      <c r="B10367">
        <v>12.5</v>
      </c>
    </row>
    <row r="10368" spans="1:3" ht="15" customHeight="1" x14ac:dyDescent="0.25">
      <c r="A10368" t="s">
        <v>12522</v>
      </c>
      <c r="B10368">
        <v>12.5</v>
      </c>
    </row>
    <row r="10369" spans="1:3" ht="15" customHeight="1" x14ac:dyDescent="0.25">
      <c r="A10369" t="s">
        <v>723</v>
      </c>
      <c r="B10369">
        <v>31.5</v>
      </c>
      <c r="C10369">
        <v>0.05</v>
      </c>
    </row>
    <row r="10370" spans="1:3" ht="15" customHeight="1" x14ac:dyDescent="0.25">
      <c r="A10370" t="s">
        <v>12523</v>
      </c>
      <c r="B10370">
        <v>31.5</v>
      </c>
      <c r="C10370">
        <v>0.05</v>
      </c>
    </row>
    <row r="10371" spans="1:3" ht="15" customHeight="1" x14ac:dyDescent="0.25">
      <c r="A10371" t="s">
        <v>152</v>
      </c>
      <c r="B10371">
        <v>31.5</v>
      </c>
      <c r="C10371">
        <v>0.01</v>
      </c>
    </row>
    <row r="10372" spans="1:3" ht="15" customHeight="1" x14ac:dyDescent="0.25">
      <c r="A10372" t="s">
        <v>149</v>
      </c>
      <c r="B10372">
        <v>31.5</v>
      </c>
      <c r="C10372">
        <v>0.01</v>
      </c>
    </row>
    <row r="10373" spans="1:3" ht="15" customHeight="1" x14ac:dyDescent="0.25">
      <c r="A10373" t="s">
        <v>12524</v>
      </c>
      <c r="B10373">
        <v>31.5</v>
      </c>
      <c r="C10373">
        <v>0.05</v>
      </c>
    </row>
    <row r="10374" spans="1:3" ht="15" customHeight="1" x14ac:dyDescent="0.25">
      <c r="A10374" t="s">
        <v>1158</v>
      </c>
      <c r="B10374">
        <v>35.4</v>
      </c>
      <c r="C10374">
        <v>0.01</v>
      </c>
    </row>
    <row r="10375" spans="1:3" ht="15" customHeight="1" x14ac:dyDescent="0.25">
      <c r="A10375" t="s">
        <v>213</v>
      </c>
      <c r="B10375">
        <v>35.4</v>
      </c>
      <c r="C10375">
        <v>0.01</v>
      </c>
    </row>
    <row r="10376" spans="1:3" ht="15" customHeight="1" x14ac:dyDescent="0.25">
      <c r="A10376" t="s">
        <v>12525</v>
      </c>
      <c r="B10376">
        <v>43.4</v>
      </c>
      <c r="C10376">
        <v>0.01</v>
      </c>
    </row>
    <row r="10377" spans="1:3" ht="15" customHeight="1" x14ac:dyDescent="0.25">
      <c r="A10377" t="s">
        <v>950</v>
      </c>
      <c r="B10377">
        <v>43.4</v>
      </c>
      <c r="C10377">
        <v>0.01</v>
      </c>
    </row>
    <row r="10378" spans="1:3" ht="15" customHeight="1" x14ac:dyDescent="0.25">
      <c r="A10378" t="s">
        <v>12526</v>
      </c>
      <c r="B10378">
        <v>40.4</v>
      </c>
    </row>
    <row r="10379" spans="1:3" ht="15" customHeight="1" x14ac:dyDescent="0.25">
      <c r="A10379" t="s">
        <v>12527</v>
      </c>
      <c r="B10379">
        <v>40.4</v>
      </c>
    </row>
    <row r="10380" spans="1:3" ht="15" customHeight="1" x14ac:dyDescent="0.25">
      <c r="A10380" t="s">
        <v>12528</v>
      </c>
      <c r="B10380">
        <v>40.4</v>
      </c>
    </row>
    <row r="10381" spans="1:3" ht="15" customHeight="1" x14ac:dyDescent="0.25">
      <c r="A10381" t="s">
        <v>12529</v>
      </c>
      <c r="B10381">
        <v>40.4</v>
      </c>
    </row>
    <row r="10382" spans="1:3" ht="15" customHeight="1" x14ac:dyDescent="0.25">
      <c r="A10382" t="s">
        <v>194</v>
      </c>
      <c r="B10382">
        <v>31.5</v>
      </c>
      <c r="C10382">
        <v>0.01</v>
      </c>
    </row>
    <row r="10383" spans="1:3" ht="15" customHeight="1" x14ac:dyDescent="0.25">
      <c r="A10383" t="s">
        <v>191</v>
      </c>
      <c r="B10383">
        <v>31.5</v>
      </c>
      <c r="C10383">
        <v>0.01</v>
      </c>
    </row>
    <row r="10384" spans="1:3" ht="15" customHeight="1" x14ac:dyDescent="0.25">
      <c r="A10384" t="s">
        <v>12530</v>
      </c>
      <c r="B10384">
        <v>31.5</v>
      </c>
      <c r="C10384">
        <v>0.01</v>
      </c>
    </row>
    <row r="10385" spans="1:3" ht="15" customHeight="1" x14ac:dyDescent="0.25">
      <c r="A10385" t="s">
        <v>433</v>
      </c>
      <c r="B10385">
        <v>41.5</v>
      </c>
      <c r="C10385">
        <v>0.01</v>
      </c>
    </row>
    <row r="10386" spans="1:3" ht="15" customHeight="1" x14ac:dyDescent="0.25">
      <c r="A10386" t="s">
        <v>12531</v>
      </c>
      <c r="B10386">
        <v>41.5</v>
      </c>
      <c r="C10386">
        <v>0.01</v>
      </c>
    </row>
    <row r="10387" spans="1:3" ht="15" customHeight="1" x14ac:dyDescent="0.25">
      <c r="A10387" t="s">
        <v>12532</v>
      </c>
      <c r="B10387">
        <v>43.7</v>
      </c>
      <c r="C10387">
        <v>0.01</v>
      </c>
    </row>
    <row r="10388" spans="1:3" ht="15" customHeight="1" x14ac:dyDescent="0.25">
      <c r="A10388" t="s">
        <v>2075</v>
      </c>
      <c r="B10388">
        <v>43.7</v>
      </c>
      <c r="C10388">
        <v>0.01</v>
      </c>
    </row>
    <row r="10389" spans="1:3" ht="15" customHeight="1" x14ac:dyDescent="0.25">
      <c r="A10389" t="s">
        <v>12533</v>
      </c>
      <c r="B10389">
        <v>9.6999999999999993</v>
      </c>
    </row>
    <row r="10390" spans="1:3" ht="15" customHeight="1" x14ac:dyDescent="0.25">
      <c r="A10390" t="s">
        <v>12534</v>
      </c>
      <c r="B10390">
        <v>9.6999999999999993</v>
      </c>
    </row>
    <row r="10391" spans="1:3" ht="15" customHeight="1" x14ac:dyDescent="0.25">
      <c r="A10391" t="s">
        <v>12535</v>
      </c>
      <c r="B10391">
        <v>27.4</v>
      </c>
      <c r="C10391">
        <v>0.4</v>
      </c>
    </row>
    <row r="10392" spans="1:3" ht="15" customHeight="1" x14ac:dyDescent="0.25">
      <c r="A10392" t="s">
        <v>12536</v>
      </c>
      <c r="B10392">
        <v>31.6</v>
      </c>
    </row>
    <row r="10393" spans="1:3" ht="15" customHeight="1" x14ac:dyDescent="0.25">
      <c r="A10393" t="s">
        <v>1125</v>
      </c>
      <c r="B10393">
        <v>27.4</v>
      </c>
      <c r="C10393">
        <v>0.4</v>
      </c>
    </row>
    <row r="10394" spans="1:3" ht="15" customHeight="1" x14ac:dyDescent="0.25">
      <c r="A10394" t="s">
        <v>12537</v>
      </c>
      <c r="B10394">
        <v>31.6</v>
      </c>
      <c r="C10394">
        <v>0.4</v>
      </c>
    </row>
    <row r="10395" spans="1:3" ht="15" customHeight="1" x14ac:dyDescent="0.25">
      <c r="A10395" t="s">
        <v>12538</v>
      </c>
      <c r="B10395">
        <v>27.4</v>
      </c>
      <c r="C10395">
        <v>0.4</v>
      </c>
    </row>
    <row r="10396" spans="1:3" ht="15" customHeight="1" x14ac:dyDescent="0.25">
      <c r="A10396" t="s">
        <v>12539</v>
      </c>
      <c r="B10396">
        <v>31.6</v>
      </c>
      <c r="C10396">
        <v>0.4</v>
      </c>
    </row>
    <row r="10397" spans="1:3" ht="15" customHeight="1" x14ac:dyDescent="0.25">
      <c r="A10397" t="s">
        <v>12540</v>
      </c>
      <c r="B10397">
        <v>27.4</v>
      </c>
      <c r="C10397">
        <v>0.4</v>
      </c>
    </row>
    <row r="10398" spans="1:3" ht="15" customHeight="1" x14ac:dyDescent="0.25">
      <c r="A10398" t="s">
        <v>12541</v>
      </c>
      <c r="B10398">
        <v>27.4</v>
      </c>
      <c r="C10398">
        <v>0.4</v>
      </c>
    </row>
    <row r="10399" spans="1:3" ht="15" customHeight="1" x14ac:dyDescent="0.25">
      <c r="A10399" t="s">
        <v>12542</v>
      </c>
      <c r="B10399">
        <v>31.6</v>
      </c>
      <c r="C10399">
        <v>0.4</v>
      </c>
    </row>
    <row r="10400" spans="1:3" ht="15" customHeight="1" x14ac:dyDescent="0.25">
      <c r="A10400" t="s">
        <v>12543</v>
      </c>
      <c r="B10400">
        <v>27.4</v>
      </c>
      <c r="C10400">
        <v>0.4</v>
      </c>
    </row>
    <row r="10401" spans="1:3" ht="15" customHeight="1" x14ac:dyDescent="0.25">
      <c r="A10401" t="s">
        <v>12544</v>
      </c>
      <c r="B10401">
        <v>31.6</v>
      </c>
      <c r="C10401">
        <v>0.4</v>
      </c>
    </row>
    <row r="10402" spans="1:3" ht="15" customHeight="1" x14ac:dyDescent="0.25">
      <c r="A10402" t="s">
        <v>12545</v>
      </c>
      <c r="B10402">
        <v>27.4</v>
      </c>
    </row>
    <row r="10403" spans="1:3" ht="15" customHeight="1" x14ac:dyDescent="0.25">
      <c r="A10403" t="s">
        <v>12546</v>
      </c>
      <c r="B10403">
        <v>31.6</v>
      </c>
      <c r="C10403">
        <v>0.4</v>
      </c>
    </row>
    <row r="10404" spans="1:3" ht="15" customHeight="1" x14ac:dyDescent="0.25">
      <c r="A10404" t="s">
        <v>12547</v>
      </c>
      <c r="B10404">
        <v>27.4</v>
      </c>
      <c r="C10404">
        <v>0.4</v>
      </c>
    </row>
    <row r="10405" spans="1:3" ht="15" customHeight="1" x14ac:dyDescent="0.25">
      <c r="A10405" t="s">
        <v>12548</v>
      </c>
      <c r="B10405">
        <v>31.6</v>
      </c>
      <c r="C10405">
        <v>0.4</v>
      </c>
    </row>
    <row r="10406" spans="1:3" ht="15" customHeight="1" x14ac:dyDescent="0.25">
      <c r="A10406" t="s">
        <v>12549</v>
      </c>
      <c r="B10406">
        <v>27.4</v>
      </c>
      <c r="C10406">
        <v>0.4</v>
      </c>
    </row>
    <row r="10407" spans="1:3" ht="15" customHeight="1" x14ac:dyDescent="0.25">
      <c r="A10407" t="s">
        <v>12550</v>
      </c>
      <c r="B10407">
        <v>31.6</v>
      </c>
      <c r="C10407">
        <v>0.4</v>
      </c>
    </row>
    <row r="10408" spans="1:3" ht="15" customHeight="1" x14ac:dyDescent="0.25">
      <c r="A10408" t="s">
        <v>12551</v>
      </c>
      <c r="B10408">
        <v>27.4</v>
      </c>
      <c r="C10408">
        <v>0.4</v>
      </c>
    </row>
    <row r="10409" spans="1:3" ht="15" customHeight="1" x14ac:dyDescent="0.25">
      <c r="A10409" t="s">
        <v>12552</v>
      </c>
      <c r="B10409">
        <v>31.6</v>
      </c>
      <c r="C10409">
        <v>0.4</v>
      </c>
    </row>
    <row r="10410" spans="1:3" ht="15" customHeight="1" x14ac:dyDescent="0.25">
      <c r="A10410" t="s">
        <v>12553</v>
      </c>
      <c r="B10410">
        <v>27.4</v>
      </c>
      <c r="C10410">
        <v>0.4</v>
      </c>
    </row>
    <row r="10411" spans="1:3" ht="15" customHeight="1" x14ac:dyDescent="0.25">
      <c r="A10411" t="s">
        <v>12554</v>
      </c>
      <c r="B10411">
        <v>31.6</v>
      </c>
      <c r="C10411">
        <v>0.4</v>
      </c>
    </row>
    <row r="10412" spans="1:3" ht="15" customHeight="1" x14ac:dyDescent="0.25">
      <c r="A10412" t="s">
        <v>653</v>
      </c>
      <c r="B10412">
        <v>10.5</v>
      </c>
      <c r="C10412">
        <v>0.01</v>
      </c>
    </row>
    <row r="10413" spans="1:3" ht="15" customHeight="1" x14ac:dyDescent="0.25">
      <c r="A10413" t="s">
        <v>1144</v>
      </c>
      <c r="B10413">
        <v>13.1</v>
      </c>
      <c r="C10413">
        <v>0.01</v>
      </c>
    </row>
    <row r="10414" spans="1:3" ht="15" customHeight="1" x14ac:dyDescent="0.25">
      <c r="A10414" t="s">
        <v>1165</v>
      </c>
      <c r="B10414">
        <v>10.5</v>
      </c>
      <c r="C10414">
        <v>0.01</v>
      </c>
    </row>
    <row r="10415" spans="1:3" ht="15" customHeight="1" x14ac:dyDescent="0.25">
      <c r="A10415" t="s">
        <v>1990</v>
      </c>
      <c r="B10415">
        <v>13.1</v>
      </c>
      <c r="C10415">
        <v>0.01</v>
      </c>
    </row>
    <row r="10416" spans="1:3" ht="15" customHeight="1" x14ac:dyDescent="0.25">
      <c r="A10416" t="s">
        <v>243</v>
      </c>
      <c r="B10416">
        <v>10.5</v>
      </c>
      <c r="C10416">
        <v>0.01</v>
      </c>
    </row>
    <row r="10417" spans="1:3" ht="15" customHeight="1" x14ac:dyDescent="0.25">
      <c r="A10417" t="s">
        <v>205</v>
      </c>
      <c r="B10417">
        <v>14.8</v>
      </c>
      <c r="C10417">
        <v>0.01</v>
      </c>
    </row>
    <row r="10418" spans="1:3" ht="15" customHeight="1" x14ac:dyDescent="0.25">
      <c r="A10418" t="s">
        <v>554</v>
      </c>
      <c r="B10418">
        <v>13.1</v>
      </c>
      <c r="C10418">
        <v>0.01</v>
      </c>
    </row>
    <row r="10419" spans="1:3" ht="15" customHeight="1" x14ac:dyDescent="0.25">
      <c r="A10419" t="s">
        <v>993</v>
      </c>
      <c r="B10419">
        <v>10.5</v>
      </c>
      <c r="C10419">
        <v>0.01</v>
      </c>
    </row>
    <row r="10420" spans="1:3" ht="15" customHeight="1" x14ac:dyDescent="0.25">
      <c r="A10420" t="s">
        <v>972</v>
      </c>
      <c r="B10420">
        <v>13.1</v>
      </c>
      <c r="C10420">
        <v>0.01</v>
      </c>
    </row>
    <row r="10421" spans="1:3" ht="15" customHeight="1" x14ac:dyDescent="0.25">
      <c r="A10421" t="s">
        <v>1364</v>
      </c>
      <c r="B10421">
        <v>10.5</v>
      </c>
      <c r="C10421">
        <v>0.01</v>
      </c>
    </row>
    <row r="10422" spans="1:3" ht="15" customHeight="1" x14ac:dyDescent="0.25">
      <c r="A10422" t="s">
        <v>394</v>
      </c>
      <c r="B10422">
        <v>13.1</v>
      </c>
      <c r="C10422">
        <v>0.01</v>
      </c>
    </row>
    <row r="10423" spans="1:3" ht="15" customHeight="1" x14ac:dyDescent="0.25">
      <c r="A10423" t="s">
        <v>1669</v>
      </c>
      <c r="B10423">
        <v>10.5</v>
      </c>
      <c r="C10423">
        <v>0.01</v>
      </c>
    </row>
    <row r="10424" spans="1:3" ht="15" customHeight="1" x14ac:dyDescent="0.25">
      <c r="A10424" t="s">
        <v>1802</v>
      </c>
      <c r="B10424">
        <v>14.8</v>
      </c>
      <c r="C10424">
        <v>0.01</v>
      </c>
    </row>
    <row r="10425" spans="1:3" ht="15" customHeight="1" x14ac:dyDescent="0.25">
      <c r="A10425" t="s">
        <v>399</v>
      </c>
      <c r="B10425">
        <v>13.1</v>
      </c>
      <c r="C10425">
        <v>0.01</v>
      </c>
    </row>
    <row r="10426" spans="1:3" ht="15" customHeight="1" x14ac:dyDescent="0.25">
      <c r="A10426" t="s">
        <v>773</v>
      </c>
      <c r="B10426">
        <v>10.5</v>
      </c>
      <c r="C10426">
        <v>0.01</v>
      </c>
    </row>
    <row r="10427" spans="1:3" ht="15" customHeight="1" x14ac:dyDescent="0.25">
      <c r="A10427" t="s">
        <v>2062</v>
      </c>
      <c r="B10427">
        <v>14.8</v>
      </c>
      <c r="C10427">
        <v>0.01</v>
      </c>
    </row>
    <row r="10428" spans="1:3" ht="15" customHeight="1" x14ac:dyDescent="0.25">
      <c r="A10428" t="s">
        <v>289</v>
      </c>
      <c r="B10428">
        <v>13.1</v>
      </c>
      <c r="C10428">
        <v>0.01</v>
      </c>
    </row>
    <row r="10429" spans="1:3" ht="15" customHeight="1" x14ac:dyDescent="0.25">
      <c r="A10429" t="s">
        <v>320</v>
      </c>
      <c r="B10429">
        <v>10.5</v>
      </c>
      <c r="C10429">
        <v>0.01</v>
      </c>
    </row>
    <row r="10430" spans="1:3" ht="15" customHeight="1" x14ac:dyDescent="0.25">
      <c r="A10430" t="s">
        <v>383</v>
      </c>
      <c r="B10430">
        <v>14.8</v>
      </c>
      <c r="C10430">
        <v>0.01</v>
      </c>
    </row>
    <row r="10431" spans="1:3" ht="15" customHeight="1" x14ac:dyDescent="0.25">
      <c r="A10431" t="s">
        <v>361</v>
      </c>
      <c r="B10431">
        <v>13.1</v>
      </c>
      <c r="C10431">
        <v>0.01</v>
      </c>
    </row>
    <row r="10432" spans="1:3" ht="15" customHeight="1" x14ac:dyDescent="0.25">
      <c r="A10432" t="s">
        <v>242</v>
      </c>
      <c r="B10432">
        <v>10.5</v>
      </c>
      <c r="C10432">
        <v>0.01</v>
      </c>
    </row>
    <row r="10433" spans="1:3" ht="15" customHeight="1" x14ac:dyDescent="0.25">
      <c r="A10433" t="s">
        <v>777</v>
      </c>
      <c r="B10433">
        <v>14.8</v>
      </c>
      <c r="C10433">
        <v>0.01</v>
      </c>
    </row>
    <row r="10434" spans="1:3" ht="15" customHeight="1" x14ac:dyDescent="0.25">
      <c r="A10434" t="s">
        <v>274</v>
      </c>
      <c r="B10434">
        <v>13.1</v>
      </c>
      <c r="C10434">
        <v>0.01</v>
      </c>
    </row>
    <row r="10435" spans="1:3" ht="15" customHeight="1" x14ac:dyDescent="0.25">
      <c r="A10435" t="s">
        <v>1766</v>
      </c>
      <c r="B10435">
        <v>10.5</v>
      </c>
      <c r="C10435">
        <v>0.01</v>
      </c>
    </row>
    <row r="10436" spans="1:3" ht="15" customHeight="1" x14ac:dyDescent="0.25">
      <c r="A10436" t="s">
        <v>903</v>
      </c>
      <c r="B10436">
        <v>13.1</v>
      </c>
      <c r="C10436">
        <v>0.01</v>
      </c>
    </row>
    <row r="10437" spans="1:3" ht="15" customHeight="1" x14ac:dyDescent="0.25">
      <c r="A10437" t="s">
        <v>413</v>
      </c>
      <c r="B10437">
        <v>10.5</v>
      </c>
      <c r="C10437">
        <v>0.01</v>
      </c>
    </row>
    <row r="10438" spans="1:3" ht="15" customHeight="1" x14ac:dyDescent="0.25">
      <c r="A10438" t="s">
        <v>204</v>
      </c>
      <c r="B10438">
        <v>14.8</v>
      </c>
      <c r="C10438">
        <v>0.01</v>
      </c>
    </row>
    <row r="10439" spans="1:3" ht="15" customHeight="1" x14ac:dyDescent="0.25">
      <c r="A10439" t="s">
        <v>505</v>
      </c>
      <c r="B10439">
        <v>13.1</v>
      </c>
      <c r="C10439">
        <v>0.01</v>
      </c>
    </row>
    <row r="10440" spans="1:3" ht="15" customHeight="1" x14ac:dyDescent="0.25">
      <c r="A10440" t="s">
        <v>565</v>
      </c>
      <c r="B10440">
        <v>10.6</v>
      </c>
      <c r="C10440">
        <v>0.01</v>
      </c>
    </row>
    <row r="10441" spans="1:3" ht="15" customHeight="1" x14ac:dyDescent="0.25">
      <c r="A10441" t="s">
        <v>206</v>
      </c>
      <c r="B10441">
        <v>14.9</v>
      </c>
      <c r="C10441">
        <v>0.01</v>
      </c>
    </row>
    <row r="10442" spans="1:3" ht="15" customHeight="1" x14ac:dyDescent="0.25">
      <c r="A10442" t="s">
        <v>270</v>
      </c>
      <c r="B10442">
        <v>13.2</v>
      </c>
      <c r="C10442">
        <v>0.01</v>
      </c>
    </row>
    <row r="10443" spans="1:3" ht="15" customHeight="1" x14ac:dyDescent="0.25">
      <c r="A10443" t="s">
        <v>766</v>
      </c>
      <c r="B10443">
        <v>10.6</v>
      </c>
      <c r="C10443">
        <v>0.01</v>
      </c>
    </row>
    <row r="10444" spans="1:3" ht="15" customHeight="1" x14ac:dyDescent="0.25">
      <c r="A10444" t="s">
        <v>1426</v>
      </c>
      <c r="B10444">
        <v>13.2</v>
      </c>
      <c r="C10444">
        <v>0.01</v>
      </c>
    </row>
    <row r="10445" spans="1:3" ht="15" customHeight="1" x14ac:dyDescent="0.25">
      <c r="A10445" t="s">
        <v>518</v>
      </c>
      <c r="B10445">
        <v>10.6</v>
      </c>
      <c r="C10445">
        <v>0.01</v>
      </c>
    </row>
    <row r="10446" spans="1:3" ht="15" customHeight="1" x14ac:dyDescent="0.25">
      <c r="A10446" t="s">
        <v>594</v>
      </c>
      <c r="B10446">
        <v>14.9</v>
      </c>
      <c r="C10446">
        <v>0.01</v>
      </c>
    </row>
    <row r="10447" spans="1:3" ht="15" customHeight="1" x14ac:dyDescent="0.25">
      <c r="A10447" t="s">
        <v>309</v>
      </c>
      <c r="B10447">
        <v>13.2</v>
      </c>
      <c r="C10447">
        <v>0.01</v>
      </c>
    </row>
    <row r="10448" spans="1:3" ht="15" customHeight="1" x14ac:dyDescent="0.25">
      <c r="A10448" t="s">
        <v>239</v>
      </c>
      <c r="B10448">
        <v>10.6</v>
      </c>
      <c r="C10448">
        <v>0.01</v>
      </c>
    </row>
    <row r="10449" spans="1:3" ht="15" customHeight="1" x14ac:dyDescent="0.25">
      <c r="A10449" t="s">
        <v>858</v>
      </c>
      <c r="B10449">
        <v>14.9</v>
      </c>
      <c r="C10449">
        <v>0.01</v>
      </c>
    </row>
    <row r="10450" spans="1:3" ht="15" customHeight="1" x14ac:dyDescent="0.25">
      <c r="A10450" t="s">
        <v>547</v>
      </c>
      <c r="B10450">
        <v>13.2</v>
      </c>
      <c r="C10450">
        <v>0.01</v>
      </c>
    </row>
    <row r="10451" spans="1:3" ht="15" customHeight="1" x14ac:dyDescent="0.25">
      <c r="A10451" t="s">
        <v>236</v>
      </c>
      <c r="B10451">
        <v>10.7</v>
      </c>
      <c r="C10451">
        <v>0.01</v>
      </c>
    </row>
    <row r="10452" spans="1:3" ht="15" customHeight="1" x14ac:dyDescent="0.25">
      <c r="A10452" t="s">
        <v>159</v>
      </c>
      <c r="B10452">
        <v>15</v>
      </c>
      <c r="C10452">
        <v>0.01</v>
      </c>
    </row>
    <row r="10453" spans="1:3" ht="15" customHeight="1" x14ac:dyDescent="0.25">
      <c r="A10453" t="s">
        <v>429</v>
      </c>
      <c r="B10453">
        <v>13.5</v>
      </c>
      <c r="C10453">
        <v>0.01</v>
      </c>
    </row>
    <row r="10454" spans="1:3" ht="15" customHeight="1" x14ac:dyDescent="0.25">
      <c r="A10454" t="s">
        <v>233</v>
      </c>
      <c r="B10454">
        <v>10.7</v>
      </c>
      <c r="C10454">
        <v>0.01</v>
      </c>
    </row>
    <row r="10455" spans="1:3" ht="15" customHeight="1" x14ac:dyDescent="0.25">
      <c r="A10455" t="s">
        <v>136</v>
      </c>
      <c r="B10455">
        <v>15</v>
      </c>
      <c r="C10455">
        <v>0.01</v>
      </c>
    </row>
    <row r="10456" spans="1:3" ht="15" customHeight="1" x14ac:dyDescent="0.25">
      <c r="A10456" t="s">
        <v>469</v>
      </c>
      <c r="B10456">
        <v>13.5</v>
      </c>
      <c r="C10456">
        <v>0.01</v>
      </c>
    </row>
    <row r="10457" spans="1:3" ht="15" customHeight="1" x14ac:dyDescent="0.25">
      <c r="A10457" t="s">
        <v>12555</v>
      </c>
      <c r="B10457">
        <v>11.3</v>
      </c>
    </row>
    <row r="10458" spans="1:3" ht="15" customHeight="1" x14ac:dyDescent="0.25">
      <c r="A10458" t="s">
        <v>12556</v>
      </c>
      <c r="B10458">
        <v>12.3</v>
      </c>
    </row>
    <row r="10459" spans="1:3" ht="15" customHeight="1" x14ac:dyDescent="0.25">
      <c r="A10459" t="s">
        <v>678</v>
      </c>
      <c r="B10459">
        <v>11.3</v>
      </c>
      <c r="C10459">
        <v>0.01</v>
      </c>
    </row>
    <row r="10460" spans="1:3" ht="15" customHeight="1" x14ac:dyDescent="0.25">
      <c r="A10460" t="s">
        <v>12557</v>
      </c>
      <c r="B10460">
        <v>12.3</v>
      </c>
      <c r="C10460">
        <v>0.01</v>
      </c>
    </row>
    <row r="10461" spans="1:3" ht="15" customHeight="1" x14ac:dyDescent="0.25">
      <c r="A10461" t="s">
        <v>762</v>
      </c>
      <c r="B10461">
        <v>11.3</v>
      </c>
      <c r="C10461">
        <v>0.01</v>
      </c>
    </row>
    <row r="10462" spans="1:3" ht="15" customHeight="1" x14ac:dyDescent="0.25">
      <c r="A10462" t="s">
        <v>244</v>
      </c>
      <c r="B10462">
        <v>12.4</v>
      </c>
      <c r="C10462">
        <v>0.01</v>
      </c>
    </row>
    <row r="10463" spans="1:3" ht="15" customHeight="1" x14ac:dyDescent="0.25">
      <c r="A10463" t="s">
        <v>179</v>
      </c>
      <c r="B10463">
        <v>11.3</v>
      </c>
      <c r="C10463">
        <v>0.01</v>
      </c>
    </row>
    <row r="10464" spans="1:3" ht="15" customHeight="1" x14ac:dyDescent="0.25">
      <c r="A10464" t="s">
        <v>281</v>
      </c>
      <c r="B10464">
        <v>15</v>
      </c>
      <c r="C10464">
        <v>0.01</v>
      </c>
    </row>
    <row r="10465" spans="1:3" ht="15" customHeight="1" x14ac:dyDescent="0.25">
      <c r="A10465" t="s">
        <v>186</v>
      </c>
      <c r="B10465">
        <v>12.4</v>
      </c>
      <c r="C10465">
        <v>0.01</v>
      </c>
    </row>
    <row r="10466" spans="1:3" ht="15" customHeight="1" x14ac:dyDescent="0.25">
      <c r="A10466" t="s">
        <v>12558</v>
      </c>
      <c r="B10466">
        <v>7.7</v>
      </c>
    </row>
    <row r="10467" spans="1:3" ht="15" customHeight="1" x14ac:dyDescent="0.25">
      <c r="A10467" t="s">
        <v>12559</v>
      </c>
      <c r="B10467">
        <v>7.7</v>
      </c>
    </row>
    <row r="10468" spans="1:3" ht="15" customHeight="1" x14ac:dyDescent="0.25">
      <c r="A10468" t="s">
        <v>12560</v>
      </c>
      <c r="B10468">
        <v>7.7</v>
      </c>
      <c r="C10468">
        <v>0.25</v>
      </c>
    </row>
    <row r="10469" spans="1:3" ht="15" customHeight="1" x14ac:dyDescent="0.25">
      <c r="A10469" t="s">
        <v>12561</v>
      </c>
      <c r="B10469">
        <v>7.7</v>
      </c>
    </row>
    <row r="10470" spans="1:3" ht="15" customHeight="1" x14ac:dyDescent="0.25">
      <c r="A10470" t="s">
        <v>12562</v>
      </c>
      <c r="B10470">
        <v>7.7</v>
      </c>
    </row>
    <row r="10471" spans="1:3" ht="15" customHeight="1" x14ac:dyDescent="0.25">
      <c r="A10471" t="s">
        <v>12563</v>
      </c>
      <c r="B10471">
        <v>7.7</v>
      </c>
    </row>
    <row r="10472" spans="1:3" ht="15" customHeight="1" x14ac:dyDescent="0.25">
      <c r="A10472" t="s">
        <v>12564</v>
      </c>
      <c r="B10472">
        <v>7.7</v>
      </c>
      <c r="C10472">
        <v>0.25</v>
      </c>
    </row>
    <row r="10473" spans="1:3" ht="15" customHeight="1" x14ac:dyDescent="0.25">
      <c r="A10473" t="s">
        <v>12565</v>
      </c>
      <c r="B10473">
        <v>7.7</v>
      </c>
    </row>
    <row r="10474" spans="1:3" ht="15" customHeight="1" x14ac:dyDescent="0.25">
      <c r="A10474" t="s">
        <v>12566</v>
      </c>
      <c r="B10474">
        <v>7.7</v>
      </c>
    </row>
    <row r="10475" spans="1:3" ht="15" customHeight="1" x14ac:dyDescent="0.25">
      <c r="A10475" t="s">
        <v>12567</v>
      </c>
      <c r="B10475">
        <v>7.7</v>
      </c>
    </row>
    <row r="10476" spans="1:3" ht="15" customHeight="1" x14ac:dyDescent="0.25">
      <c r="A10476" t="s">
        <v>12568</v>
      </c>
      <c r="B10476">
        <v>7.7</v>
      </c>
    </row>
    <row r="10477" spans="1:3" ht="15" customHeight="1" x14ac:dyDescent="0.25">
      <c r="A10477" t="s">
        <v>12569</v>
      </c>
      <c r="B10477">
        <v>28.4</v>
      </c>
    </row>
    <row r="10478" spans="1:3" ht="15" customHeight="1" x14ac:dyDescent="0.25">
      <c r="A10478" t="s">
        <v>12570</v>
      </c>
      <c r="B10478">
        <v>37.4</v>
      </c>
    </row>
    <row r="10479" spans="1:3" ht="15" customHeight="1" x14ac:dyDescent="0.25">
      <c r="A10479" t="s">
        <v>12571</v>
      </c>
      <c r="B10479">
        <v>18.600000000000001</v>
      </c>
    </row>
    <row r="10480" spans="1:3" ht="15" customHeight="1" x14ac:dyDescent="0.25">
      <c r="A10480" t="s">
        <v>12572</v>
      </c>
      <c r="B10480">
        <v>9.1999999999999993</v>
      </c>
    </row>
    <row r="10481" spans="1:3" ht="15" customHeight="1" x14ac:dyDescent="0.25">
      <c r="A10481" t="s">
        <v>12573</v>
      </c>
      <c r="B10481">
        <v>9.1999999999999993</v>
      </c>
      <c r="C10481">
        <v>0.25</v>
      </c>
    </row>
    <row r="10482" spans="1:3" ht="15" customHeight="1" x14ac:dyDescent="0.25">
      <c r="A10482" t="s">
        <v>12574</v>
      </c>
      <c r="B10482">
        <v>9.1999999999999993</v>
      </c>
    </row>
    <row r="10483" spans="1:3" ht="15" customHeight="1" x14ac:dyDescent="0.25">
      <c r="A10483" t="s">
        <v>12575</v>
      </c>
      <c r="B10483">
        <v>9.1999999999999993</v>
      </c>
    </row>
    <row r="10484" spans="1:3" ht="15" customHeight="1" x14ac:dyDescent="0.25">
      <c r="A10484" t="s">
        <v>12576</v>
      </c>
      <c r="B10484">
        <v>9.1999999999999993</v>
      </c>
      <c r="C10484">
        <v>0.25</v>
      </c>
    </row>
    <row r="10485" spans="1:3" ht="15" customHeight="1" x14ac:dyDescent="0.25">
      <c r="A10485" t="s">
        <v>12577</v>
      </c>
      <c r="B10485">
        <v>9.1999999999999993</v>
      </c>
    </row>
    <row r="10486" spans="1:3" ht="15" customHeight="1" x14ac:dyDescent="0.25">
      <c r="A10486" t="s">
        <v>12578</v>
      </c>
      <c r="B10486">
        <v>9.1999999999999993</v>
      </c>
      <c r="C10486">
        <v>0.25</v>
      </c>
    </row>
    <row r="10487" spans="1:3" ht="15" customHeight="1" x14ac:dyDescent="0.25">
      <c r="A10487" t="s">
        <v>12579</v>
      </c>
      <c r="B10487">
        <v>9.1999999999999993</v>
      </c>
    </row>
    <row r="10488" spans="1:3" ht="15" customHeight="1" x14ac:dyDescent="0.25">
      <c r="A10488" t="s">
        <v>12580</v>
      </c>
      <c r="B10488">
        <v>9.1999999999999993</v>
      </c>
      <c r="C10488">
        <v>0.25</v>
      </c>
    </row>
    <row r="10489" spans="1:3" ht="15" customHeight="1" x14ac:dyDescent="0.25">
      <c r="A10489" t="s">
        <v>12581</v>
      </c>
      <c r="B10489">
        <v>9.1999999999999993</v>
      </c>
    </row>
    <row r="10490" spans="1:3" ht="15" customHeight="1" x14ac:dyDescent="0.25">
      <c r="A10490" t="s">
        <v>12582</v>
      </c>
      <c r="B10490">
        <v>9.1999999999999993</v>
      </c>
    </row>
    <row r="10491" spans="1:3" ht="15" customHeight="1" x14ac:dyDescent="0.25">
      <c r="A10491" t="s">
        <v>12583</v>
      </c>
      <c r="B10491">
        <v>11</v>
      </c>
      <c r="C10491">
        <v>0.25</v>
      </c>
    </row>
    <row r="10492" spans="1:3" ht="15" customHeight="1" x14ac:dyDescent="0.25">
      <c r="A10492" t="s">
        <v>12584</v>
      </c>
      <c r="B10492">
        <v>13.7</v>
      </c>
      <c r="C10492">
        <v>0.25</v>
      </c>
    </row>
    <row r="10493" spans="1:3" ht="15" customHeight="1" x14ac:dyDescent="0.25">
      <c r="A10493" t="s">
        <v>12585</v>
      </c>
      <c r="B10493">
        <v>11</v>
      </c>
      <c r="C10493">
        <v>0.25</v>
      </c>
    </row>
    <row r="10494" spans="1:3" ht="15" customHeight="1" x14ac:dyDescent="0.25">
      <c r="A10494" t="s">
        <v>12586</v>
      </c>
      <c r="B10494">
        <v>13.7</v>
      </c>
      <c r="C10494">
        <v>0.25</v>
      </c>
    </row>
    <row r="10495" spans="1:3" ht="15" customHeight="1" x14ac:dyDescent="0.25">
      <c r="A10495" t="s">
        <v>12587</v>
      </c>
      <c r="B10495">
        <v>11</v>
      </c>
      <c r="C10495">
        <v>0.25</v>
      </c>
    </row>
    <row r="10496" spans="1:3" ht="15" customHeight="1" x14ac:dyDescent="0.25">
      <c r="A10496" t="s">
        <v>12588</v>
      </c>
      <c r="B10496">
        <v>13.7</v>
      </c>
      <c r="C10496">
        <v>0.25</v>
      </c>
    </row>
    <row r="10497" spans="1:3" ht="15" customHeight="1" x14ac:dyDescent="0.25">
      <c r="A10497" t="s">
        <v>12589</v>
      </c>
      <c r="B10497">
        <v>11</v>
      </c>
      <c r="C10497">
        <v>0.25</v>
      </c>
    </row>
    <row r="10498" spans="1:3" ht="15" customHeight="1" x14ac:dyDescent="0.25">
      <c r="A10498" t="s">
        <v>12590</v>
      </c>
      <c r="B10498">
        <v>13.7</v>
      </c>
      <c r="C10498">
        <v>0.25</v>
      </c>
    </row>
    <row r="10499" spans="1:3" ht="15" customHeight="1" x14ac:dyDescent="0.25">
      <c r="A10499" t="s">
        <v>12591</v>
      </c>
      <c r="B10499">
        <v>11</v>
      </c>
      <c r="C10499">
        <v>0.25</v>
      </c>
    </row>
    <row r="10500" spans="1:3" ht="15" customHeight="1" x14ac:dyDescent="0.25">
      <c r="A10500" t="s">
        <v>12592</v>
      </c>
      <c r="B10500">
        <v>13.7</v>
      </c>
      <c r="C10500">
        <v>0.25</v>
      </c>
    </row>
    <row r="10501" spans="1:3" ht="15" customHeight="1" x14ac:dyDescent="0.25">
      <c r="A10501" t="s">
        <v>12593</v>
      </c>
      <c r="B10501">
        <v>11</v>
      </c>
      <c r="C10501">
        <v>0.25</v>
      </c>
    </row>
    <row r="10502" spans="1:3" ht="15" customHeight="1" x14ac:dyDescent="0.25">
      <c r="A10502" t="s">
        <v>12594</v>
      </c>
      <c r="B10502">
        <v>13.7</v>
      </c>
      <c r="C10502">
        <v>0.25</v>
      </c>
    </row>
    <row r="10503" spans="1:3" ht="15" customHeight="1" x14ac:dyDescent="0.25">
      <c r="A10503" t="s">
        <v>12595</v>
      </c>
      <c r="B10503">
        <v>11</v>
      </c>
      <c r="C10503">
        <v>0.25</v>
      </c>
    </row>
    <row r="10504" spans="1:3" ht="15" customHeight="1" x14ac:dyDescent="0.25">
      <c r="A10504" t="s">
        <v>12596</v>
      </c>
      <c r="B10504">
        <v>13.7</v>
      </c>
      <c r="C10504">
        <v>0.25</v>
      </c>
    </row>
    <row r="10505" spans="1:3" ht="15" customHeight="1" x14ac:dyDescent="0.25">
      <c r="A10505" t="s">
        <v>12597</v>
      </c>
      <c r="B10505">
        <v>11</v>
      </c>
      <c r="C10505">
        <v>0.25</v>
      </c>
    </row>
    <row r="10506" spans="1:3" ht="15" customHeight="1" x14ac:dyDescent="0.25">
      <c r="A10506" t="s">
        <v>12598</v>
      </c>
      <c r="B10506">
        <v>13.7</v>
      </c>
      <c r="C10506">
        <v>0.25</v>
      </c>
    </row>
    <row r="10507" spans="1:3" ht="15" customHeight="1" x14ac:dyDescent="0.25">
      <c r="A10507" t="s">
        <v>12599</v>
      </c>
      <c r="B10507">
        <v>11</v>
      </c>
      <c r="C10507">
        <v>0.25</v>
      </c>
    </row>
    <row r="10508" spans="1:3" ht="15" customHeight="1" x14ac:dyDescent="0.25">
      <c r="A10508" t="s">
        <v>12600</v>
      </c>
      <c r="B10508">
        <v>13.7</v>
      </c>
      <c r="C10508">
        <v>0.25</v>
      </c>
    </row>
    <row r="10509" spans="1:3" ht="15" customHeight="1" x14ac:dyDescent="0.25">
      <c r="A10509" t="s">
        <v>12601</v>
      </c>
      <c r="B10509">
        <v>11</v>
      </c>
      <c r="C10509">
        <v>0.25</v>
      </c>
    </row>
    <row r="10510" spans="1:3" ht="15" customHeight="1" x14ac:dyDescent="0.25">
      <c r="A10510" t="s">
        <v>12602</v>
      </c>
      <c r="B10510">
        <v>13.7</v>
      </c>
      <c r="C10510">
        <v>0.25</v>
      </c>
    </row>
    <row r="10511" spans="1:3" ht="15" customHeight="1" x14ac:dyDescent="0.25">
      <c r="A10511" t="s">
        <v>216</v>
      </c>
      <c r="B10511">
        <v>11.2</v>
      </c>
      <c r="C10511">
        <v>0.25</v>
      </c>
    </row>
    <row r="10512" spans="1:3" ht="15" customHeight="1" x14ac:dyDescent="0.25">
      <c r="A10512" t="s">
        <v>12603</v>
      </c>
      <c r="B10512">
        <v>14</v>
      </c>
      <c r="C10512">
        <v>0.25</v>
      </c>
    </row>
    <row r="10513" spans="1:3" ht="15" customHeight="1" x14ac:dyDescent="0.25">
      <c r="A10513" t="s">
        <v>12604</v>
      </c>
      <c r="B10513">
        <v>11.2</v>
      </c>
      <c r="C10513">
        <v>0.25</v>
      </c>
    </row>
    <row r="10514" spans="1:3" ht="15" customHeight="1" x14ac:dyDescent="0.25">
      <c r="A10514" t="s">
        <v>12605</v>
      </c>
      <c r="B10514">
        <v>14</v>
      </c>
      <c r="C10514">
        <v>0.25</v>
      </c>
    </row>
    <row r="10515" spans="1:3" ht="15" customHeight="1" x14ac:dyDescent="0.25">
      <c r="A10515" t="s">
        <v>12606</v>
      </c>
      <c r="B10515">
        <v>11</v>
      </c>
      <c r="C10515">
        <v>0.25</v>
      </c>
    </row>
    <row r="10516" spans="1:3" ht="15" customHeight="1" x14ac:dyDescent="0.25">
      <c r="A10516" t="s">
        <v>12607</v>
      </c>
      <c r="B10516">
        <v>13.7</v>
      </c>
      <c r="C10516">
        <v>0.25</v>
      </c>
    </row>
    <row r="10517" spans="1:3" ht="15" customHeight="1" x14ac:dyDescent="0.25">
      <c r="A10517" t="s">
        <v>12608</v>
      </c>
      <c r="B10517">
        <v>8.1999999999999993</v>
      </c>
      <c r="C10517">
        <v>0.25</v>
      </c>
    </row>
    <row r="10518" spans="1:3" ht="15" customHeight="1" x14ac:dyDescent="0.25">
      <c r="A10518" t="s">
        <v>12609</v>
      </c>
      <c r="B10518">
        <v>8.1999999999999993</v>
      </c>
      <c r="C10518">
        <v>0.25</v>
      </c>
    </row>
    <row r="10519" spans="1:3" ht="15" customHeight="1" x14ac:dyDescent="0.25">
      <c r="A10519" t="s">
        <v>12610</v>
      </c>
      <c r="B10519">
        <v>8.1999999999999993</v>
      </c>
      <c r="C10519">
        <v>0.25</v>
      </c>
    </row>
    <row r="10520" spans="1:3" ht="15" customHeight="1" x14ac:dyDescent="0.25">
      <c r="A10520" t="s">
        <v>12611</v>
      </c>
      <c r="B10520">
        <v>8.1999999999999993</v>
      </c>
    </row>
    <row r="10521" spans="1:3" ht="15" customHeight="1" x14ac:dyDescent="0.25">
      <c r="A10521" t="s">
        <v>12612</v>
      </c>
      <c r="B10521">
        <v>8.1999999999999993</v>
      </c>
    </row>
    <row r="10522" spans="1:3" ht="15" customHeight="1" x14ac:dyDescent="0.25">
      <c r="A10522" t="s">
        <v>12613</v>
      </c>
      <c r="B10522">
        <v>8.1999999999999993</v>
      </c>
      <c r="C10522">
        <v>0.25</v>
      </c>
    </row>
    <row r="10523" spans="1:3" ht="15" customHeight="1" x14ac:dyDescent="0.25">
      <c r="A10523" t="s">
        <v>12614</v>
      </c>
      <c r="B10523">
        <v>8.1999999999999993</v>
      </c>
      <c r="C10523">
        <v>0.25</v>
      </c>
    </row>
    <row r="10524" spans="1:3" ht="15" customHeight="1" x14ac:dyDescent="0.25">
      <c r="A10524" t="s">
        <v>12615</v>
      </c>
      <c r="B10524">
        <v>8.1999999999999993</v>
      </c>
    </row>
    <row r="10525" spans="1:3" ht="15" customHeight="1" x14ac:dyDescent="0.25">
      <c r="A10525" t="s">
        <v>12616</v>
      </c>
      <c r="B10525">
        <v>8.1999999999999993</v>
      </c>
    </row>
    <row r="10526" spans="1:3" ht="15" customHeight="1" x14ac:dyDescent="0.25">
      <c r="A10526" t="s">
        <v>12617</v>
      </c>
      <c r="B10526">
        <v>8.1999999999999993</v>
      </c>
    </row>
    <row r="10527" spans="1:3" ht="15" customHeight="1" x14ac:dyDescent="0.25">
      <c r="A10527" t="s">
        <v>12618</v>
      </c>
      <c r="B10527">
        <v>8.1999999999999993</v>
      </c>
    </row>
    <row r="10528" spans="1:3" ht="15" customHeight="1" x14ac:dyDescent="0.25">
      <c r="A10528" t="s">
        <v>12619</v>
      </c>
      <c r="B10528">
        <v>8.6999999999999993</v>
      </c>
      <c r="C10528">
        <v>0.05</v>
      </c>
    </row>
    <row r="10529" spans="1:3" ht="15" customHeight="1" x14ac:dyDescent="0.25">
      <c r="A10529" t="s">
        <v>12620</v>
      </c>
      <c r="B10529">
        <v>11.7</v>
      </c>
      <c r="C10529">
        <v>0.05</v>
      </c>
    </row>
    <row r="10530" spans="1:3" ht="15" customHeight="1" x14ac:dyDescent="0.25">
      <c r="A10530" t="s">
        <v>12621</v>
      </c>
      <c r="B10530">
        <v>8.6999999999999993</v>
      </c>
      <c r="C10530">
        <v>0.05</v>
      </c>
    </row>
    <row r="10531" spans="1:3" ht="15" customHeight="1" x14ac:dyDescent="0.25">
      <c r="A10531" t="s">
        <v>12622</v>
      </c>
      <c r="B10531">
        <v>11.7</v>
      </c>
      <c r="C10531">
        <v>0.05</v>
      </c>
    </row>
    <row r="10532" spans="1:3" ht="15" customHeight="1" x14ac:dyDescent="0.25">
      <c r="A10532" t="s">
        <v>911</v>
      </c>
      <c r="B10532">
        <v>8.6999999999999993</v>
      </c>
      <c r="C10532">
        <v>0.05</v>
      </c>
    </row>
    <row r="10533" spans="1:3" ht="15" customHeight="1" x14ac:dyDescent="0.25">
      <c r="A10533" t="s">
        <v>12623</v>
      </c>
      <c r="B10533">
        <v>11.7</v>
      </c>
      <c r="C10533">
        <v>0.05</v>
      </c>
    </row>
    <row r="10534" spans="1:3" ht="15" customHeight="1" x14ac:dyDescent="0.25">
      <c r="A10534" t="s">
        <v>12624</v>
      </c>
      <c r="B10534">
        <v>8.6999999999999993</v>
      </c>
      <c r="C10534">
        <v>0.05</v>
      </c>
    </row>
    <row r="10535" spans="1:3" ht="15" customHeight="1" x14ac:dyDescent="0.25">
      <c r="A10535" t="s">
        <v>1239</v>
      </c>
      <c r="B10535">
        <v>11.7</v>
      </c>
      <c r="C10535">
        <v>0.05</v>
      </c>
    </row>
    <row r="10536" spans="1:3" ht="15" customHeight="1" x14ac:dyDescent="0.25">
      <c r="A10536" t="s">
        <v>12625</v>
      </c>
      <c r="B10536">
        <v>8.6999999999999993</v>
      </c>
      <c r="C10536">
        <v>0.05</v>
      </c>
    </row>
    <row r="10537" spans="1:3" ht="15" customHeight="1" x14ac:dyDescent="0.25">
      <c r="A10537" t="s">
        <v>12626</v>
      </c>
      <c r="B10537">
        <v>11.7</v>
      </c>
      <c r="C10537">
        <v>0.05</v>
      </c>
    </row>
    <row r="10538" spans="1:3" ht="15" customHeight="1" x14ac:dyDescent="0.25">
      <c r="A10538" t="s">
        <v>12627</v>
      </c>
      <c r="B10538">
        <v>8.6999999999999993</v>
      </c>
      <c r="C10538">
        <v>0.05</v>
      </c>
    </row>
    <row r="10539" spans="1:3" ht="15" customHeight="1" x14ac:dyDescent="0.25">
      <c r="A10539" t="s">
        <v>12628</v>
      </c>
      <c r="B10539">
        <v>11.7</v>
      </c>
      <c r="C10539">
        <v>0.05</v>
      </c>
    </row>
    <row r="10540" spans="1:3" ht="15" customHeight="1" x14ac:dyDescent="0.25">
      <c r="A10540" t="s">
        <v>12629</v>
      </c>
      <c r="B10540">
        <v>8.8000000000000007</v>
      </c>
      <c r="C10540">
        <v>0.05</v>
      </c>
    </row>
    <row r="10541" spans="1:3" ht="15" customHeight="1" x14ac:dyDescent="0.25">
      <c r="A10541" t="s">
        <v>12630</v>
      </c>
      <c r="B10541">
        <v>11.9</v>
      </c>
      <c r="C10541">
        <v>0.05</v>
      </c>
    </row>
    <row r="10542" spans="1:3" ht="15" customHeight="1" x14ac:dyDescent="0.25">
      <c r="A10542" t="s">
        <v>12631</v>
      </c>
      <c r="B10542">
        <v>8.8000000000000007</v>
      </c>
      <c r="C10542">
        <v>0.05</v>
      </c>
    </row>
    <row r="10543" spans="1:3" ht="15" customHeight="1" x14ac:dyDescent="0.25">
      <c r="A10543" t="s">
        <v>12632</v>
      </c>
      <c r="B10543">
        <v>11.9</v>
      </c>
      <c r="C10543">
        <v>0.05</v>
      </c>
    </row>
    <row r="10544" spans="1:3" ht="15" customHeight="1" x14ac:dyDescent="0.25">
      <c r="A10544" t="s">
        <v>12633</v>
      </c>
      <c r="B10544">
        <v>8.8000000000000007</v>
      </c>
      <c r="C10544">
        <v>0.05</v>
      </c>
    </row>
    <row r="10545" spans="1:3" ht="15" customHeight="1" x14ac:dyDescent="0.25">
      <c r="A10545" t="s">
        <v>12634</v>
      </c>
      <c r="B10545">
        <v>11.9</v>
      </c>
      <c r="C10545">
        <v>0.05</v>
      </c>
    </row>
    <row r="10546" spans="1:3" ht="15" customHeight="1" x14ac:dyDescent="0.25">
      <c r="A10546" t="s">
        <v>12635</v>
      </c>
      <c r="B10546">
        <v>8.8000000000000007</v>
      </c>
      <c r="C10546">
        <v>0.05</v>
      </c>
    </row>
    <row r="10547" spans="1:3" ht="15" customHeight="1" x14ac:dyDescent="0.25">
      <c r="A10547" t="s">
        <v>12636</v>
      </c>
      <c r="B10547">
        <v>11.9</v>
      </c>
      <c r="C10547">
        <v>0.05</v>
      </c>
    </row>
    <row r="10548" spans="1:3" ht="15" customHeight="1" x14ac:dyDescent="0.25">
      <c r="A10548" t="s">
        <v>12637</v>
      </c>
      <c r="B10548">
        <v>9</v>
      </c>
      <c r="C10548">
        <v>0.05</v>
      </c>
    </row>
    <row r="10549" spans="1:3" ht="15" customHeight="1" x14ac:dyDescent="0.25">
      <c r="A10549" t="s">
        <v>12638</v>
      </c>
      <c r="B10549">
        <v>12.3</v>
      </c>
      <c r="C10549">
        <v>0.05</v>
      </c>
    </row>
    <row r="10550" spans="1:3" ht="15" customHeight="1" x14ac:dyDescent="0.25">
      <c r="A10550" t="s">
        <v>12639</v>
      </c>
      <c r="B10550">
        <v>9</v>
      </c>
      <c r="C10550">
        <v>0.05</v>
      </c>
    </row>
    <row r="10551" spans="1:3" ht="15" customHeight="1" x14ac:dyDescent="0.25">
      <c r="A10551" t="s">
        <v>12640</v>
      </c>
      <c r="B10551">
        <v>12.3</v>
      </c>
      <c r="C10551">
        <v>0.05</v>
      </c>
    </row>
    <row r="10552" spans="1:3" ht="15" customHeight="1" x14ac:dyDescent="0.25">
      <c r="A10552" t="s">
        <v>12641</v>
      </c>
      <c r="B10552">
        <v>8.6999999999999993</v>
      </c>
      <c r="C10552">
        <v>0.05</v>
      </c>
    </row>
    <row r="10553" spans="1:3" ht="15" customHeight="1" x14ac:dyDescent="0.25">
      <c r="A10553" t="s">
        <v>12642</v>
      </c>
      <c r="B10553">
        <v>11.8</v>
      </c>
      <c r="C10553">
        <v>0.05</v>
      </c>
    </row>
    <row r="10554" spans="1:3" ht="15" customHeight="1" x14ac:dyDescent="0.25">
      <c r="A10554" t="s">
        <v>12643</v>
      </c>
      <c r="B10554">
        <v>8.6999999999999993</v>
      </c>
      <c r="C10554">
        <v>0.05</v>
      </c>
    </row>
    <row r="10555" spans="1:3" ht="15" customHeight="1" x14ac:dyDescent="0.25">
      <c r="A10555" t="s">
        <v>12644</v>
      </c>
      <c r="B10555">
        <v>11.8</v>
      </c>
      <c r="C10555">
        <v>0.05</v>
      </c>
    </row>
    <row r="10556" spans="1:3" ht="15" customHeight="1" x14ac:dyDescent="0.25">
      <c r="A10556" t="s">
        <v>1374</v>
      </c>
      <c r="B10556">
        <v>8.9</v>
      </c>
      <c r="C10556">
        <v>0.05</v>
      </c>
    </row>
    <row r="10557" spans="1:3" ht="15" customHeight="1" x14ac:dyDescent="0.25">
      <c r="A10557" t="s">
        <v>12645</v>
      </c>
      <c r="B10557">
        <v>12.1</v>
      </c>
      <c r="C10557">
        <v>0.05</v>
      </c>
    </row>
    <row r="10558" spans="1:3" ht="15" customHeight="1" x14ac:dyDescent="0.25">
      <c r="A10558" t="s">
        <v>12646</v>
      </c>
      <c r="B10558">
        <v>8.9</v>
      </c>
      <c r="C10558">
        <v>0.05</v>
      </c>
    </row>
    <row r="10559" spans="1:3" ht="15" customHeight="1" x14ac:dyDescent="0.25">
      <c r="A10559" t="s">
        <v>1921</v>
      </c>
      <c r="B10559">
        <v>12.1</v>
      </c>
      <c r="C10559">
        <v>0.05</v>
      </c>
    </row>
    <row r="10560" spans="1:3" ht="15" customHeight="1" x14ac:dyDescent="0.25">
      <c r="A10560" t="s">
        <v>12647</v>
      </c>
      <c r="B10560">
        <v>9</v>
      </c>
      <c r="C10560">
        <v>0.25</v>
      </c>
    </row>
    <row r="10561" spans="1:3" ht="15" customHeight="1" x14ac:dyDescent="0.25">
      <c r="A10561" t="s">
        <v>12648</v>
      </c>
      <c r="B10561">
        <v>9</v>
      </c>
      <c r="C10561">
        <v>0.25</v>
      </c>
    </row>
    <row r="10562" spans="1:3" ht="15" customHeight="1" x14ac:dyDescent="0.25">
      <c r="A10562" t="s">
        <v>12649</v>
      </c>
      <c r="B10562">
        <v>9.3000000000000007</v>
      </c>
    </row>
    <row r="10563" spans="1:3" ht="15" customHeight="1" x14ac:dyDescent="0.25">
      <c r="A10563" t="s">
        <v>12650</v>
      </c>
      <c r="B10563">
        <v>9.3000000000000007</v>
      </c>
    </row>
    <row r="10564" spans="1:3" ht="15" customHeight="1" x14ac:dyDescent="0.25">
      <c r="A10564" t="s">
        <v>621</v>
      </c>
      <c r="B10564">
        <v>8.8000000000000007</v>
      </c>
      <c r="C10564">
        <v>0.25</v>
      </c>
    </row>
    <row r="10565" spans="1:3" ht="15" customHeight="1" x14ac:dyDescent="0.25">
      <c r="A10565" t="s">
        <v>12651</v>
      </c>
      <c r="B10565">
        <v>9</v>
      </c>
      <c r="C10565">
        <v>0.25</v>
      </c>
    </row>
    <row r="10566" spans="1:3" ht="15" customHeight="1" x14ac:dyDescent="0.25">
      <c r="A10566" t="s">
        <v>12652</v>
      </c>
      <c r="B10566">
        <v>9</v>
      </c>
      <c r="C10566">
        <v>0.25</v>
      </c>
    </row>
    <row r="10567" spans="1:3" ht="15" customHeight="1" x14ac:dyDescent="0.25">
      <c r="A10567" t="s">
        <v>12653</v>
      </c>
      <c r="B10567">
        <v>9.3000000000000007</v>
      </c>
    </row>
    <row r="10568" spans="1:3" ht="15" customHeight="1" x14ac:dyDescent="0.25">
      <c r="A10568" t="s">
        <v>12654</v>
      </c>
      <c r="B10568">
        <v>9.3000000000000007</v>
      </c>
      <c r="C10568">
        <v>0.25</v>
      </c>
    </row>
    <row r="10569" spans="1:3" ht="15" customHeight="1" x14ac:dyDescent="0.25">
      <c r="A10569" t="s">
        <v>12655</v>
      </c>
      <c r="B10569">
        <v>8.8000000000000007</v>
      </c>
      <c r="C10569">
        <v>0.25</v>
      </c>
    </row>
    <row r="10570" spans="1:3" ht="15" customHeight="1" x14ac:dyDescent="0.25">
      <c r="A10570" t="s">
        <v>12656</v>
      </c>
      <c r="B10570">
        <v>9</v>
      </c>
      <c r="C10570">
        <v>0.25</v>
      </c>
    </row>
    <row r="10571" spans="1:3" ht="15" customHeight="1" x14ac:dyDescent="0.25">
      <c r="A10571" t="s">
        <v>12657</v>
      </c>
      <c r="B10571">
        <v>9</v>
      </c>
      <c r="C10571">
        <v>0.25</v>
      </c>
    </row>
    <row r="10572" spans="1:3" ht="15" customHeight="1" x14ac:dyDescent="0.25">
      <c r="A10572" t="s">
        <v>12658</v>
      </c>
      <c r="B10572">
        <v>9.3000000000000007</v>
      </c>
      <c r="C10572">
        <v>0.25</v>
      </c>
    </row>
    <row r="10573" spans="1:3" ht="15" customHeight="1" x14ac:dyDescent="0.25">
      <c r="A10573" t="s">
        <v>12659</v>
      </c>
      <c r="B10573">
        <v>9.3000000000000007</v>
      </c>
    </row>
    <row r="10574" spans="1:3" ht="15" customHeight="1" x14ac:dyDescent="0.25">
      <c r="A10574" t="s">
        <v>12660</v>
      </c>
      <c r="B10574">
        <v>9.3000000000000007</v>
      </c>
    </row>
    <row r="10575" spans="1:3" ht="15" customHeight="1" x14ac:dyDescent="0.25">
      <c r="A10575" t="s">
        <v>1873</v>
      </c>
      <c r="B10575">
        <v>8.8000000000000007</v>
      </c>
      <c r="C10575">
        <v>0.25</v>
      </c>
    </row>
    <row r="10576" spans="1:3" ht="15" customHeight="1" x14ac:dyDescent="0.25">
      <c r="A10576" t="s">
        <v>12661</v>
      </c>
      <c r="B10576">
        <v>9</v>
      </c>
      <c r="C10576">
        <v>0.25</v>
      </c>
    </row>
    <row r="10577" spans="1:3" ht="15" customHeight="1" x14ac:dyDescent="0.25">
      <c r="A10577" t="s">
        <v>12662</v>
      </c>
      <c r="B10577">
        <v>9</v>
      </c>
      <c r="C10577">
        <v>0.25</v>
      </c>
    </row>
    <row r="10578" spans="1:3" ht="15" customHeight="1" x14ac:dyDescent="0.25">
      <c r="A10578" t="s">
        <v>12663</v>
      </c>
      <c r="B10578">
        <v>9.3000000000000007</v>
      </c>
      <c r="C10578">
        <v>0.25</v>
      </c>
    </row>
    <row r="10579" spans="1:3" ht="15" customHeight="1" x14ac:dyDescent="0.25">
      <c r="A10579" t="s">
        <v>12664</v>
      </c>
      <c r="B10579">
        <v>9.3000000000000007</v>
      </c>
    </row>
    <row r="10580" spans="1:3" ht="15" customHeight="1" x14ac:dyDescent="0.25">
      <c r="A10580" t="s">
        <v>12665</v>
      </c>
      <c r="B10580">
        <v>9.3000000000000007</v>
      </c>
    </row>
    <row r="10581" spans="1:3" ht="15" customHeight="1" x14ac:dyDescent="0.25">
      <c r="A10581" t="s">
        <v>12666</v>
      </c>
      <c r="B10581">
        <v>8.8000000000000007</v>
      </c>
      <c r="C10581">
        <v>0.25</v>
      </c>
    </row>
    <row r="10582" spans="1:3" ht="15" customHeight="1" x14ac:dyDescent="0.25">
      <c r="A10582" t="s">
        <v>12667</v>
      </c>
      <c r="B10582">
        <v>9.3000000000000007</v>
      </c>
    </row>
    <row r="10583" spans="1:3" ht="15" customHeight="1" x14ac:dyDescent="0.25">
      <c r="A10583" t="s">
        <v>12668</v>
      </c>
      <c r="B10583">
        <v>8.8000000000000007</v>
      </c>
      <c r="C10583">
        <v>0.25</v>
      </c>
    </row>
    <row r="10584" spans="1:3" ht="15" customHeight="1" x14ac:dyDescent="0.25">
      <c r="A10584" t="s">
        <v>12669</v>
      </c>
      <c r="B10584">
        <v>26.9</v>
      </c>
      <c r="C10584">
        <v>0.25</v>
      </c>
    </row>
    <row r="10585" spans="1:3" ht="15" customHeight="1" x14ac:dyDescent="0.25">
      <c r="A10585" t="s">
        <v>12670</v>
      </c>
      <c r="B10585">
        <v>26.9</v>
      </c>
      <c r="C10585">
        <v>0.25</v>
      </c>
    </row>
    <row r="10586" spans="1:3" ht="15" customHeight="1" x14ac:dyDescent="0.25">
      <c r="A10586" t="s">
        <v>12671</v>
      </c>
      <c r="B10586">
        <v>26.9</v>
      </c>
      <c r="C10586">
        <v>0.25</v>
      </c>
    </row>
    <row r="10587" spans="1:3" ht="15" customHeight="1" x14ac:dyDescent="0.25">
      <c r="A10587" t="s">
        <v>12672</v>
      </c>
      <c r="B10587">
        <v>26.9</v>
      </c>
    </row>
    <row r="10588" spans="1:3" ht="15" customHeight="1" x14ac:dyDescent="0.25">
      <c r="A10588" t="s">
        <v>12673</v>
      </c>
      <c r="B10588">
        <v>26.9</v>
      </c>
    </row>
    <row r="10589" spans="1:3" ht="15" customHeight="1" x14ac:dyDescent="0.25">
      <c r="A10589" t="s">
        <v>12674</v>
      </c>
      <c r="B10589">
        <v>26.9</v>
      </c>
      <c r="C10589">
        <v>0.25</v>
      </c>
    </row>
    <row r="10590" spans="1:3" ht="15" customHeight="1" x14ac:dyDescent="0.25">
      <c r="A10590" t="s">
        <v>12675</v>
      </c>
      <c r="B10590">
        <v>26.9</v>
      </c>
      <c r="C10590">
        <v>0.25</v>
      </c>
    </row>
    <row r="10591" spans="1:3" ht="15" customHeight="1" x14ac:dyDescent="0.25">
      <c r="A10591" t="s">
        <v>12676</v>
      </c>
      <c r="B10591">
        <v>9.8000000000000007</v>
      </c>
    </row>
    <row r="10592" spans="1:3" ht="15" customHeight="1" x14ac:dyDescent="0.25">
      <c r="A10592" t="s">
        <v>12677</v>
      </c>
      <c r="B10592">
        <v>9.8000000000000007</v>
      </c>
      <c r="C10592">
        <v>0.25</v>
      </c>
    </row>
    <row r="10593" spans="1:3" ht="15" customHeight="1" x14ac:dyDescent="0.25">
      <c r="A10593" t="s">
        <v>12678</v>
      </c>
      <c r="B10593">
        <v>9.8000000000000007</v>
      </c>
      <c r="C10593">
        <v>0.25</v>
      </c>
    </row>
    <row r="10594" spans="1:3" ht="15" customHeight="1" x14ac:dyDescent="0.25">
      <c r="A10594" t="s">
        <v>12679</v>
      </c>
      <c r="B10594">
        <v>9.8000000000000007</v>
      </c>
      <c r="C10594">
        <v>0.25</v>
      </c>
    </row>
    <row r="10595" spans="1:3" ht="15" customHeight="1" x14ac:dyDescent="0.25">
      <c r="A10595" t="s">
        <v>12680</v>
      </c>
      <c r="B10595">
        <v>9.8000000000000007</v>
      </c>
      <c r="C10595">
        <v>0.25</v>
      </c>
    </row>
    <row r="10596" spans="1:3" ht="15" customHeight="1" x14ac:dyDescent="0.25">
      <c r="A10596" t="s">
        <v>12681</v>
      </c>
      <c r="B10596">
        <v>9.8000000000000007</v>
      </c>
    </row>
    <row r="10597" spans="1:3" ht="15" customHeight="1" x14ac:dyDescent="0.25">
      <c r="A10597" t="s">
        <v>12682</v>
      </c>
      <c r="B10597">
        <v>9.8000000000000007</v>
      </c>
      <c r="C10597">
        <v>0.25</v>
      </c>
    </row>
    <row r="10598" spans="1:3" ht="15" customHeight="1" x14ac:dyDescent="0.25">
      <c r="A10598" t="s">
        <v>12683</v>
      </c>
      <c r="B10598">
        <v>9.8000000000000007</v>
      </c>
      <c r="C10598">
        <v>0.25</v>
      </c>
    </row>
    <row r="10599" spans="1:3" ht="15" customHeight="1" x14ac:dyDescent="0.25">
      <c r="A10599" t="s">
        <v>12684</v>
      </c>
      <c r="B10599">
        <v>9.8000000000000007</v>
      </c>
    </row>
    <row r="10600" spans="1:3" ht="15" customHeight="1" x14ac:dyDescent="0.25">
      <c r="A10600" t="s">
        <v>12685</v>
      </c>
      <c r="B10600">
        <v>9.8000000000000007</v>
      </c>
      <c r="C10600">
        <v>0.25</v>
      </c>
    </row>
    <row r="10601" spans="1:3" ht="15" customHeight="1" x14ac:dyDescent="0.25">
      <c r="A10601" t="s">
        <v>12686</v>
      </c>
      <c r="B10601">
        <v>7.6</v>
      </c>
    </row>
    <row r="10602" spans="1:3" ht="15" customHeight="1" x14ac:dyDescent="0.25">
      <c r="A10602" t="s">
        <v>12687</v>
      </c>
      <c r="B10602">
        <v>7.6</v>
      </c>
    </row>
    <row r="10603" spans="1:3" ht="15" customHeight="1" x14ac:dyDescent="0.25">
      <c r="A10603" t="s">
        <v>12688</v>
      </c>
      <c r="B10603">
        <v>7.6</v>
      </c>
      <c r="C10603">
        <v>0.25</v>
      </c>
    </row>
    <row r="10604" spans="1:3" ht="15" customHeight="1" x14ac:dyDescent="0.25">
      <c r="A10604" t="s">
        <v>12689</v>
      </c>
      <c r="B10604">
        <v>7.4</v>
      </c>
    </row>
    <row r="10605" spans="1:3" ht="15" customHeight="1" x14ac:dyDescent="0.25">
      <c r="A10605" t="s">
        <v>12690</v>
      </c>
      <c r="B10605">
        <v>7.6</v>
      </c>
      <c r="C10605">
        <v>0.25</v>
      </c>
    </row>
    <row r="10606" spans="1:3" ht="15" customHeight="1" x14ac:dyDescent="0.25">
      <c r="A10606" t="s">
        <v>12691</v>
      </c>
      <c r="B10606">
        <v>7.6</v>
      </c>
    </row>
    <row r="10607" spans="1:3" ht="15" customHeight="1" x14ac:dyDescent="0.25">
      <c r="A10607" t="s">
        <v>12692</v>
      </c>
      <c r="B10607">
        <v>7.6</v>
      </c>
      <c r="C10607">
        <v>0.25</v>
      </c>
    </row>
    <row r="10608" spans="1:3" ht="15" customHeight="1" x14ac:dyDescent="0.25">
      <c r="A10608" t="s">
        <v>12693</v>
      </c>
      <c r="B10608">
        <v>7.6</v>
      </c>
      <c r="C10608">
        <v>0.25</v>
      </c>
    </row>
    <row r="10609" spans="1:3" ht="15" customHeight="1" x14ac:dyDescent="0.25">
      <c r="A10609" t="s">
        <v>12694</v>
      </c>
      <c r="B10609">
        <v>7.4</v>
      </c>
    </row>
    <row r="10610" spans="1:3" ht="15" customHeight="1" x14ac:dyDescent="0.25">
      <c r="A10610" t="s">
        <v>12695</v>
      </c>
      <c r="B10610">
        <v>7.6</v>
      </c>
    </row>
    <row r="10611" spans="1:3" ht="15" customHeight="1" x14ac:dyDescent="0.25">
      <c r="A10611" t="s">
        <v>12696</v>
      </c>
      <c r="B10611">
        <v>7.6</v>
      </c>
      <c r="C10611">
        <v>0.25</v>
      </c>
    </row>
    <row r="10612" spans="1:3" ht="15" customHeight="1" x14ac:dyDescent="0.25">
      <c r="A10612" t="s">
        <v>12697</v>
      </c>
      <c r="B10612">
        <v>7.6</v>
      </c>
      <c r="C10612">
        <v>0.25</v>
      </c>
    </row>
    <row r="10613" spans="1:3" ht="15" customHeight="1" x14ac:dyDescent="0.25">
      <c r="A10613" t="s">
        <v>12698</v>
      </c>
      <c r="B10613">
        <v>7.6</v>
      </c>
      <c r="C10613">
        <v>0.25</v>
      </c>
    </row>
    <row r="10614" spans="1:3" ht="15" customHeight="1" x14ac:dyDescent="0.25">
      <c r="A10614" t="s">
        <v>12699</v>
      </c>
      <c r="B10614">
        <v>7.6</v>
      </c>
      <c r="C10614">
        <v>0.25</v>
      </c>
    </row>
    <row r="10615" spans="1:3" ht="15" customHeight="1" x14ac:dyDescent="0.25">
      <c r="A10615" t="s">
        <v>12700</v>
      </c>
      <c r="B10615">
        <v>7.6</v>
      </c>
    </row>
    <row r="10616" spans="1:3" ht="15" customHeight="1" x14ac:dyDescent="0.25">
      <c r="A10616" t="s">
        <v>12701</v>
      </c>
      <c r="B10616">
        <v>7.6</v>
      </c>
      <c r="C10616">
        <v>0.25</v>
      </c>
    </row>
    <row r="10617" spans="1:3" ht="15" customHeight="1" x14ac:dyDescent="0.25">
      <c r="A10617" t="s">
        <v>12702</v>
      </c>
      <c r="B10617">
        <v>7.6</v>
      </c>
    </row>
    <row r="10618" spans="1:3" ht="15" customHeight="1" x14ac:dyDescent="0.25">
      <c r="A10618" t="s">
        <v>12703</v>
      </c>
      <c r="B10618">
        <v>7.6</v>
      </c>
      <c r="C10618">
        <v>0.25</v>
      </c>
    </row>
    <row r="10619" spans="1:3" ht="15" customHeight="1" x14ac:dyDescent="0.25">
      <c r="A10619" t="s">
        <v>12704</v>
      </c>
      <c r="B10619">
        <v>7.4</v>
      </c>
    </row>
    <row r="10620" spans="1:3" ht="15" customHeight="1" x14ac:dyDescent="0.25">
      <c r="A10620" t="s">
        <v>12705</v>
      </c>
      <c r="B10620">
        <v>10.3</v>
      </c>
    </row>
    <row r="10621" spans="1:3" ht="15" customHeight="1" x14ac:dyDescent="0.25">
      <c r="A10621" t="s">
        <v>12706</v>
      </c>
      <c r="B10621">
        <v>10.6</v>
      </c>
      <c r="C10621">
        <v>0.25</v>
      </c>
    </row>
    <row r="10622" spans="1:3" ht="15" customHeight="1" x14ac:dyDescent="0.25">
      <c r="A10622" t="s">
        <v>12707</v>
      </c>
      <c r="B10622">
        <v>10.6</v>
      </c>
    </row>
    <row r="10623" spans="1:3" ht="15" customHeight="1" x14ac:dyDescent="0.25">
      <c r="A10623" t="s">
        <v>12708</v>
      </c>
      <c r="B10623">
        <v>10.6</v>
      </c>
      <c r="C10623">
        <v>0.25</v>
      </c>
    </row>
    <row r="10624" spans="1:3" ht="15" customHeight="1" x14ac:dyDescent="0.25">
      <c r="A10624" t="s">
        <v>12709</v>
      </c>
      <c r="B10624">
        <v>10.3</v>
      </c>
      <c r="C10624">
        <v>0.25</v>
      </c>
    </row>
    <row r="10625" spans="1:3" ht="15" customHeight="1" x14ac:dyDescent="0.25">
      <c r="A10625" t="s">
        <v>12710</v>
      </c>
      <c r="B10625">
        <v>10.3</v>
      </c>
      <c r="C10625">
        <v>0.25</v>
      </c>
    </row>
    <row r="10626" spans="1:3" ht="15" customHeight="1" x14ac:dyDescent="0.25">
      <c r="A10626" t="s">
        <v>12711</v>
      </c>
      <c r="B10626">
        <v>10.3</v>
      </c>
    </row>
    <row r="10627" spans="1:3" ht="15" customHeight="1" x14ac:dyDescent="0.25">
      <c r="A10627" t="s">
        <v>12712</v>
      </c>
      <c r="B10627">
        <v>10.6</v>
      </c>
      <c r="C10627">
        <v>0.25</v>
      </c>
    </row>
    <row r="10628" spans="1:3" ht="15" customHeight="1" x14ac:dyDescent="0.25">
      <c r="A10628" t="s">
        <v>12713</v>
      </c>
      <c r="B10628">
        <v>10.6</v>
      </c>
      <c r="C10628">
        <v>0.25</v>
      </c>
    </row>
    <row r="10629" spans="1:3" ht="15" customHeight="1" x14ac:dyDescent="0.25">
      <c r="A10629" t="s">
        <v>12714</v>
      </c>
      <c r="B10629">
        <v>10.6</v>
      </c>
      <c r="C10629">
        <v>0.25</v>
      </c>
    </row>
    <row r="10630" spans="1:3" ht="15" customHeight="1" x14ac:dyDescent="0.25">
      <c r="A10630" t="s">
        <v>12715</v>
      </c>
      <c r="B10630">
        <v>10.6</v>
      </c>
    </row>
    <row r="10631" spans="1:3" ht="15" customHeight="1" x14ac:dyDescent="0.25">
      <c r="A10631" t="s">
        <v>12716</v>
      </c>
      <c r="B10631">
        <v>10.6</v>
      </c>
    </row>
    <row r="10632" spans="1:3" ht="15" customHeight="1" x14ac:dyDescent="0.25">
      <c r="A10632" t="s">
        <v>12717</v>
      </c>
      <c r="B10632">
        <v>12</v>
      </c>
    </row>
    <row r="10633" spans="1:3" ht="15" customHeight="1" x14ac:dyDescent="0.25">
      <c r="A10633" t="s">
        <v>12718</v>
      </c>
      <c r="B10633">
        <v>12</v>
      </c>
      <c r="C10633">
        <v>0.35</v>
      </c>
    </row>
    <row r="10634" spans="1:3" ht="15" customHeight="1" x14ac:dyDescent="0.25">
      <c r="A10634" t="s">
        <v>12719</v>
      </c>
      <c r="B10634">
        <v>17</v>
      </c>
    </row>
    <row r="10635" spans="1:3" ht="15" customHeight="1" x14ac:dyDescent="0.25">
      <c r="A10635" t="s">
        <v>12720</v>
      </c>
      <c r="B10635">
        <v>17</v>
      </c>
    </row>
    <row r="10636" spans="1:3" ht="15" customHeight="1" x14ac:dyDescent="0.25">
      <c r="A10636" t="s">
        <v>12721</v>
      </c>
      <c r="B10636">
        <v>17</v>
      </c>
    </row>
    <row r="10637" spans="1:3" ht="15" customHeight="1" x14ac:dyDescent="0.25">
      <c r="A10637" t="s">
        <v>12722</v>
      </c>
      <c r="B10637">
        <v>17</v>
      </c>
    </row>
    <row r="10638" spans="1:3" ht="15" customHeight="1" x14ac:dyDescent="0.25">
      <c r="A10638" t="s">
        <v>12723</v>
      </c>
      <c r="B10638">
        <v>17</v>
      </c>
    </row>
    <row r="10639" spans="1:3" ht="15" customHeight="1" x14ac:dyDescent="0.25">
      <c r="A10639" t="s">
        <v>12724</v>
      </c>
      <c r="B10639">
        <v>17</v>
      </c>
      <c r="C10639">
        <v>0.35</v>
      </c>
    </row>
    <row r="10640" spans="1:3" ht="15" customHeight="1" x14ac:dyDescent="0.25">
      <c r="A10640" t="s">
        <v>12725</v>
      </c>
      <c r="B10640">
        <v>17</v>
      </c>
    </row>
    <row r="10641" spans="1:3" ht="15" customHeight="1" x14ac:dyDescent="0.25">
      <c r="A10641" t="s">
        <v>12726</v>
      </c>
      <c r="B10641">
        <v>17</v>
      </c>
    </row>
    <row r="10642" spans="1:3" ht="15" customHeight="1" x14ac:dyDescent="0.25">
      <c r="A10642" t="s">
        <v>12727</v>
      </c>
      <c r="B10642">
        <v>17</v>
      </c>
      <c r="C10642">
        <v>0.35</v>
      </c>
    </row>
    <row r="10643" spans="1:3" ht="15" customHeight="1" x14ac:dyDescent="0.25">
      <c r="A10643" t="s">
        <v>12728</v>
      </c>
      <c r="B10643">
        <v>17</v>
      </c>
      <c r="C10643">
        <v>0.35</v>
      </c>
    </row>
    <row r="10644" spans="1:3" ht="15" customHeight="1" x14ac:dyDescent="0.25">
      <c r="A10644" t="s">
        <v>12729</v>
      </c>
      <c r="B10644">
        <v>17</v>
      </c>
      <c r="C10644">
        <v>0.35</v>
      </c>
    </row>
    <row r="10645" spans="1:3" ht="15" customHeight="1" x14ac:dyDescent="0.25">
      <c r="A10645" t="s">
        <v>12730</v>
      </c>
      <c r="B10645">
        <v>17</v>
      </c>
      <c r="C10645">
        <v>0.35</v>
      </c>
    </row>
    <row r="10646" spans="1:3" ht="15" customHeight="1" x14ac:dyDescent="0.25">
      <c r="A10646" t="s">
        <v>12731</v>
      </c>
      <c r="B10646">
        <v>18.899999999999999</v>
      </c>
    </row>
    <row r="10647" spans="1:3" ht="15" customHeight="1" x14ac:dyDescent="0.25">
      <c r="A10647" t="s">
        <v>12732</v>
      </c>
      <c r="B10647">
        <v>18.899999999999999</v>
      </c>
    </row>
    <row r="10648" spans="1:3" ht="15" customHeight="1" x14ac:dyDescent="0.25">
      <c r="A10648" t="s">
        <v>12733</v>
      </c>
      <c r="B10648">
        <v>18.899999999999999</v>
      </c>
    </row>
    <row r="10649" spans="1:3" ht="15" customHeight="1" x14ac:dyDescent="0.25">
      <c r="A10649" t="s">
        <v>12734</v>
      </c>
      <c r="B10649">
        <v>18.899999999999999</v>
      </c>
    </row>
    <row r="10650" spans="1:3" ht="15" customHeight="1" x14ac:dyDescent="0.25">
      <c r="A10650" t="s">
        <v>12735</v>
      </c>
      <c r="B10650">
        <v>18.899999999999999</v>
      </c>
    </row>
    <row r="10651" spans="1:3" ht="15" customHeight="1" x14ac:dyDescent="0.25">
      <c r="A10651" t="s">
        <v>12736</v>
      </c>
      <c r="B10651">
        <v>18.899999999999999</v>
      </c>
    </row>
    <row r="10652" spans="1:3" ht="15" customHeight="1" x14ac:dyDescent="0.25">
      <c r="A10652" t="s">
        <v>12737</v>
      </c>
      <c r="B10652">
        <v>18.899999999999999</v>
      </c>
    </row>
    <row r="10653" spans="1:3" ht="15" customHeight="1" x14ac:dyDescent="0.25">
      <c r="A10653" t="s">
        <v>12738</v>
      </c>
      <c r="B10653">
        <v>18.899999999999999</v>
      </c>
    </row>
    <row r="10654" spans="1:3" ht="15" customHeight="1" x14ac:dyDescent="0.25">
      <c r="A10654" t="s">
        <v>12739</v>
      </c>
      <c r="B10654">
        <v>18.899999999999999</v>
      </c>
    </row>
    <row r="10655" spans="1:3" ht="15" customHeight="1" x14ac:dyDescent="0.25">
      <c r="A10655" t="s">
        <v>12740</v>
      </c>
      <c r="B10655">
        <v>18.899999999999999</v>
      </c>
    </row>
    <row r="10656" spans="1:3" ht="15" customHeight="1" x14ac:dyDescent="0.25">
      <c r="A10656" t="s">
        <v>12741</v>
      </c>
      <c r="B10656">
        <v>18.899999999999999</v>
      </c>
    </row>
    <row r="10657" spans="1:2" ht="15" customHeight="1" x14ac:dyDescent="0.25">
      <c r="A10657" t="s">
        <v>12742</v>
      </c>
      <c r="B10657">
        <v>18.899999999999999</v>
      </c>
    </row>
    <row r="10658" spans="1:2" ht="15" customHeight="1" x14ac:dyDescent="0.25">
      <c r="A10658" t="s">
        <v>12743</v>
      </c>
      <c r="B10658">
        <v>18.899999999999999</v>
      </c>
    </row>
    <row r="10659" spans="1:2" ht="15" customHeight="1" x14ac:dyDescent="0.25">
      <c r="A10659" t="s">
        <v>12744</v>
      </c>
      <c r="B10659">
        <v>18.899999999999999</v>
      </c>
    </row>
    <row r="10660" spans="1:2" ht="15" customHeight="1" x14ac:dyDescent="0.25">
      <c r="A10660" t="s">
        <v>12745</v>
      </c>
      <c r="B10660">
        <v>18.899999999999999</v>
      </c>
    </row>
    <row r="10661" spans="1:2" ht="15" customHeight="1" x14ac:dyDescent="0.25">
      <c r="A10661" t="s">
        <v>12746</v>
      </c>
      <c r="B10661">
        <v>18.899999999999999</v>
      </c>
    </row>
    <row r="10662" spans="1:2" ht="15" customHeight="1" x14ac:dyDescent="0.25">
      <c r="A10662" t="s">
        <v>12747</v>
      </c>
      <c r="B10662">
        <v>18.899999999999999</v>
      </c>
    </row>
    <row r="10663" spans="1:2" ht="15" customHeight="1" x14ac:dyDescent="0.25">
      <c r="A10663" t="s">
        <v>12748</v>
      </c>
      <c r="B10663">
        <v>18.899999999999999</v>
      </c>
    </row>
    <row r="10664" spans="1:2" ht="15" customHeight="1" x14ac:dyDescent="0.25">
      <c r="A10664" t="s">
        <v>12749</v>
      </c>
      <c r="B10664">
        <v>18.899999999999999</v>
      </c>
    </row>
    <row r="10665" spans="1:2" ht="15" customHeight="1" x14ac:dyDescent="0.25">
      <c r="A10665" t="s">
        <v>12750</v>
      </c>
      <c r="B10665">
        <v>18.899999999999999</v>
      </c>
    </row>
    <row r="10666" spans="1:2" ht="15" customHeight="1" x14ac:dyDescent="0.25">
      <c r="A10666" t="s">
        <v>12751</v>
      </c>
      <c r="B10666">
        <v>18.899999999999999</v>
      </c>
    </row>
    <row r="10667" spans="1:2" ht="15" customHeight="1" x14ac:dyDescent="0.25">
      <c r="A10667" t="s">
        <v>12752</v>
      </c>
      <c r="B10667">
        <v>18.899999999999999</v>
      </c>
    </row>
    <row r="10668" spans="1:2" ht="15" customHeight="1" x14ac:dyDescent="0.25">
      <c r="A10668" t="s">
        <v>12753</v>
      </c>
      <c r="B10668">
        <v>18.899999999999999</v>
      </c>
    </row>
    <row r="10669" spans="1:2" ht="15" customHeight="1" x14ac:dyDescent="0.25">
      <c r="A10669" t="s">
        <v>12754</v>
      </c>
      <c r="B10669">
        <v>18.899999999999999</v>
      </c>
    </row>
    <row r="10670" spans="1:2" ht="15" customHeight="1" x14ac:dyDescent="0.25">
      <c r="A10670" t="s">
        <v>12755</v>
      </c>
      <c r="B10670">
        <v>18.899999999999999</v>
      </c>
    </row>
    <row r="10671" spans="1:2" ht="15" customHeight="1" x14ac:dyDescent="0.25">
      <c r="A10671" t="s">
        <v>12756</v>
      </c>
      <c r="B10671">
        <v>18.899999999999999</v>
      </c>
    </row>
    <row r="10672" spans="1:2" ht="15" customHeight="1" x14ac:dyDescent="0.25">
      <c r="A10672" t="s">
        <v>12757</v>
      </c>
      <c r="B10672">
        <v>18.899999999999999</v>
      </c>
    </row>
    <row r="10673" spans="1:3" ht="15" customHeight="1" x14ac:dyDescent="0.25">
      <c r="A10673" t="s">
        <v>12758</v>
      </c>
      <c r="B10673">
        <v>18.899999999999999</v>
      </c>
    </row>
    <row r="10674" spans="1:3" ht="15" customHeight="1" x14ac:dyDescent="0.25">
      <c r="A10674" t="s">
        <v>12759</v>
      </c>
      <c r="B10674">
        <v>18.899999999999999</v>
      </c>
    </row>
    <row r="10675" spans="1:3" ht="15" customHeight="1" x14ac:dyDescent="0.25">
      <c r="A10675" t="s">
        <v>12760</v>
      </c>
      <c r="B10675">
        <v>18.899999999999999</v>
      </c>
    </row>
    <row r="10676" spans="1:3" ht="15" customHeight="1" x14ac:dyDescent="0.25">
      <c r="A10676" t="s">
        <v>12761</v>
      </c>
      <c r="B10676">
        <v>18.899999999999999</v>
      </c>
    </row>
    <row r="10677" spans="1:3" ht="15" customHeight="1" x14ac:dyDescent="0.25">
      <c r="A10677" t="s">
        <v>12762</v>
      </c>
      <c r="B10677">
        <v>18.899999999999999</v>
      </c>
    </row>
    <row r="10678" spans="1:3" ht="15" customHeight="1" x14ac:dyDescent="0.25">
      <c r="A10678" t="s">
        <v>12763</v>
      </c>
      <c r="B10678">
        <v>18.899999999999999</v>
      </c>
    </row>
    <row r="10679" spans="1:3" ht="15" customHeight="1" x14ac:dyDescent="0.25">
      <c r="A10679" t="s">
        <v>12764</v>
      </c>
      <c r="B10679">
        <v>18.899999999999999</v>
      </c>
    </row>
    <row r="10680" spans="1:3" ht="15" customHeight="1" x14ac:dyDescent="0.25">
      <c r="A10680" t="s">
        <v>12765</v>
      </c>
      <c r="B10680">
        <v>18.899999999999999</v>
      </c>
    </row>
    <row r="10681" spans="1:3" ht="15" customHeight="1" x14ac:dyDescent="0.25">
      <c r="A10681" t="s">
        <v>12766</v>
      </c>
      <c r="B10681">
        <v>18.899999999999999</v>
      </c>
    </row>
    <row r="10682" spans="1:3" ht="15" customHeight="1" x14ac:dyDescent="0.25">
      <c r="A10682" t="s">
        <v>12767</v>
      </c>
      <c r="B10682">
        <v>18.899999999999999</v>
      </c>
      <c r="C10682">
        <v>0.35</v>
      </c>
    </row>
    <row r="10683" spans="1:3" ht="15" customHeight="1" x14ac:dyDescent="0.25">
      <c r="A10683" t="s">
        <v>12768</v>
      </c>
      <c r="B10683">
        <v>18.899999999999999</v>
      </c>
    </row>
    <row r="10684" spans="1:3" ht="15" customHeight="1" x14ac:dyDescent="0.25">
      <c r="A10684" t="s">
        <v>12769</v>
      </c>
      <c r="B10684">
        <v>18.899999999999999</v>
      </c>
    </row>
    <row r="10685" spans="1:3" ht="15" customHeight="1" x14ac:dyDescent="0.25">
      <c r="A10685" t="s">
        <v>12770</v>
      </c>
      <c r="B10685">
        <v>18.899999999999999</v>
      </c>
    </row>
    <row r="10686" spans="1:3" ht="15" customHeight="1" x14ac:dyDescent="0.25">
      <c r="A10686" t="s">
        <v>12771</v>
      </c>
      <c r="B10686">
        <v>18.899999999999999</v>
      </c>
    </row>
    <row r="10687" spans="1:3" ht="15" customHeight="1" x14ac:dyDescent="0.25">
      <c r="A10687" t="s">
        <v>12772</v>
      </c>
      <c r="B10687">
        <v>18.899999999999999</v>
      </c>
    </row>
    <row r="10688" spans="1:3" ht="15" customHeight="1" x14ac:dyDescent="0.25">
      <c r="A10688" t="s">
        <v>12773</v>
      </c>
      <c r="B10688">
        <v>18.899999999999999</v>
      </c>
      <c r="C10688">
        <v>0.35</v>
      </c>
    </row>
    <row r="10689" spans="1:3" ht="15" customHeight="1" x14ac:dyDescent="0.25">
      <c r="A10689" t="s">
        <v>12774</v>
      </c>
      <c r="B10689">
        <v>18.899999999999999</v>
      </c>
      <c r="C10689">
        <v>0.35</v>
      </c>
    </row>
    <row r="10690" spans="1:3" ht="15" customHeight="1" x14ac:dyDescent="0.25">
      <c r="A10690" t="s">
        <v>12775</v>
      </c>
      <c r="B10690">
        <v>18.899999999999999</v>
      </c>
    </row>
    <row r="10691" spans="1:3" ht="15" customHeight="1" x14ac:dyDescent="0.25">
      <c r="A10691" t="s">
        <v>12776</v>
      </c>
      <c r="B10691">
        <v>18.899999999999999</v>
      </c>
      <c r="C10691">
        <v>0.35</v>
      </c>
    </row>
    <row r="10692" spans="1:3" ht="15" customHeight="1" x14ac:dyDescent="0.25">
      <c r="A10692" t="s">
        <v>12777</v>
      </c>
      <c r="B10692">
        <v>18.899999999999999</v>
      </c>
      <c r="C10692">
        <v>0.35</v>
      </c>
    </row>
    <row r="10693" spans="1:3" ht="15" customHeight="1" x14ac:dyDescent="0.25">
      <c r="A10693" t="s">
        <v>12778</v>
      </c>
      <c r="B10693">
        <v>18.899999999999999</v>
      </c>
    </row>
    <row r="10694" spans="1:3" ht="15" customHeight="1" x14ac:dyDescent="0.25">
      <c r="A10694" t="s">
        <v>12779</v>
      </c>
      <c r="B10694">
        <v>18.899999999999999</v>
      </c>
    </row>
    <row r="10695" spans="1:3" ht="15" customHeight="1" x14ac:dyDescent="0.25">
      <c r="A10695" t="s">
        <v>12780</v>
      </c>
      <c r="B10695">
        <v>18.899999999999999</v>
      </c>
    </row>
    <row r="10696" spans="1:3" ht="15" customHeight="1" x14ac:dyDescent="0.25">
      <c r="A10696" t="s">
        <v>12781</v>
      </c>
      <c r="B10696">
        <v>18.899999999999999</v>
      </c>
    </row>
    <row r="10697" spans="1:3" ht="15" customHeight="1" x14ac:dyDescent="0.25">
      <c r="A10697" t="s">
        <v>12782</v>
      </c>
      <c r="B10697">
        <v>18.899999999999999</v>
      </c>
    </row>
    <row r="10698" spans="1:3" ht="15" customHeight="1" x14ac:dyDescent="0.25">
      <c r="A10698" t="s">
        <v>12783</v>
      </c>
      <c r="B10698">
        <v>18.899999999999999</v>
      </c>
    </row>
    <row r="10699" spans="1:3" ht="15" customHeight="1" x14ac:dyDescent="0.25">
      <c r="A10699" t="s">
        <v>12784</v>
      </c>
      <c r="B10699">
        <v>18.899999999999999</v>
      </c>
    </row>
    <row r="10700" spans="1:3" ht="15" customHeight="1" x14ac:dyDescent="0.25">
      <c r="A10700" t="s">
        <v>12785</v>
      </c>
      <c r="B10700">
        <v>18.899999999999999</v>
      </c>
    </row>
    <row r="10701" spans="1:3" ht="15" customHeight="1" x14ac:dyDescent="0.25">
      <c r="A10701" t="s">
        <v>12786</v>
      </c>
      <c r="B10701">
        <v>18.899999999999999</v>
      </c>
    </row>
    <row r="10702" spans="1:3" ht="15" customHeight="1" x14ac:dyDescent="0.25">
      <c r="A10702" t="s">
        <v>12787</v>
      </c>
      <c r="B10702">
        <v>15.8</v>
      </c>
      <c r="C10702">
        <v>0.35</v>
      </c>
    </row>
    <row r="10703" spans="1:3" ht="15" customHeight="1" x14ac:dyDescent="0.25">
      <c r="A10703" t="s">
        <v>12788</v>
      </c>
      <c r="B10703">
        <v>15.8</v>
      </c>
      <c r="C10703">
        <v>0.35</v>
      </c>
    </row>
    <row r="10704" spans="1:3" ht="15" customHeight="1" x14ac:dyDescent="0.25">
      <c r="A10704" t="s">
        <v>12789</v>
      </c>
      <c r="B10704">
        <v>15.8</v>
      </c>
    </row>
    <row r="10705" spans="1:3" ht="15" customHeight="1" x14ac:dyDescent="0.25">
      <c r="A10705" t="s">
        <v>12790</v>
      </c>
      <c r="B10705">
        <v>15.8</v>
      </c>
      <c r="C10705">
        <v>0.35</v>
      </c>
    </row>
    <row r="10706" spans="1:3" ht="15" customHeight="1" x14ac:dyDescent="0.25">
      <c r="A10706" t="s">
        <v>12791</v>
      </c>
      <c r="B10706">
        <v>15.8</v>
      </c>
      <c r="C10706">
        <v>0.35</v>
      </c>
    </row>
    <row r="10707" spans="1:3" ht="15" customHeight="1" x14ac:dyDescent="0.25">
      <c r="A10707" t="s">
        <v>12792</v>
      </c>
      <c r="B10707">
        <v>15.8</v>
      </c>
      <c r="C10707">
        <v>0.35</v>
      </c>
    </row>
    <row r="10708" spans="1:3" ht="15" customHeight="1" x14ac:dyDescent="0.25">
      <c r="A10708" t="s">
        <v>12793</v>
      </c>
      <c r="B10708">
        <v>15.8</v>
      </c>
      <c r="C10708">
        <v>0.35</v>
      </c>
    </row>
    <row r="10709" spans="1:3" ht="15" customHeight="1" x14ac:dyDescent="0.25">
      <c r="A10709" t="s">
        <v>12794</v>
      </c>
      <c r="B10709">
        <v>15.8</v>
      </c>
      <c r="C10709">
        <v>0.35</v>
      </c>
    </row>
    <row r="10710" spans="1:3" ht="15" customHeight="1" x14ac:dyDescent="0.25">
      <c r="A10710" t="s">
        <v>12795</v>
      </c>
      <c r="B10710">
        <v>13.8</v>
      </c>
    </row>
    <row r="10711" spans="1:3" ht="15" customHeight="1" x14ac:dyDescent="0.25">
      <c r="A10711" t="s">
        <v>12796</v>
      </c>
      <c r="B10711">
        <v>13.8</v>
      </c>
      <c r="C10711">
        <v>0.35</v>
      </c>
    </row>
    <row r="10712" spans="1:3" ht="15" customHeight="1" x14ac:dyDescent="0.25">
      <c r="A10712" t="s">
        <v>12797</v>
      </c>
      <c r="B10712">
        <v>13.8</v>
      </c>
      <c r="C10712">
        <v>0.35</v>
      </c>
    </row>
    <row r="10713" spans="1:3" ht="15" customHeight="1" x14ac:dyDescent="0.25">
      <c r="A10713" t="s">
        <v>12798</v>
      </c>
      <c r="B10713">
        <v>13.8</v>
      </c>
      <c r="C10713">
        <v>0.35</v>
      </c>
    </row>
    <row r="10714" spans="1:3" ht="15" customHeight="1" x14ac:dyDescent="0.25">
      <c r="A10714" t="s">
        <v>12799</v>
      </c>
      <c r="B10714">
        <v>13.8</v>
      </c>
      <c r="C10714">
        <v>0.35</v>
      </c>
    </row>
    <row r="10715" spans="1:3" ht="15" customHeight="1" x14ac:dyDescent="0.25">
      <c r="A10715" t="s">
        <v>12800</v>
      </c>
      <c r="B10715">
        <v>13.8</v>
      </c>
      <c r="C10715">
        <v>0.35</v>
      </c>
    </row>
    <row r="10716" spans="1:3" ht="15" customHeight="1" x14ac:dyDescent="0.25">
      <c r="A10716" t="s">
        <v>12801</v>
      </c>
      <c r="B10716">
        <v>13.8</v>
      </c>
      <c r="C10716">
        <v>0.35</v>
      </c>
    </row>
    <row r="10717" spans="1:3" ht="15" customHeight="1" x14ac:dyDescent="0.25">
      <c r="A10717" t="s">
        <v>12802</v>
      </c>
      <c r="B10717">
        <v>13.8</v>
      </c>
      <c r="C10717">
        <v>0.35</v>
      </c>
    </row>
    <row r="10718" spans="1:3" ht="15" customHeight="1" x14ac:dyDescent="0.25">
      <c r="A10718" t="s">
        <v>12803</v>
      </c>
      <c r="B10718">
        <v>13.8</v>
      </c>
    </row>
    <row r="10719" spans="1:3" ht="15" customHeight="1" x14ac:dyDescent="0.25">
      <c r="A10719" t="s">
        <v>12804</v>
      </c>
      <c r="B10719">
        <v>13.8</v>
      </c>
      <c r="C10719">
        <v>0.35</v>
      </c>
    </row>
    <row r="10720" spans="1:3" ht="15" customHeight="1" x14ac:dyDescent="0.25">
      <c r="A10720" t="s">
        <v>12805</v>
      </c>
      <c r="B10720">
        <v>13.8</v>
      </c>
      <c r="C10720">
        <v>0.35</v>
      </c>
    </row>
    <row r="10721" spans="1:3" ht="15" customHeight="1" x14ac:dyDescent="0.25">
      <c r="A10721" t="s">
        <v>12806</v>
      </c>
      <c r="B10721">
        <v>13.8</v>
      </c>
    </row>
    <row r="10722" spans="1:3" ht="15" customHeight="1" x14ac:dyDescent="0.25">
      <c r="A10722" t="s">
        <v>12807</v>
      </c>
      <c r="B10722">
        <v>13.8</v>
      </c>
    </row>
    <row r="10723" spans="1:3" ht="15" customHeight="1" x14ac:dyDescent="0.25">
      <c r="A10723" t="s">
        <v>12808</v>
      </c>
      <c r="B10723">
        <v>13.8</v>
      </c>
      <c r="C10723">
        <v>0.35</v>
      </c>
    </row>
    <row r="10724" spans="1:3" ht="15" customHeight="1" x14ac:dyDescent="0.25">
      <c r="A10724" t="s">
        <v>12809</v>
      </c>
      <c r="B10724">
        <v>13.8</v>
      </c>
      <c r="C10724">
        <v>0.35</v>
      </c>
    </row>
    <row r="10725" spans="1:3" ht="15" customHeight="1" x14ac:dyDescent="0.25">
      <c r="A10725" t="s">
        <v>12810</v>
      </c>
      <c r="B10725">
        <v>13.8</v>
      </c>
    </row>
    <row r="10726" spans="1:3" ht="15" customHeight="1" x14ac:dyDescent="0.25">
      <c r="A10726" t="s">
        <v>12811</v>
      </c>
      <c r="B10726">
        <v>12</v>
      </c>
    </row>
    <row r="10727" spans="1:3" ht="15" customHeight="1" x14ac:dyDescent="0.25">
      <c r="A10727" t="s">
        <v>12812</v>
      </c>
      <c r="B10727">
        <v>12</v>
      </c>
    </row>
    <row r="10728" spans="1:3" ht="15" customHeight="1" x14ac:dyDescent="0.25">
      <c r="A10728" t="s">
        <v>12813</v>
      </c>
      <c r="B10728">
        <v>11</v>
      </c>
    </row>
    <row r="10729" spans="1:3" ht="15" customHeight="1" x14ac:dyDescent="0.25">
      <c r="A10729" t="s">
        <v>12814</v>
      </c>
      <c r="B10729">
        <v>11</v>
      </c>
    </row>
    <row r="10730" spans="1:3" ht="15" customHeight="1" x14ac:dyDescent="0.25">
      <c r="A10730" t="s">
        <v>12815</v>
      </c>
      <c r="B10730">
        <v>11</v>
      </c>
      <c r="C10730">
        <v>0.35</v>
      </c>
    </row>
    <row r="10731" spans="1:3" ht="15" customHeight="1" x14ac:dyDescent="0.25">
      <c r="A10731" t="s">
        <v>12816</v>
      </c>
      <c r="B10731">
        <v>11</v>
      </c>
      <c r="C10731">
        <v>0.35</v>
      </c>
    </row>
    <row r="10732" spans="1:3" ht="15" customHeight="1" x14ac:dyDescent="0.25">
      <c r="A10732" t="s">
        <v>12817</v>
      </c>
      <c r="B10732">
        <v>11</v>
      </c>
      <c r="C10732">
        <v>0.35</v>
      </c>
    </row>
    <row r="10733" spans="1:3" ht="15" customHeight="1" x14ac:dyDescent="0.25">
      <c r="A10733" t="s">
        <v>12818</v>
      </c>
      <c r="B10733">
        <v>11</v>
      </c>
      <c r="C10733">
        <v>0.35</v>
      </c>
    </row>
    <row r="10734" spans="1:3" ht="15" customHeight="1" x14ac:dyDescent="0.25">
      <c r="A10734" t="s">
        <v>12819</v>
      </c>
      <c r="B10734">
        <v>11</v>
      </c>
      <c r="C10734">
        <v>0.35</v>
      </c>
    </row>
    <row r="10735" spans="1:3" ht="15" customHeight="1" x14ac:dyDescent="0.25">
      <c r="A10735" t="s">
        <v>12820</v>
      </c>
      <c r="B10735">
        <v>11</v>
      </c>
      <c r="C10735">
        <v>0.35</v>
      </c>
    </row>
    <row r="10736" spans="1:3" ht="15" customHeight="1" x14ac:dyDescent="0.25">
      <c r="A10736" t="s">
        <v>12821</v>
      </c>
      <c r="B10736">
        <v>11</v>
      </c>
    </row>
    <row r="10737" spans="1:3" ht="15" customHeight="1" x14ac:dyDescent="0.25">
      <c r="A10737" t="s">
        <v>12822</v>
      </c>
      <c r="B10737">
        <v>11</v>
      </c>
      <c r="C10737">
        <v>0.35</v>
      </c>
    </row>
    <row r="10738" spans="1:3" ht="15" customHeight="1" x14ac:dyDescent="0.25">
      <c r="A10738" t="s">
        <v>12823</v>
      </c>
      <c r="B10738">
        <v>11</v>
      </c>
      <c r="C10738">
        <v>0.35</v>
      </c>
    </row>
    <row r="10739" spans="1:3" ht="15" customHeight="1" x14ac:dyDescent="0.25">
      <c r="A10739" t="s">
        <v>12824</v>
      </c>
      <c r="B10739">
        <v>11</v>
      </c>
      <c r="C10739">
        <v>0.35</v>
      </c>
    </row>
    <row r="10740" spans="1:3" ht="15" customHeight="1" x14ac:dyDescent="0.25">
      <c r="A10740" t="s">
        <v>12825</v>
      </c>
      <c r="B10740">
        <v>11</v>
      </c>
    </row>
    <row r="10741" spans="1:3" ht="15" customHeight="1" x14ac:dyDescent="0.25">
      <c r="A10741" t="s">
        <v>12826</v>
      </c>
      <c r="B10741">
        <v>11</v>
      </c>
      <c r="C10741">
        <v>0.35</v>
      </c>
    </row>
    <row r="10742" spans="1:3" ht="15" customHeight="1" x14ac:dyDescent="0.25">
      <c r="A10742" t="s">
        <v>12827</v>
      </c>
      <c r="B10742">
        <v>11</v>
      </c>
      <c r="C10742">
        <v>0.35</v>
      </c>
    </row>
    <row r="10743" spans="1:3" ht="15" customHeight="1" x14ac:dyDescent="0.25">
      <c r="A10743" t="s">
        <v>12828</v>
      </c>
      <c r="B10743">
        <v>11</v>
      </c>
    </row>
    <row r="10744" spans="1:3" ht="15" customHeight="1" x14ac:dyDescent="0.25">
      <c r="A10744" t="s">
        <v>12829</v>
      </c>
      <c r="B10744">
        <v>13</v>
      </c>
      <c r="C10744">
        <v>0.35</v>
      </c>
    </row>
    <row r="10745" spans="1:3" ht="15" customHeight="1" x14ac:dyDescent="0.25">
      <c r="A10745" t="s">
        <v>12830</v>
      </c>
      <c r="B10745">
        <v>13</v>
      </c>
      <c r="C10745">
        <v>0.35</v>
      </c>
    </row>
    <row r="10746" spans="1:3" ht="15" customHeight="1" x14ac:dyDescent="0.25">
      <c r="A10746" t="s">
        <v>12831</v>
      </c>
      <c r="B10746">
        <v>13</v>
      </c>
      <c r="C10746">
        <v>0.35</v>
      </c>
    </row>
    <row r="10747" spans="1:3" ht="15" customHeight="1" x14ac:dyDescent="0.25">
      <c r="A10747" t="s">
        <v>12832</v>
      </c>
      <c r="B10747">
        <v>13</v>
      </c>
    </row>
    <row r="10748" spans="1:3" ht="15" customHeight="1" x14ac:dyDescent="0.25">
      <c r="A10748" t="s">
        <v>12833</v>
      </c>
      <c r="B10748">
        <v>12</v>
      </c>
    </row>
    <row r="10749" spans="1:3" ht="15" customHeight="1" x14ac:dyDescent="0.25">
      <c r="A10749" t="s">
        <v>12834</v>
      </c>
      <c r="B10749">
        <v>12</v>
      </c>
    </row>
    <row r="10750" spans="1:3" ht="15" customHeight="1" x14ac:dyDescent="0.25">
      <c r="A10750" t="s">
        <v>12835</v>
      </c>
      <c r="B10750">
        <v>13.4</v>
      </c>
    </row>
  </sheetData>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Invoice</vt:lpstr>
      <vt:lpstr>Pending DSP Entry</vt:lpstr>
      <vt:lpstr>Itemized Calculation</vt:lpstr>
      <vt:lpstr>Order-Level Summary</vt:lpstr>
      <vt:lpstr>Returns &amp; Refunds</vt:lpstr>
      <vt:lpstr>Cancelled &amp; Status Check</vt:lpstr>
      <vt:lpstr>Claims</vt:lpstr>
      <vt:lpstr>Summary Dashboard</vt:lpstr>
      <vt:lpstr>DSP Lookup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admin_fresco</cp:lastModifiedBy>
  <cp:revision>0</cp:revision>
  <dcterms:created xsi:type="dcterms:W3CDTF">2026-07-17T13:56:42Z</dcterms:created>
  <dcterms:modified xsi:type="dcterms:W3CDTF">2026-07-18T14:17:41Z</dcterms:modified>
  <dc:language>en-US</dc:language>
</cp:coreProperties>
</file>